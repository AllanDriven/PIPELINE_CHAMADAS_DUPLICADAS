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rodrigues1.allan\Downloads\Nova pasta\"/>
    </mc:Choice>
  </mc:AlternateContent>
  <xr:revisionPtr revIDLastSave="0" documentId="8_{D568787F-B0C2-45EC-BDE9-8F412A96F78F}" xr6:coauthVersionLast="47" xr6:coauthVersionMax="47" xr10:uidLastSave="{00000000-0000-0000-0000-000000000000}"/>
  <bookViews>
    <workbookView xWindow="-108" yWindow="-108" windowWidth="23256" windowHeight="12456" tabRatio="891" firstSheet="1" activeTab="1" xr2:uid="{2B5152A3-7A3A-48A5-8922-F9DB8B64AE1B}"/>
  </bookViews>
  <sheets>
    <sheet name="Planilha2" sheetId="13" state="hidden" r:id="rId1"/>
    <sheet name="Dash" sheetId="1" r:id="rId2"/>
    <sheet name="Dash (2)" sheetId="11" state="hidden" r:id="rId3"/>
    <sheet name="Legenda" sheetId="7" state="hidden" r:id="rId4"/>
    <sheet name="Base_graf" sheetId="4" state="hidden" r:id="rId5"/>
    <sheet name="Suporte" sheetId="2" state="hidden" r:id="rId6"/>
  </sheets>
  <definedNames>
    <definedName name="anchor" localSheetId="2">'Dash (2)'!$I$53</definedName>
    <definedName name="anchor">Dash!$I$53</definedName>
    <definedName name="graf_selec">Base_graf!$L$1</definedName>
    <definedName name="NativeTimeline_Data">#N/A</definedName>
    <definedName name="NativeTimeline_Data1">#N/A</definedName>
    <definedName name="refresh_val">Suporte!$K$1</definedName>
    <definedName name="rngColumns">Suporte!$E$1:$H$17</definedName>
    <definedName name="SegmentaçãodeDados_CARTEIRA11">#N/A</definedName>
    <definedName name="SegmentaçãodeDados_CLIENTE">#N/A</definedName>
    <definedName name="SegmentaçãodeDados_FILA">#N/A</definedName>
    <definedName name="SegmentaçãodeDados_FILA1">#N/A</definedName>
    <definedName name="SegmentaçãodeDados_FIXO_MOVEL1">#N/A</definedName>
    <definedName name="SegmentaçãodeDados_GW1">#N/A</definedName>
    <definedName name="SegmentaçãodeDados_HORA">#N/A</definedName>
    <definedName name="SegmentaçãodeDados_HORA1">#N/A</definedName>
    <definedName name="SegmentaçãodeDados_OPERADORA">#N/A</definedName>
    <definedName name="SegmentaçãodeDados_OPERADORA1">#N/A</definedName>
    <definedName name="SegmentaçãodeDados_PAG_SUB">#N/A</definedName>
    <definedName name="SegmentaçãodeDados_PAG_SUB1">#N/A</definedName>
    <definedName name="SegmentaçãodeDados_ROTA">#N/A</definedName>
    <definedName name="SegmentaçãodeDados_ROTA1">#N/A</definedName>
    <definedName name="SegmentaçãodeDados_SERVIDOR">#N/A</definedName>
    <definedName name="SegmentaçãodeDados_SERVIDOR1">#N/A</definedName>
    <definedName name="SegmentaçãodeDados_TECNOLOGIA">#N/A</definedName>
    <definedName name="SegmentaçãodeDados_TECNOLOGIA1">#N/A</definedName>
    <definedName name="SegmentaçãodeDados_Tipo">#N/A</definedName>
    <definedName name="SegmentaçãodeDados_TIPO_ROTA1">#N/A</definedName>
    <definedName name="TELECOM" localSheetId="4" hidden="1">Base_graf!$A$1:$F$4171</definedName>
  </definedNames>
  <calcPr calcId="191029"/>
  <pivotCaches>
    <pivotCache cacheId="0" r:id="rId7"/>
    <pivotCache cacheId="1" r:id="rId8"/>
    <pivotCache cacheId="2" r:id="rId9"/>
    <pivotCache cacheId="3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1"/>
        <x15:timelineCacheRef r:id="rId3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3" l="1"/>
  <c r="E8" i="2"/>
  <c r="G8" i="2"/>
  <c r="H8" i="2"/>
  <c r="E7" i="2"/>
  <c r="G7" i="2"/>
  <c r="H7" i="2"/>
  <c r="E9" i="2"/>
  <c r="G9" i="2"/>
  <c r="H9" i="2"/>
  <c r="E17" i="2"/>
  <c r="G17" i="2"/>
  <c r="H17" i="2"/>
  <c r="E16" i="2"/>
  <c r="G16" i="2"/>
  <c r="H16" i="2"/>
  <c r="H2" i="2"/>
  <c r="H3" i="2"/>
  <c r="H4" i="2"/>
  <c r="H5" i="2"/>
  <c r="H6" i="2"/>
  <c r="H10" i="2"/>
  <c r="H11" i="2"/>
  <c r="H12" i="2"/>
  <c r="H13" i="2"/>
  <c r="H14" i="2"/>
  <c r="H15" i="2"/>
  <c r="H1" i="2"/>
  <c r="G2" i="2" l="1"/>
  <c r="G3" i="2"/>
  <c r="G4" i="2"/>
  <c r="G5" i="2"/>
  <c r="G6" i="2"/>
  <c r="G10" i="2"/>
  <c r="G11" i="2"/>
  <c r="G12" i="2"/>
  <c r="G13" i="2"/>
  <c r="G14" i="2"/>
  <c r="G15" i="2"/>
  <c r="G1" i="2"/>
  <c r="E2" i="2"/>
  <c r="E3" i="2"/>
  <c r="E4" i="2"/>
  <c r="E5" i="2"/>
  <c r="E6" i="2"/>
  <c r="E10" i="2"/>
  <c r="E11" i="2"/>
  <c r="E12" i="2"/>
  <c r="E13" i="2"/>
  <c r="E14" i="2"/>
  <c r="E15" i="2"/>
  <c r="E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D39E89-A829-4667-9C5B-59047FAB87E0}" keepAlive="1" name="Consulta - TAB_CHAMADAS_DUPLICADAS (2)" description="Conexão com a consulta 'TAB_CHAMADAS_DUPLICADAS (2)' na pasta de trabalho." type="5" refreshedVersion="8" background="1">
    <dbPr connection="Provider=Microsoft.Mashup.OleDb.1;Data Source=$Workbook$;Location=&quot;TAB_CHAMADAS_DUPLICADAS (2)&quot;;Extended Properties=&quot;&quot;" command="SELECT * FROM [TAB_CHAMADAS_DUPLICADAS (2)]"/>
  </connection>
  <connection id="2" xr16:uid="{FB61278E-5B6F-4E41-9F50-39DB1A472D62}" keepAlive="1" name="SP_TELECOM_55_01_EST_GERAL" type="5" refreshedVersion="8" minRefreshableVersion="3" deleted="1" background="1" saveData="1">
    <dbPr connection="" command="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6AA1DD73-5CA7-4EEC-93C2-2BB8B476C573}" keepAlive="1" name="SP_TELECOM_55_01_EST_GERAL_GRAF_ALO" type="5" refreshedVersion="8" deleted="1" background="1" saveData="1">
    <dbPr connection="" command=""/>
  </connection>
</connections>
</file>

<file path=xl/sharedStrings.xml><?xml version="1.0" encoding="utf-8"?>
<sst xmlns="http://schemas.openxmlformats.org/spreadsheetml/2006/main" count="8600" uniqueCount="293">
  <si>
    <t>Valores</t>
  </si>
  <si>
    <t>Tipo</t>
  </si>
  <si>
    <t>Rótulos de Linha</t>
  </si>
  <si>
    <t>CARTEIRA</t>
  </si>
  <si>
    <t>Total Geral</t>
  </si>
  <si>
    <t>SERVIDOR</t>
  </si>
  <si>
    <t>(Tudo)</t>
  </si>
  <si>
    <t>SEGMENTO</t>
  </si>
  <si>
    <t>OPERADORA</t>
  </si>
  <si>
    <t>PAG_SUB</t>
  </si>
  <si>
    <t>HORA</t>
  </si>
  <si>
    <t>FIXO_MOVEL</t>
  </si>
  <si>
    <t>FILA</t>
  </si>
  <si>
    <t>TENTATIVAS TOTAIS</t>
  </si>
  <si>
    <t>ALÔ</t>
  </si>
  <si>
    <t>MENSAGEM</t>
  </si>
  <si>
    <t>ABANDONO</t>
  </si>
  <si>
    <t>OCUPADO TOTAL</t>
  </si>
  <si>
    <t>FALHAS GERAIS</t>
  </si>
  <si>
    <t>FALTA DE CANAL</t>
  </si>
  <si>
    <t>INEXISTENTE</t>
  </si>
  <si>
    <t>FALHAS CALLFLEX</t>
  </si>
  <si>
    <t>ATENDIDO TOTAL</t>
  </si>
  <si>
    <t>REJEITADO</t>
  </si>
  <si>
    <t>NÃO ATENDEU</t>
  </si>
  <si>
    <t>TEMP. INDISPONÍVEL</t>
  </si>
  <si>
    <t>Volume</t>
  </si>
  <si>
    <t>Atualizada</t>
  </si>
  <si>
    <t>Data</t>
  </si>
  <si>
    <t>-ATENDIDO TOTAL</t>
  </si>
  <si>
    <t>-ALÔ</t>
  </si>
  <si>
    <t>CLARO</t>
  </si>
  <si>
    <t>ESTACIO</t>
  </si>
  <si>
    <t>RENNER</t>
  </si>
  <si>
    <t>BANCO INTER</t>
  </si>
  <si>
    <t>Embratel Sub 10</t>
  </si>
  <si>
    <t>Embratel Sub 8</t>
  </si>
  <si>
    <t>Tim Sub 3</t>
  </si>
  <si>
    <t>TIM</t>
  </si>
  <si>
    <t>BOTICARIO</t>
  </si>
  <si>
    <t>Tim Sub 6</t>
  </si>
  <si>
    <t>Embratel Sub 4</t>
  </si>
  <si>
    <t>CLARO EMPRESAS</t>
  </si>
  <si>
    <t>TRIBANCO</t>
  </si>
  <si>
    <t>CARREFOUR TELE</t>
  </si>
  <si>
    <t>OI</t>
  </si>
  <si>
    <t>SMILES</t>
  </si>
  <si>
    <t>ATACADÃO TELE</t>
  </si>
  <si>
    <t>Embratel MPLS2</t>
  </si>
  <si>
    <t>Embratel Sub 7</t>
  </si>
  <si>
    <t>Embratel Sub 9</t>
  </si>
  <si>
    <t>Tim Sub 4</t>
  </si>
  <si>
    <t>Embratel MPLS1</t>
  </si>
  <si>
    <t>Embratel Sub 6</t>
  </si>
  <si>
    <t>Embratel Sub 5</t>
  </si>
  <si>
    <t>Tim Sub 5</t>
  </si>
  <si>
    <t>Rótulos de Coluna</t>
  </si>
  <si>
    <t>Selec</t>
  </si>
  <si>
    <t>NUMERO INEXISTENTE</t>
  </si>
  <si>
    <t>Soma de %ALÔ</t>
  </si>
  <si>
    <t>CÁLCULO DE %</t>
  </si>
  <si>
    <t>/DISPAROS</t>
  </si>
  <si>
    <t>/TENTATIVAS TOTAIS</t>
  </si>
  <si>
    <t>/ATENDIDO TOTAL</t>
  </si>
  <si>
    <t>MÊS</t>
  </si>
  <si>
    <t>ANO</t>
  </si>
  <si>
    <t>Claro Humano</t>
  </si>
  <si>
    <t>Claro Digital</t>
  </si>
  <si>
    <t>BRB</t>
  </si>
  <si>
    <t>DIA</t>
  </si>
  <si>
    <t>TECNOLOGIA</t>
  </si>
  <si>
    <t>Netjet CLI3</t>
  </si>
  <si>
    <t>TESTE</t>
  </si>
  <si>
    <t/>
  </si>
  <si>
    <t>EUDORA</t>
  </si>
  <si>
    <t>VERO</t>
  </si>
  <si>
    <t>Tim Sub 7</t>
  </si>
  <si>
    <t>ZERO</t>
  </si>
  <si>
    <t>Conversado</t>
  </si>
  <si>
    <t>Volume - %</t>
  </si>
  <si>
    <t>DISPAROS</t>
  </si>
  <si>
    <t>Tim Sub 8 B</t>
  </si>
  <si>
    <t>ROTA</t>
  </si>
  <si>
    <t>TIPO DE ROTA</t>
  </si>
  <si>
    <t>*Dados dos últimos três meses.</t>
  </si>
  <si>
    <t>BMG</t>
  </si>
  <si>
    <t>LIGGA</t>
  </si>
  <si>
    <t>abandonado</t>
  </si>
  <si>
    <t>statusatendimento = 'abandon'</t>
  </si>
  <si>
    <t>alopa</t>
  </si>
  <si>
    <t>status = 'answered' and statusatendimento not in ('abandon','machine')</t>
  </si>
  <si>
    <t>isdn_0</t>
  </si>
  <si>
    <t>isdncause = 0</t>
  </si>
  <si>
    <t>desconexao_em_a</t>
  </si>
  <si>
    <t>status = 'no answer' and isdncause = 16</t>
  </si>
  <si>
    <t>destino_fora_servico</t>
  </si>
  <si>
    <t>isdncause in (27,30)</t>
  </si>
  <si>
    <t>falha_tecnica_central_referencia</t>
  </si>
  <si>
    <t>isdncause in (28,31,38,39,41,82,127)</t>
  </si>
  <si>
    <t>falha_tecnica_ou_temporizacao_na_troca_de_sinalizacao</t>
  </si>
  <si>
    <t>isdncause in (7,8,9,103)</t>
  </si>
  <si>
    <t>falha_tecnica_rede_frente_central_referencia</t>
  </si>
  <si>
    <t>numero_mudado</t>
  </si>
  <si>
    <t>isdncause = 22</t>
  </si>
  <si>
    <t>outros</t>
  </si>
  <si>
    <t>isdncause in (4,5,29,43,46,48,50,53,57,63,65,66,69,81)</t>
  </si>
  <si>
    <t>congestionamento_fora_central_frente</t>
  </si>
  <si>
    <t>isdncause in (34,42,58)</t>
  </si>
  <si>
    <t>congestionamento_fora_da_central</t>
  </si>
  <si>
    <t>isdncause in (6,44)</t>
  </si>
  <si>
    <t>numero_prefixo_inexistente</t>
  </si>
  <si>
    <t>isdncause in (1,2,3,5,62,79,96)</t>
  </si>
  <si>
    <t>mensagem</t>
  </si>
  <si>
    <t>b_ausente_ou_n_atendeu</t>
  </si>
  <si>
    <t>isdncause in (18,19) AND statusatendimento &lt;&gt; 'CONGESTION'</t>
  </si>
  <si>
    <t>ocupado</t>
  </si>
  <si>
    <t>&lt;vazio&gt;</t>
  </si>
  <si>
    <t>Ocupado_Gateway_Interno</t>
  </si>
  <si>
    <t>Ocupado_Real</t>
  </si>
  <si>
    <t>isdncause = 17</t>
  </si>
  <si>
    <t>ok_rej</t>
  </si>
  <si>
    <t xml:space="preserve">isdncause = 21  </t>
  </si>
  <si>
    <t>temp_indisponivel</t>
  </si>
  <si>
    <t>isdncause = 19 and statusatendimento = 'CONGESTION'</t>
  </si>
  <si>
    <t>Tim Sip Sub 10</t>
  </si>
  <si>
    <t>Tim Sip Sub 9</t>
  </si>
  <si>
    <t>Tim Sub 3 Especiais</t>
  </si>
  <si>
    <t>BLOQUEIO DDD</t>
  </si>
  <si>
    <t>BLACKLIST</t>
  </si>
  <si>
    <t>GW</t>
  </si>
  <si>
    <t>sem_canal_config_rota</t>
  </si>
  <si>
    <t xml:space="preserve">isdncause in (47,70,95,97,98,99,100,101,102,110) </t>
  </si>
  <si>
    <t>isdncause = 111</t>
  </si>
  <si>
    <t>BLOQUEIO BLACKLIST</t>
  </si>
  <si>
    <t>bloqueio_ddd</t>
  </si>
  <si>
    <t>bloqueio_blacklist</t>
  </si>
  <si>
    <t>isdncause = 133</t>
  </si>
  <si>
    <t>isdncause = 135</t>
  </si>
  <si>
    <t>NATURA</t>
  </si>
  <si>
    <t>Embratel Smile Venda</t>
  </si>
  <si>
    <t>MENSAGEM NÃO ATENDIDA</t>
  </si>
  <si>
    <t>NÃO ATENDEU (REAL)</t>
  </si>
  <si>
    <t>NÃO ATENDEU (MSG)</t>
  </si>
  <si>
    <t>ESTEIRA</t>
  </si>
  <si>
    <t>NÃO ATENDEU REAL</t>
  </si>
  <si>
    <t>msg_n_atendida</t>
  </si>
  <si>
    <t>NÃO ATENDEU MSG</t>
  </si>
  <si>
    <t>/NÃO ATENDEU TOTAL</t>
  </si>
  <si>
    <t>c.status = 'NO ANSWER' AND c.statusatendimento = 'MACHINE'</t>
  </si>
  <si>
    <t>c.status = 'answered' and c.statusatendimento = 'machine'</t>
  </si>
  <si>
    <t>STATUS DETALHADO</t>
  </si>
  <si>
    <t>FONTE</t>
  </si>
  <si>
    <t>Netjet CLI</t>
  </si>
  <si>
    <t>Algar Sip</t>
  </si>
  <si>
    <t>CLIENTE</t>
  </si>
  <si>
    <t>R1 4466</t>
  </si>
  <si>
    <t>BVT 18091</t>
  </si>
  <si>
    <t>Claro Vendas G41</t>
  </si>
  <si>
    <t>Claro Vendas G42</t>
  </si>
  <si>
    <t>Claro Digital E1 G36</t>
  </si>
  <si>
    <t>TelsimGW16</t>
  </si>
  <si>
    <t>SASCAR</t>
  </si>
  <si>
    <t>TelvoxxJL</t>
  </si>
  <si>
    <t>BOTICARIO COLOMBIA</t>
  </si>
  <si>
    <t>SANTANDER</t>
  </si>
  <si>
    <t>Tim Sub 3 Especiais2</t>
  </si>
  <si>
    <t>Campo calculado</t>
  </si>
  <si>
    <t>Ordem de resolução</t>
  </si>
  <si>
    <t>Campo</t>
  </si>
  <si>
    <t>Fórmula</t>
  </si>
  <si>
    <t>-OCUPADO TOTAL</t>
  </si>
  <si>
    <t>=B_OCUPADO+OCUPADO_REAL+OCUPADO_GATEWAY</t>
  </si>
  <si>
    <t>-FALHAS GERAIS</t>
  </si>
  <si>
    <t>=Falha_Tecnica_Ou_Temporizacao_Na_Troca_De_Sinalizacao+Falha_Tecnica_Central_Referencia+Falha_Tecnica_Rede_Frente_Central_Referencia+Outros+Numero_Mudado+Destino_Fora_Servico+Desconexao_em_A</t>
  </si>
  <si>
    <t>-FALTA DE CANAL</t>
  </si>
  <si>
    <t>=Congestionamento_Fora_Central_Frente+Congestionamento_Fora_da_Central+Sem_canal_config_rota</t>
  </si>
  <si>
    <t>-%TEMP. INDISPONÍVEL</t>
  </si>
  <si>
    <t>=SEERRO('-TEMP. INDISPONÍVEL'/'-TENTATIVAS TOTAIS';0)</t>
  </si>
  <si>
    <t>-%REJEITADO</t>
  </si>
  <si>
    <t>=SEERRO('-REJEITADO'/'-DISPAROS';0)</t>
  </si>
  <si>
    <t>-%OCUPADO TOTAL</t>
  </si>
  <si>
    <t>=SEERRO('-OCUPADO TOTAL'/'-DISPAROS';0)</t>
  </si>
  <si>
    <t>-%FALHAS GERAIS</t>
  </si>
  <si>
    <t>=SEERRO('-FALHAS GERAIS'/'-DISPAROS';0)</t>
  </si>
  <si>
    <t>-%INEXISTENTE</t>
  </si>
  <si>
    <t>=SEERRO('-INEXISTENTE'/'-DISPAROS';0)</t>
  </si>
  <si>
    <t>-%FALHAS CALLFLEX</t>
  </si>
  <si>
    <t>=SEERRO('-FALHAS CALLFLEX'/'-DISPAROS';0)</t>
  </si>
  <si>
    <t>-%ATENDIDO TOTAL</t>
  </si>
  <si>
    <t>=SEERRO('-ATENDIDO TOTAL'/'-DISPAROS';0)</t>
  </si>
  <si>
    <t>-%ABANDONO</t>
  </si>
  <si>
    <t>=SEERRO('-ABANDONO'/'-ATENDIDO TOTAL';0)</t>
  </si>
  <si>
    <t>-%ALÔ</t>
  </si>
  <si>
    <t>=SEERRO('-ALÔ'/'-ATENDIDO TOTAL';0)</t>
  </si>
  <si>
    <t>-%MENSAGEM</t>
  </si>
  <si>
    <t>=SEERRO('-MENSAGEM'/'-ATENDIDO TOTAL';0)</t>
  </si>
  <si>
    <t>-%FALTA DE CANAL</t>
  </si>
  <si>
    <t>=SEERRO('-FALTA DE CANAL'/'-DISPAROS';0)</t>
  </si>
  <si>
    <t>-CONVERSADO_F</t>
  </si>
  <si>
    <t>=SEERRO('-CONVERSADO'/86400;0)</t>
  </si>
  <si>
    <t>-BILHETADO_F</t>
  </si>
  <si>
    <t>=SEERRO('-BILHETADO'/86400;0)</t>
  </si>
  <si>
    <t>-BLOQUEIO DDD</t>
  </si>
  <si>
    <t>=Bloqueio_DDD2</t>
  </si>
  <si>
    <t>-BLACKLIST</t>
  </si>
  <si>
    <t>=Bloqueio_blacklist</t>
  </si>
  <si>
    <t>-%BLOQUEIO DDD</t>
  </si>
  <si>
    <t>=SEERRO('-BLOQUEIO DDD'/'-DISPAROS';0)</t>
  </si>
  <si>
    <t>-%BLACKLIST</t>
  </si>
  <si>
    <t>=SEERRO('-BLACKLIST'/'-DISPAROS';0)</t>
  </si>
  <si>
    <t>-NÃO ATENDEU (MSG)</t>
  </si>
  <si>
    <t>='-MSG_N_ATENDIDA'</t>
  </si>
  <si>
    <t>-%NÃO ATENDEU (MSG)</t>
  </si>
  <si>
    <t>=SEERRO('-NÃO ATENDEU (MSG)'/'-NÃO ATENDEU';0)</t>
  </si>
  <si>
    <t>-NÃO ATENDEU (REAL)</t>
  </si>
  <si>
    <t>='-NÃO ATENDEU REAL'</t>
  </si>
  <si>
    <t>-%NÃO ATENDEU (REAL)</t>
  </si>
  <si>
    <t>-NÃO ATENDEU</t>
  </si>
  <si>
    <t>='-NÃO ATENDEU REAL'+'-NÃO ATENDEU (MSG)'</t>
  </si>
  <si>
    <t>-%NÃO ATENDEU</t>
  </si>
  <si>
    <t>= SEERRO('-NÃO ATENDEU'/'-DISPAROS';0)</t>
  </si>
  <si>
    <t>Item calculado</t>
  </si>
  <si>
    <t>Item</t>
  </si>
  <si>
    <t>Observação:</t>
  </si>
  <si>
    <t>Quando uma célula é atualizada por mais de uma fórmula,</t>
  </si>
  <si>
    <t>o valor é definido pela fórmula com a última ordem de resolução.</t>
  </si>
  <si>
    <t>Para alterar a ordem de resolução de vários itens ou campos calculados,</t>
  </si>
  <si>
    <t>na guia Opções, no grupo Cálculos, clique em Campos, Itens e Conjuntos e clique em Ordem de Resolução.</t>
  </si>
  <si>
    <t>BVT 18092</t>
  </si>
  <si>
    <t>GCB</t>
  </si>
  <si>
    <t>Claro Vendas G40M</t>
  </si>
  <si>
    <t>ITAU</t>
  </si>
  <si>
    <t>Netjet CLI4B</t>
  </si>
  <si>
    <t>Netjet34914</t>
  </si>
  <si>
    <t>MERCADO PAGO</t>
  </si>
  <si>
    <t>Voros ITX B</t>
  </si>
  <si>
    <t>Embratel MPLS5M</t>
  </si>
  <si>
    <t>Embratel SUB 53 M</t>
  </si>
  <si>
    <t>Netjet4747B</t>
  </si>
  <si>
    <t>Embratel MPLS4M</t>
  </si>
  <si>
    <t>Tim Sub 4 B</t>
  </si>
  <si>
    <t>Claro Digital E1 G38</t>
  </si>
  <si>
    <t>Embratel MPLS3M</t>
  </si>
  <si>
    <t>Netjet 51556</t>
  </si>
  <si>
    <t>Embratel SUB 52 M</t>
  </si>
  <si>
    <t>MPLS CIRCUITO 6M</t>
  </si>
  <si>
    <t>MPLS CIRCUITO 7M</t>
  </si>
  <si>
    <t>Netjet 51557</t>
  </si>
  <si>
    <t>OUZE VENDAS</t>
  </si>
  <si>
    <t>Claro Digital E1 G37</t>
  </si>
  <si>
    <t>Telsim2CTAG3</t>
  </si>
  <si>
    <t>vonex355688</t>
  </si>
  <si>
    <t>OUZE COBRANÇA</t>
  </si>
  <si>
    <t>Vonex355687</t>
  </si>
  <si>
    <t>Netjet 51558</t>
  </si>
  <si>
    <t>Pontal32944</t>
  </si>
  <si>
    <t>Pontalinter</t>
  </si>
  <si>
    <t>VIASAT</t>
  </si>
  <si>
    <t>voros2831</t>
  </si>
  <si>
    <t>TESTE TELECOM</t>
  </si>
  <si>
    <t>NetjetInter2</t>
  </si>
  <si>
    <t>Netjet51554</t>
  </si>
  <si>
    <t>SercomLigga1</t>
  </si>
  <si>
    <t>BVT 18091v2</t>
  </si>
  <si>
    <t>Netjet 51557 B</t>
  </si>
  <si>
    <t>Netjet61618</t>
  </si>
  <si>
    <t>Tim Sip Sub 9 B</t>
  </si>
  <si>
    <t>Netjet 51556 B</t>
  </si>
  <si>
    <t>Tim Sub 3 B</t>
  </si>
  <si>
    <t>Volume - Qtd.</t>
  </si>
  <si>
    <t>Dia</t>
  </si>
  <si>
    <t>Ano</t>
  </si>
  <si>
    <t>mailing</t>
  </si>
  <si>
    <t>DATA</t>
  </si>
  <si>
    <t>INTER_CHEQUE_ESPECIAL_AVI</t>
  </si>
  <si>
    <t>INTER_CREDIARIO_H</t>
  </si>
  <si>
    <t>INTER_PRE_CRELI_D</t>
  </si>
  <si>
    <t>INTER_PRE_CRELI_H</t>
  </si>
  <si>
    <t>INTER_ALTO_VALOR_H</t>
  </si>
  <si>
    <t>INTER_CREDIARIO_D</t>
  </si>
  <si>
    <t>Mes</t>
  </si>
  <si>
    <t>CLASSE</t>
  </si>
  <si>
    <t>HUMANO</t>
  </si>
  <si>
    <t>HUMANO Total</t>
  </si>
  <si>
    <t>ROBO</t>
  </si>
  <si>
    <t>ROBO Total</t>
  </si>
  <si>
    <t>BANCO INTER Total</t>
  </si>
  <si>
    <t>TOTAL DUPLICADAS</t>
  </si>
  <si>
    <t>4+ LIGAÇÕES</t>
  </si>
  <si>
    <t>3 LIGAÇÕES</t>
  </si>
  <si>
    <t>2 LIGAÇÕES</t>
  </si>
  <si>
    <t>TOTAL DISCAGENS</t>
  </si>
  <si>
    <t>TOTAL NÚMEROS AFETADOS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</si>
</sst>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.##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i/>
      <sz val="12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/>
      <bottom style="thin">
        <color indexed="8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3" xfId="0" applyFill="1" applyBorder="1"/>
    <xf numFmtId="0" fontId="0" fillId="0" borderId="0" xfId="0" applyAlignment="1">
      <alignment horizontal="left"/>
    </xf>
    <xf numFmtId="0" fontId="0" fillId="0" borderId="0" xfId="0" pivotButton="1"/>
    <xf numFmtId="0" fontId="0" fillId="3" borderId="0" xfId="0" applyFill="1"/>
    <xf numFmtId="9" fontId="0" fillId="2" borderId="0" xfId="1" applyFont="1" applyFill="1"/>
    <xf numFmtId="3" fontId="0" fillId="2" borderId="0" xfId="1" applyNumberFormat="1" applyFont="1" applyFill="1"/>
    <xf numFmtId="3" fontId="0" fillId="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0" xfId="0" pivotButton="1" applyAlignment="1">
      <alignment horizontal="left" vertical="center" wrapText="1"/>
    </xf>
    <xf numFmtId="0" fontId="0" fillId="2" borderId="2" xfId="0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14" fontId="0" fillId="0" borderId="0" xfId="0" applyNumberFormat="1"/>
    <xf numFmtId="0" fontId="0" fillId="4" borderId="0" xfId="0" applyFill="1"/>
    <xf numFmtId="10" fontId="0" fillId="0" borderId="0" xfId="0" applyNumberFormat="1"/>
    <xf numFmtId="0" fontId="0" fillId="2" borderId="0" xfId="0" applyFill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pivotButton="1" applyFont="1" applyAlignment="1">
      <alignment horizontal="center" vertical="center"/>
    </xf>
    <xf numFmtId="0" fontId="2" fillId="6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7" fillId="0" borderId="0" xfId="0" applyFont="1"/>
    <xf numFmtId="0" fontId="6" fillId="0" borderId="7" xfId="0" applyFont="1" applyBorder="1"/>
    <xf numFmtId="3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/>
    </xf>
    <xf numFmtId="3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 wrapText="1"/>
    </xf>
    <xf numFmtId="3" fontId="0" fillId="7" borderId="0" xfId="0" applyNumberFormat="1" applyFill="1" applyAlignment="1">
      <alignment horizontal="center" vertical="center" wrapText="1"/>
    </xf>
    <xf numFmtId="0" fontId="5" fillId="0" borderId="0" xfId="0" applyFont="1" applyAlignment="1">
      <alignment horizontal="right" wrapText="1"/>
    </xf>
    <xf numFmtId="3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/>
  </cellXfs>
  <cellStyles count="2">
    <cellStyle name="Normal" xfId="0" builtinId="0"/>
    <cellStyle name="Porcentagem" xfId="1" builtinId="5"/>
  </cellStyles>
  <dxfs count="163">
    <dxf>
      <alignment vertical="center"/>
    </dxf>
    <dxf>
      <alignment vertical="center"/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 val="0"/>
      </font>
    </dxf>
    <dxf>
      <font>
        <color theme="4" tint="-0.249977111117893"/>
      </font>
    </dxf>
    <dxf>
      <fill>
        <patternFill patternType="solid"/>
      </fill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solid"/>
      </fill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 patternType="none">
          <bgColor auto="1"/>
        </patternFill>
      </fill>
    </dxf>
    <dxf>
      <fill>
        <patternFill patternType="solid"/>
      </fill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alignment vertical="center"/>
    </dxf>
    <dxf>
      <alignment wrapText="1"/>
    </dxf>
    <dxf>
      <alignment wrapText="1"/>
    </dxf>
    <dxf>
      <alignment wrapText="1"/>
    </dxf>
    <dxf>
      <fill>
        <patternFill patternType="solid"/>
      </fill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/>
    </dxf>
    <dxf>
      <fill>
        <patternFill patternType="solid">
          <bgColor theme="7" tint="0.3999755851924192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numFmt numFmtId="19" formatCode="dd/mm/yyyy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ill>
        <patternFill patternType="solid"/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vertical="center"/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ill>
        <patternFill patternType="solid"/>
      </fill>
    </dxf>
    <dxf>
      <fill>
        <patternFill patternType="none">
          <bgColor auto="1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ill>
        <patternFill patternType="solid"/>
      </fill>
    </dxf>
    <dxf>
      <fill>
        <patternFill patternType="none">
          <bgColor auto="1"/>
        </patternFill>
      </fill>
    </dxf>
    <dxf>
      <font>
        <b val="0"/>
      </font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ont>
        <color theme="1" tint="4.9989318521683403E-2"/>
        <family val="2"/>
      </font>
    </dxf>
    <dxf>
      <fill>
        <patternFill>
          <bgColor theme="4" tint="0.39994506668294322"/>
        </patternFill>
      </fill>
    </dxf>
    <dxf>
      <fill>
        <patternFill patternType="solid"/>
      </fill>
    </dxf>
    <dxf>
      <font>
        <color theme="4" tint="-0.249977111117893"/>
      </font>
    </dxf>
    <dxf>
      <font>
        <b val="0"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wrapText="1"/>
    </dxf>
    <dxf>
      <alignment vertical="center"/>
    </dxf>
    <dxf>
      <fill>
        <patternFill>
          <bgColor theme="4" tint="0.79998168889431442"/>
        </patternFill>
      </fill>
      <border>
        <top style="thin">
          <color theme="4" tint="0.79998168889431442"/>
        </top>
        <bottom style="thin">
          <color theme="4" tint="0.79998168889431442"/>
        </bottom>
      </border>
    </dxf>
    <dxf>
      <border diagonalUp="0" diagonalDown="0">
        <left style="thin">
          <color theme="4" tint="0.79995117038483843"/>
        </left>
        <right style="thin">
          <color theme="4" tint="0.79995117038483843"/>
        </right>
        <top style="thin">
          <color theme="4" tint="0.79995117038483843"/>
        </top>
        <bottom style="thin">
          <color theme="4" tint="0.79995117038483843"/>
        </bottom>
        <vertical style="thin">
          <color theme="4" tint="0.79995117038483843"/>
        </vertical>
        <horizontal style="thin">
          <color theme="4" tint="0.79995117038483843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color theme="0"/>
      </font>
      <fill>
        <patternFill patternType="solid">
          <fgColor theme="4" tint="0.39997558519241921"/>
          <bgColor theme="4" tint="0.39997558519241921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 tint="0.39997558519241921"/>
          <bgColor theme="4" tint="0.39997558519241921"/>
        </patternFill>
      </fill>
    </dxf>
    <dxf>
      <font>
        <b/>
        <color theme="0"/>
      </font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ont>
        <b/>
        <color theme="1"/>
      </font>
      <border>
        <top style="double">
          <color theme="4" tint="-0.249977111117893"/>
        </top>
      </border>
    </dxf>
    <dxf>
      <font>
        <b/>
        <i val="0"/>
        <color theme="0"/>
      </font>
      <fill>
        <patternFill patternType="solid">
          <fgColor theme="4" tint="-0.249977111117893"/>
          <bgColor theme="4" tint="-0.249977111117893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</dxfs>
  <tableStyles count="1" defaultTableStyle="TableStyleMedium2" defaultPivotStyle="Padrão Esteiras">
    <tableStyle name="Padrão Esteiras" table="0" count="13" xr9:uid="{8B36501F-EE19-4E81-862F-72024C9B2CD0}">
      <tableStyleElement type="wholeTable" dxfId="162"/>
      <tableStyleElement type="headerRow" dxfId="161"/>
      <tableStyleElement type="totalRow" dxfId="160"/>
      <tableStyleElement type="firstRowStripe" dxfId="159"/>
      <tableStyleElement type="firstColumnStripe" dxfId="158"/>
      <tableStyleElement type="firstHeaderCell" dxfId="157"/>
      <tableStyleElement type="firstSubtotalRow" dxfId="156"/>
      <tableStyleElement type="secondSubtotalRow" dxfId="155"/>
      <tableStyleElement type="firstColumnSubheading" dxfId="154"/>
      <tableStyleElement type="firstRowSubheading" dxfId="153"/>
      <tableStyleElement type="secondRowSubheading" dxfId="152"/>
      <tableStyleElement type="pageFieldLabels" dxfId="151"/>
      <tableStyleElement type="pageFieldValues" dxfId="150"/>
    </tableStyle>
  </tableStyles>
  <colors>
    <mruColors>
      <color rgb="FF97FF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xml"/><Relationship Id="rId18" Type="http://schemas.microsoft.com/office/2007/relationships/slicerCache" Target="slicerCaches/slicerCache8.xml"/><Relationship Id="rId26" Type="http://schemas.microsoft.com/office/2007/relationships/slicerCache" Target="slicerCaches/slicerCache16.xml"/><Relationship Id="rId39" Type="http://schemas.openxmlformats.org/officeDocument/2006/relationships/customXml" Target="../customXml/item2.xml"/><Relationship Id="rId21" Type="http://schemas.microsoft.com/office/2007/relationships/slicerCache" Target="slicerCaches/slicerCache11.xml"/><Relationship Id="rId34" Type="http://schemas.openxmlformats.org/officeDocument/2006/relationships/connections" Target="connections.xml"/><Relationship Id="rId42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microsoft.com/office/2007/relationships/slicerCache" Target="slicerCaches/slicerCache10.xml"/><Relationship Id="rId29" Type="http://schemas.microsoft.com/office/2007/relationships/slicerCache" Target="slicerCaches/slicerCache1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microsoft.com/office/2007/relationships/slicerCache" Target="slicerCaches/slicerCache14.xml"/><Relationship Id="rId32" Type="http://schemas.microsoft.com/office/2011/relationships/timelineCache" Target="timelineCaches/timelineCache2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microsoft.com/office/2007/relationships/slicerCache" Target="slicerCaches/slicerCache13.xml"/><Relationship Id="rId28" Type="http://schemas.microsoft.com/office/2007/relationships/slicerCache" Target="slicerCaches/slicerCache18.xml"/><Relationship Id="rId36" Type="http://schemas.openxmlformats.org/officeDocument/2006/relationships/sharedStrings" Target="sharedStrings.xml"/><Relationship Id="rId10" Type="http://schemas.openxmlformats.org/officeDocument/2006/relationships/pivotCacheDefinition" Target="pivotCache/pivotCacheDefinition4.xml"/><Relationship Id="rId19" Type="http://schemas.microsoft.com/office/2007/relationships/slicerCache" Target="slicerCaches/slicerCache9.xml"/><Relationship Id="rId31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7/relationships/slicerCache" Target="slicerCaches/slicerCache4.xml"/><Relationship Id="rId22" Type="http://schemas.microsoft.com/office/2007/relationships/slicerCache" Target="slicerCaches/slicerCache12.xml"/><Relationship Id="rId27" Type="http://schemas.microsoft.com/office/2007/relationships/slicerCache" Target="slicerCaches/slicerCache17.xml"/><Relationship Id="rId30" Type="http://schemas.microsoft.com/office/2007/relationships/slicerCache" Target="slicerCaches/slicerCache20.xml"/><Relationship Id="rId35" Type="http://schemas.openxmlformats.org/officeDocument/2006/relationships/styles" Target="styles.xml"/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12" Type="http://schemas.microsoft.com/office/2007/relationships/slicerCache" Target="slicerCaches/slicerCache2.xml"/><Relationship Id="rId17" Type="http://schemas.microsoft.com/office/2007/relationships/slicerCache" Target="slicerCaches/slicerCache7.xml"/><Relationship Id="rId25" Type="http://schemas.microsoft.com/office/2007/relationships/slicerCache" Target="slicerCaches/slicerCache1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[(9) Esteira de Duplicadas BETA.xlsm]Base_graf!din_graf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bg1">
                <a:lumMod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bg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ysClr val="window" lastClr="FFFFFF">
                <a:lumMod val="85000"/>
              </a:sys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rgbClr val="348286">
                <a:lumMod val="5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rgbClr val="086267">
                <a:lumMod val="5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A5A5A5">
                <a:lumMod val="55000"/>
                <a:lumOff val="4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rgbClr val="A5A5A5">
                <a:lumMod val="8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rgbClr val="A5A5A5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rgbClr val="348286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rgbClr val="086267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rgbClr val="A5A5A5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rgbClr val="348286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rgbClr val="348286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rgbClr val="086267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rgbClr val="A5A5A5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5"/>
        <c:spPr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6"/>
        <c:spPr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7"/>
        <c:spPr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Base_graf!$I$4:$I$5</c:f>
              <c:strCache>
                <c:ptCount val="1"/>
                <c:pt idx="0">
                  <c:v>14/05/2025</c:v>
                </c:pt>
              </c:strCache>
            </c:strRef>
          </c:tx>
          <c:spPr>
            <a:ln w="28575" cap="rnd">
              <a:solidFill>
                <a:srgbClr val="348286">
                  <a:lumMod val="65000"/>
                </a:srgb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Base_graf!$H$6:$H$20</c:f>
              <c:strCache>
                <c:ptCount val="1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</c:strCache>
            </c:strRef>
          </c:cat>
          <c:val>
            <c:numRef>
              <c:f>Base_graf!$I$6:$I$20</c:f>
              <c:numCache>
                <c:formatCode>0.00%</c:formatCode>
                <c:ptCount val="14"/>
                <c:pt idx="0">
                  <c:v>9.7538637664567829E-2</c:v>
                </c:pt>
                <c:pt idx="1">
                  <c:v>0.11003154574132493</c:v>
                </c:pt>
                <c:pt idx="2">
                  <c:v>0.11771572236688516</c:v>
                </c:pt>
                <c:pt idx="3">
                  <c:v>0.11002828097531148</c:v>
                </c:pt>
                <c:pt idx="4">
                  <c:v>0.1048934856437172</c:v>
                </c:pt>
                <c:pt idx="5">
                  <c:v>9.8075526506899061E-2</c:v>
                </c:pt>
                <c:pt idx="6">
                  <c:v>9.0039589391444491E-2</c:v>
                </c:pt>
                <c:pt idx="7">
                  <c:v>7.9940784603997034E-2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824-4FD6-9569-BA0359A1676D}"/>
            </c:ext>
          </c:extLst>
        </c:ser>
        <c:ser>
          <c:idx val="1"/>
          <c:order val="1"/>
          <c:tx>
            <c:strRef>
              <c:f>Base_graf!$J$4:$J$5</c:f>
              <c:strCache>
                <c:ptCount val="1"/>
                <c:pt idx="0">
                  <c:v>13/05/2025</c:v>
                </c:pt>
              </c:strCache>
            </c:strRef>
          </c:tx>
          <c:spPr>
            <a:ln w="28575" cap="rnd">
              <a:solidFill>
                <a:srgbClr val="086267">
                  <a:lumMod val="80000"/>
                  <a:lumOff val="20000"/>
                </a:srgb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Base_graf!$H$6:$H$20</c:f>
              <c:strCache>
                <c:ptCount val="1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</c:strCache>
            </c:strRef>
          </c:cat>
          <c:val>
            <c:numRef>
              <c:f>Base_graf!$J$6:$J$20</c:f>
              <c:numCache>
                <c:formatCode>0.00%</c:formatCode>
                <c:ptCount val="14"/>
                <c:pt idx="0">
                  <c:v>0.12189555645053027</c:v>
                </c:pt>
                <c:pt idx="1">
                  <c:v>0.1279486099410278</c:v>
                </c:pt>
                <c:pt idx="2">
                  <c:v>0.13805680583579077</c:v>
                </c:pt>
                <c:pt idx="3">
                  <c:v>0.13043478260869565</c:v>
                </c:pt>
                <c:pt idx="4">
                  <c:v>0.11719915220974959</c:v>
                </c:pt>
                <c:pt idx="5">
                  <c:v>0.11308668814783182</c:v>
                </c:pt>
                <c:pt idx="6">
                  <c:v>0.1045672133720474</c:v>
                </c:pt>
                <c:pt idx="7">
                  <c:v>0.10621242484969939</c:v>
                </c:pt>
                <c:pt idx="8">
                  <c:v>0.11068013710986831</c:v>
                </c:pt>
                <c:pt idx="9">
                  <c:v>0.1067741561303793</c:v>
                </c:pt>
                <c:pt idx="10">
                  <c:v>0.11226662299377661</c:v>
                </c:pt>
                <c:pt idx="11">
                  <c:v>0.11040250914793517</c:v>
                </c:pt>
                <c:pt idx="12">
                  <c:v>0.12554927809165098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CC4-49BD-80AA-EB405F72DEFA}"/>
            </c:ext>
          </c:extLst>
        </c:ser>
        <c:ser>
          <c:idx val="2"/>
          <c:order val="2"/>
          <c:tx>
            <c:strRef>
              <c:f>Base_graf!$K$4:$K$5</c:f>
              <c:strCache>
                <c:ptCount val="1"/>
                <c:pt idx="0">
                  <c:v>12/05/2025</c:v>
                </c:pt>
              </c:strCache>
            </c:strRef>
          </c:tx>
          <c:spPr>
            <a:ln w="28575" cap="rnd">
              <a:solidFill>
                <a:srgbClr val="A5A5A5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Base_graf!$H$6:$H$20</c:f>
              <c:strCache>
                <c:ptCount val="1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</c:strCache>
            </c:strRef>
          </c:cat>
          <c:val>
            <c:numRef>
              <c:f>Base_graf!$K$6:$K$20</c:f>
              <c:numCache>
                <c:formatCode>0.00%</c:formatCode>
                <c:ptCount val="14"/>
                <c:pt idx="0">
                  <c:v>0.13018937987374676</c:v>
                </c:pt>
                <c:pt idx="1">
                  <c:v>0.13189338235294118</c:v>
                </c:pt>
                <c:pt idx="2">
                  <c:v>0.14324825986078887</c:v>
                </c:pt>
                <c:pt idx="3">
                  <c:v>0.14549037316802824</c:v>
                </c:pt>
                <c:pt idx="4">
                  <c:v>0.16035624136781446</c:v>
                </c:pt>
                <c:pt idx="5">
                  <c:v>0.14207386612860778</c:v>
                </c:pt>
                <c:pt idx="6">
                  <c:v>0.1323078165374677</c:v>
                </c:pt>
                <c:pt idx="7">
                  <c:v>0.1337594332357924</c:v>
                </c:pt>
                <c:pt idx="8">
                  <c:v>0.13395033860045147</c:v>
                </c:pt>
                <c:pt idx="9">
                  <c:v>0.14218434626597892</c:v>
                </c:pt>
                <c:pt idx="10">
                  <c:v>0.14587784572312679</c:v>
                </c:pt>
                <c:pt idx="11">
                  <c:v>0.1590290381125227</c:v>
                </c:pt>
                <c:pt idx="12">
                  <c:v>0.16307277628032346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CC4-49BD-80AA-EB405F72D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1289696"/>
        <c:axId val="741290024"/>
      </c:lineChart>
      <c:catAx>
        <c:axId val="74128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1290024"/>
        <c:crosses val="autoZero"/>
        <c:auto val="1"/>
        <c:lblAlgn val="ctr"/>
        <c:lblOffset val="100"/>
        <c:noMultiLvlLbl val="0"/>
      </c:catAx>
      <c:valAx>
        <c:axId val="74129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128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[(9) Esteira de Duplicadas BETA.xlsm]Base_graf!din_graf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bg1">
                <a:lumMod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bg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ysClr val="window" lastClr="FFFFFF">
                <a:lumMod val="85000"/>
              </a:sys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rgbClr val="348286">
                <a:lumMod val="5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rgbClr val="086267">
                <a:lumMod val="5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A5A5A5">
                <a:lumMod val="55000"/>
                <a:lumOff val="4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rgbClr val="A5A5A5">
                <a:lumMod val="8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rgbClr val="A5A5A5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rgbClr val="348286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rgbClr val="086267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rgbClr val="A5A5A5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rgbClr val="348286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rgbClr val="A5A5A5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rgbClr val="348286">
                <a:lumMod val="9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rgbClr val="348286">
                <a:lumMod val="65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rgbClr val="086267">
                <a:lumMod val="80000"/>
                <a:lumOff val="2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Base_graf!$I$4:$I$5</c:f>
              <c:strCache>
                <c:ptCount val="1"/>
                <c:pt idx="0">
                  <c:v>14/05/2025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Base_graf!$H$6:$H$20</c:f>
              <c:strCache>
                <c:ptCount val="1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</c:strCache>
            </c:strRef>
          </c:cat>
          <c:val>
            <c:numRef>
              <c:f>Base_graf!$I$6:$I$20</c:f>
              <c:numCache>
                <c:formatCode>0.00%</c:formatCode>
                <c:ptCount val="14"/>
                <c:pt idx="0">
                  <c:v>9.7538637664567829E-2</c:v>
                </c:pt>
                <c:pt idx="1">
                  <c:v>0.11003154574132493</c:v>
                </c:pt>
                <c:pt idx="2">
                  <c:v>0.11771572236688516</c:v>
                </c:pt>
                <c:pt idx="3">
                  <c:v>0.11002828097531148</c:v>
                </c:pt>
                <c:pt idx="4">
                  <c:v>0.1048934856437172</c:v>
                </c:pt>
                <c:pt idx="5">
                  <c:v>9.8075526506899061E-2</c:v>
                </c:pt>
                <c:pt idx="6">
                  <c:v>9.0039589391444491E-2</c:v>
                </c:pt>
                <c:pt idx="7">
                  <c:v>7.9940784603997034E-2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1BE-4EC4-9F3E-0DB4FDD42605}"/>
            </c:ext>
          </c:extLst>
        </c:ser>
        <c:ser>
          <c:idx val="1"/>
          <c:order val="1"/>
          <c:tx>
            <c:strRef>
              <c:f>Base_graf!$J$4:$J$5</c:f>
              <c:strCache>
                <c:ptCount val="1"/>
                <c:pt idx="0">
                  <c:v>13/05/2025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Base_graf!$H$6:$H$20</c:f>
              <c:strCache>
                <c:ptCount val="1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</c:strCache>
            </c:strRef>
          </c:cat>
          <c:val>
            <c:numRef>
              <c:f>Base_graf!$J$6:$J$20</c:f>
              <c:numCache>
                <c:formatCode>0.00%</c:formatCode>
                <c:ptCount val="14"/>
                <c:pt idx="0">
                  <c:v>0.12189555645053027</c:v>
                </c:pt>
                <c:pt idx="1">
                  <c:v>0.1279486099410278</c:v>
                </c:pt>
                <c:pt idx="2">
                  <c:v>0.13805680583579077</c:v>
                </c:pt>
                <c:pt idx="3">
                  <c:v>0.13043478260869565</c:v>
                </c:pt>
                <c:pt idx="4">
                  <c:v>0.11719915220974959</c:v>
                </c:pt>
                <c:pt idx="5">
                  <c:v>0.11308668814783182</c:v>
                </c:pt>
                <c:pt idx="6">
                  <c:v>0.1045672133720474</c:v>
                </c:pt>
                <c:pt idx="7">
                  <c:v>0.10621242484969939</c:v>
                </c:pt>
                <c:pt idx="8">
                  <c:v>0.11068013710986831</c:v>
                </c:pt>
                <c:pt idx="9">
                  <c:v>0.1067741561303793</c:v>
                </c:pt>
                <c:pt idx="10">
                  <c:v>0.11226662299377661</c:v>
                </c:pt>
                <c:pt idx="11">
                  <c:v>0.11040250914793517</c:v>
                </c:pt>
                <c:pt idx="12">
                  <c:v>0.12554927809165098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1BE-4EC4-9F3E-0DB4FDD42605}"/>
            </c:ext>
          </c:extLst>
        </c:ser>
        <c:ser>
          <c:idx val="2"/>
          <c:order val="2"/>
          <c:tx>
            <c:strRef>
              <c:f>Base_graf!$K$4:$K$5</c:f>
              <c:strCache>
                <c:ptCount val="1"/>
                <c:pt idx="0">
                  <c:v>12/05/2025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Base_graf!$H$6:$H$20</c:f>
              <c:strCache>
                <c:ptCount val="1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</c:strCache>
            </c:strRef>
          </c:cat>
          <c:val>
            <c:numRef>
              <c:f>Base_graf!$K$6:$K$20</c:f>
              <c:numCache>
                <c:formatCode>0.00%</c:formatCode>
                <c:ptCount val="14"/>
                <c:pt idx="0">
                  <c:v>0.13018937987374676</c:v>
                </c:pt>
                <c:pt idx="1">
                  <c:v>0.13189338235294118</c:v>
                </c:pt>
                <c:pt idx="2">
                  <c:v>0.14324825986078887</c:v>
                </c:pt>
                <c:pt idx="3">
                  <c:v>0.14549037316802824</c:v>
                </c:pt>
                <c:pt idx="4">
                  <c:v>0.16035624136781446</c:v>
                </c:pt>
                <c:pt idx="5">
                  <c:v>0.14207386612860778</c:v>
                </c:pt>
                <c:pt idx="6">
                  <c:v>0.1323078165374677</c:v>
                </c:pt>
                <c:pt idx="7">
                  <c:v>0.1337594332357924</c:v>
                </c:pt>
                <c:pt idx="8">
                  <c:v>0.13395033860045147</c:v>
                </c:pt>
                <c:pt idx="9">
                  <c:v>0.14218434626597892</c:v>
                </c:pt>
                <c:pt idx="10">
                  <c:v>0.14587784572312679</c:v>
                </c:pt>
                <c:pt idx="11">
                  <c:v>0.1590290381125227</c:v>
                </c:pt>
                <c:pt idx="12">
                  <c:v>0.16307277628032346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1BE-4EC4-9F3E-0DB4FDD42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1289696"/>
        <c:axId val="741290024"/>
      </c:lineChart>
      <c:catAx>
        <c:axId val="74128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1290024"/>
        <c:crosses val="autoZero"/>
        <c:auto val="1"/>
        <c:lblAlgn val="ctr"/>
        <c:lblOffset val="100"/>
        <c:noMultiLvlLbl val="0"/>
      </c:catAx>
      <c:valAx>
        <c:axId val="74129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128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80596</xdr:colOff>
      <xdr:row>1</xdr:row>
      <xdr:rowOff>3106</xdr:rowOff>
    </xdr:from>
    <xdr:to>
      <xdr:col>23</xdr:col>
      <xdr:colOff>537914</xdr:colOff>
      <xdr:row>27</xdr:row>
      <xdr:rowOff>85398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37243" y="193606"/>
          <a:ext cx="15092169" cy="5035292"/>
        </a:xfrm>
        <a:prstGeom prst="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bg1">
                <a:lumMod val="9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284018</xdr:colOff>
      <xdr:row>1</xdr:row>
      <xdr:rowOff>6403</xdr:rowOff>
    </xdr:from>
    <xdr:to>
      <xdr:col>4</xdr:col>
      <xdr:colOff>588818</xdr:colOff>
      <xdr:row>27</xdr:row>
      <xdr:rowOff>86591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4018" y="190500"/>
          <a:ext cx="2447925" cy="5039591"/>
        </a:xfrm>
        <a:prstGeom prst="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bg1">
                <a:lumMod val="9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671698</xdr:colOff>
      <xdr:row>30</xdr:row>
      <xdr:rowOff>5404</xdr:rowOff>
    </xdr:from>
    <xdr:to>
      <xdr:col>10</xdr:col>
      <xdr:colOff>2196316</xdr:colOff>
      <xdr:row>33</xdr:row>
      <xdr:rowOff>44823</xdr:rowOff>
    </xdr:to>
    <xdr:sp macro="[0]!refresh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338823" y="5709199"/>
          <a:ext cx="3338328" cy="6221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2000" b="1">
              <a:solidFill>
                <a:schemeClr val="tx1">
                  <a:lumMod val="75000"/>
                  <a:lumOff val="2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CLIQUE</a:t>
          </a:r>
          <a:r>
            <a:rPr lang="pt-BR" sz="2000" b="1" baseline="0">
              <a:solidFill>
                <a:schemeClr val="tx1">
                  <a:lumMod val="75000"/>
                  <a:lumOff val="2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PARA </a:t>
          </a:r>
          <a:r>
            <a:rPr lang="pt-BR" sz="2000" b="1">
              <a:solidFill>
                <a:schemeClr val="tx1">
                  <a:lumMod val="75000"/>
                  <a:lumOff val="2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ATUALIZAR</a:t>
          </a:r>
        </a:p>
      </xdr:txBody>
    </xdr:sp>
    <xdr:clientData/>
  </xdr:twoCellAnchor>
  <xdr:twoCellAnchor editAs="absolute">
    <xdr:from>
      <xdr:col>1</xdr:col>
      <xdr:colOff>23812</xdr:colOff>
      <xdr:row>31</xdr:row>
      <xdr:rowOff>119062</xdr:rowOff>
    </xdr:from>
    <xdr:to>
      <xdr:col>8</xdr:col>
      <xdr:colOff>344300</xdr:colOff>
      <xdr:row>31</xdr:row>
      <xdr:rowOff>119062</xdr:rowOff>
    </xdr:to>
    <xdr:cxnSp macro="">
      <xdr:nvCxnSpPr>
        <xdr:cNvPr id="37" name="Conector ret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309562" y="6024562"/>
          <a:ext cx="3701863" cy="0"/>
        </a:xfrm>
        <a:prstGeom prst="line">
          <a:avLst/>
        </a:prstGeom>
        <a:ln>
          <a:solidFill>
            <a:srgbClr val="064F5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381000</xdr:colOff>
      <xdr:row>3</xdr:row>
      <xdr:rowOff>179296</xdr:rowOff>
    </xdr:from>
    <xdr:to>
      <xdr:col>21</xdr:col>
      <xdr:colOff>291353</xdr:colOff>
      <xdr:row>25</xdr:row>
      <xdr:rowOff>112060</xdr:rowOff>
    </xdr:to>
    <xdr:graphicFrame macro="">
      <xdr:nvGraphicFramePr>
        <xdr:cNvPr id="23" name="graf_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20</xdr:col>
      <xdr:colOff>542716</xdr:colOff>
      <xdr:row>1</xdr:row>
      <xdr:rowOff>168089</xdr:rowOff>
    </xdr:from>
    <xdr:to>
      <xdr:col>23</xdr:col>
      <xdr:colOff>340050</xdr:colOff>
      <xdr:row>3</xdr:row>
      <xdr:rowOff>156883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5856323" y="358589"/>
          <a:ext cx="1871383" cy="3697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400" b="0">
              <a:solidFill>
                <a:schemeClr val="tx1">
                  <a:lumMod val="75000"/>
                  <a:lumOff val="2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ALÔ PA POR</a:t>
          </a:r>
          <a:r>
            <a:rPr lang="pt-BR" sz="1400" b="0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</a:t>
          </a:r>
          <a:r>
            <a:rPr lang="pt-BR" sz="1400" b="0">
              <a:solidFill>
                <a:schemeClr val="tx1">
                  <a:lumMod val="75000"/>
                  <a:lumOff val="2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HORA</a:t>
          </a:r>
        </a:p>
      </xdr:txBody>
    </xdr:sp>
    <xdr:clientData/>
  </xdr:twoCellAnchor>
  <xdr:twoCellAnchor editAs="absolute">
    <xdr:from>
      <xdr:col>10</xdr:col>
      <xdr:colOff>104349</xdr:colOff>
      <xdr:row>40</xdr:row>
      <xdr:rowOff>2537</xdr:rowOff>
    </xdr:from>
    <xdr:to>
      <xdr:col>19</xdr:col>
      <xdr:colOff>373885</xdr:colOff>
      <xdr:row>49</xdr:row>
      <xdr:rowOff>36643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823197" y="7391628"/>
          <a:ext cx="9467415" cy="1712045"/>
          <a:chOff x="7107250" y="6968295"/>
          <a:chExt cx="9136369" cy="176400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7107250" y="6968295"/>
            <a:ext cx="9136369" cy="1764000"/>
          </a:xfrm>
          <a:prstGeom prst="rect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bg1">
                  <a:lumMod val="95000"/>
                </a:schemeClr>
              </a:gs>
            </a:gsLst>
            <a:lin ang="8100000" scaled="1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2" name="HORA">
                <a:extLst>
                  <a:ext uri="{FF2B5EF4-FFF2-40B4-BE49-F238E27FC236}">
                    <a16:creationId xmlns:a16="http://schemas.microsoft.com/office/drawing/2014/main" id="{00000000-0008-0000-0000-000034000000}"/>
                  </a:ext>
                </a:extLst>
              </xdr:cNvPr>
              <xdr:cNvGraphicFramePr/>
            </xdr:nvGraphicFramePr>
            <xdr:xfrm>
              <a:off x="11702920" y="7006478"/>
              <a:ext cx="2638054" cy="1700492"/>
            </xdr:xfrm>
            <a:graphic>
              <a:graphicData uri="http://schemas.microsoft.com/office/drawing/2010/slicer">
                <sle:slicer xmlns:sle="http://schemas.microsoft.com/office/drawing/2010/slicer" name="HORA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585386" y="7428686"/>
                <a:ext cx="2733641" cy="165040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53" name="Data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GraphicFramePr/>
            </xdr:nvGraphicFramePr>
            <xdr:xfrm>
              <a:off x="7146632" y="7007598"/>
              <a:ext cx="4520431" cy="1688166"/>
            </xdr:xfrm>
            <a:graphic>
              <a:graphicData uri="http://schemas.microsoft.com/office/drawing/2012/timeslicer">
                <tsle:timeslicer name="Data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64006" y="7429773"/>
                <a:ext cx="4684224" cy="163844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Linha do tempo: Funciona em Excel 2013 ou superior. Não mover ou redimensionar.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9" name="Tipo">
                <a:extLst>
                  <a:ext uri="{FF2B5EF4-FFF2-40B4-BE49-F238E27FC236}">
                    <a16:creationId xmlns:a16="http://schemas.microsoft.com/office/drawing/2014/main" id="{00000000-0008-0000-0000-00003B000000}"/>
                  </a:ext>
                </a:extLst>
              </xdr:cNvPr>
              <xdr:cNvGraphicFramePr/>
            </xdr:nvGraphicFramePr>
            <xdr:xfrm>
              <a:off x="14383310" y="7014881"/>
              <a:ext cx="1828800" cy="1296682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362897" y="7436842"/>
                <a:ext cx="1895065" cy="125849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15204639" y="8517519"/>
            <a:ext cx="954543" cy="178014"/>
            <a:chOff x="16920743" y="8360229"/>
            <a:chExt cx="954543" cy="178014"/>
          </a:xfrm>
        </xdr:grpSpPr>
        <xdr:sp macro="[0]!link_legenda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6920743" y="8360229"/>
              <a:ext cx="890007" cy="1780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pt-BR" sz="1200" baseline="0">
                  <a:solidFill>
                    <a:schemeClr val="accent1">
                      <a:lumMod val="50000"/>
                    </a:schemeClr>
                  </a:solidFill>
                </a:rPr>
                <a:t>LEGENDA</a:t>
              </a:r>
            </a:p>
            <a:p>
              <a:pPr algn="r"/>
              <a:endParaRPr lang="pt-BR" sz="1200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  <xdr:sp macro="[0]!link_legenda" textlink="">
          <xdr:nvSpPr>
            <xdr:cNvPr id="12" name="Elipse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 flipH="1">
              <a:off x="17782338" y="8406807"/>
              <a:ext cx="92948" cy="92948"/>
            </a:xfrm>
            <a:prstGeom prst="ellipse">
              <a:avLst/>
            </a:prstGeom>
            <a:solidFill>
              <a:schemeClr val="accent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  <xdr:twoCellAnchor>
    <xdr:from>
      <xdr:col>1</xdr:col>
      <xdr:colOff>155261</xdr:colOff>
      <xdr:row>16</xdr:row>
      <xdr:rowOff>56030</xdr:rowOff>
    </xdr:from>
    <xdr:to>
      <xdr:col>4</xdr:col>
      <xdr:colOff>398610</xdr:colOff>
      <xdr:row>18</xdr:row>
      <xdr:rowOff>67235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455443" y="3011666"/>
          <a:ext cx="2159894" cy="380660"/>
          <a:chOff x="446614" y="2891118"/>
          <a:chExt cx="2092320" cy="392205"/>
        </a:xfrm>
      </xdr:grpSpPr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446614" y="2927745"/>
            <a:ext cx="2092320" cy="355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tx1">
                    <a:lumMod val="75000"/>
                    <a:lumOff val="2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ESTEIRA GERAL</a:t>
            </a:r>
          </a:p>
        </xdr:txBody>
      </xdr:sp>
      <xdr:cxnSp macro="">
        <xdr:nvCxnSpPr>
          <xdr:cNvPr id="49" name="Conector reto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>
            <a:off x="661148" y="2891118"/>
            <a:ext cx="169208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</xdr:col>
      <xdr:colOff>50387</xdr:colOff>
      <xdr:row>34</xdr:row>
      <xdr:rowOff>125578</xdr:rowOff>
    </xdr:from>
    <xdr:to>
      <xdr:col>6</xdr:col>
      <xdr:colOff>38344</xdr:colOff>
      <xdr:row>176</xdr:row>
      <xdr:rowOff>16866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350569" y="6406305"/>
          <a:ext cx="3182199" cy="26499713"/>
          <a:chOff x="281296" y="6666341"/>
          <a:chExt cx="3083270" cy="2147163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281296" y="6666341"/>
            <a:ext cx="3083270" cy="21471630"/>
          </a:xfrm>
          <a:prstGeom prst="rect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bg1">
                  <a:lumMod val="95000"/>
                </a:schemeClr>
              </a:gs>
            </a:gsLst>
            <a:lin ang="8100000" scaled="1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FILA">
                <a:extLst>
                  <a:ext uri="{FF2B5EF4-FFF2-40B4-BE49-F238E27FC236}">
                    <a16:creationId xmlns:a16="http://schemas.microsoft.com/office/drawing/2014/main" id="{00000000-0008-0000-0000-00002C000000}"/>
                  </a:ext>
                </a:extLst>
              </xdr:cNvPr>
              <xdr:cNvGraphicFramePr/>
            </xdr:nvGraphicFramePr>
            <xdr:xfrm>
              <a:off x="324176" y="11999564"/>
              <a:ext cx="3001737" cy="2497753"/>
            </xdr:xfrm>
            <a:graphic>
              <a:graphicData uri="http://schemas.microsoft.com/office/drawing/2010/slicer">
                <sle:slicer xmlns:sle="http://schemas.microsoft.com/office/drawing/2010/slicer" name="FILA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94825" y="12898571"/>
                <a:ext cx="3098050" cy="304057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0" name="SERVIDOR">
                <a:extLst>
                  <a:ext uri="{FF2B5EF4-FFF2-40B4-BE49-F238E27FC236}">
                    <a16:creationId xmlns:a16="http://schemas.microsoft.com/office/drawing/2014/main" id="{00000000-0008-0000-0000-000032000000}"/>
                  </a:ext>
                </a:extLst>
              </xdr:cNvPr>
              <xdr:cNvGraphicFramePr/>
            </xdr:nvGraphicFramePr>
            <xdr:xfrm>
              <a:off x="324176" y="9814748"/>
              <a:ext cx="3001737" cy="2097569"/>
            </xdr:xfrm>
            <a:graphic>
              <a:graphicData uri="http://schemas.microsoft.com/office/drawing/2010/slicer">
                <sle:slicer xmlns:sle="http://schemas.microsoft.com/office/drawing/2010/slicer" name="SERVIDOR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94825" y="10238940"/>
                <a:ext cx="3098050" cy="255342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1" name="PAG_SUB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GraphicFramePr/>
            </xdr:nvGraphicFramePr>
            <xdr:xfrm>
              <a:off x="331634" y="6717741"/>
              <a:ext cx="3001737" cy="705643"/>
            </xdr:xfrm>
            <a:graphic>
              <a:graphicData uri="http://schemas.microsoft.com/office/drawing/2010/slicer">
                <sle:slicer xmlns:sle="http://schemas.microsoft.com/office/drawing/2010/slicer" name="PAG_SUB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02522" y="6468876"/>
                <a:ext cx="3098050" cy="85899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9" name="TECNOLOGIA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GraphicFramePr/>
            </xdr:nvGraphicFramePr>
            <xdr:xfrm>
              <a:off x="314991" y="7477450"/>
              <a:ext cx="2995936" cy="1047198"/>
            </xdr:xfrm>
            <a:graphic>
              <a:graphicData uri="http://schemas.microsoft.com/office/drawing/2010/slicer">
                <sle:slicer xmlns:sle="http://schemas.microsoft.com/office/drawing/2010/slicer" name="TECNOLOGIA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85345" y="7393688"/>
                <a:ext cx="3092063" cy="12747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1" name="ROTA">
                <a:extLst>
                  <a:ext uri="{FF2B5EF4-FFF2-40B4-BE49-F238E27FC236}">
                    <a16:creationId xmlns:a16="http://schemas.microsoft.com/office/drawing/2014/main" id="{00000000-0008-0000-0000-00000B000000}"/>
                  </a:ext>
                </a:extLst>
              </xdr:cNvPr>
              <xdr:cNvGraphicFramePr/>
            </xdr:nvGraphicFramePr>
            <xdr:xfrm>
              <a:off x="330920" y="16350375"/>
              <a:ext cx="2999575" cy="3878170"/>
            </xdr:xfrm>
            <a:graphic>
              <a:graphicData uri="http://schemas.microsoft.com/office/drawing/2010/slicer">
                <sle:slicer xmlns:sle="http://schemas.microsoft.com/office/drawing/2010/slicer" name="ROTA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01785" y="18194923"/>
                <a:ext cx="3095819" cy="47209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6" name="OPERADORA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GraphicFramePr/>
            </xdr:nvGraphicFramePr>
            <xdr:xfrm>
              <a:off x="322448" y="14547725"/>
              <a:ext cx="2999575" cy="1714716"/>
            </xdr:xfrm>
            <a:graphic>
              <a:graphicData uri="http://schemas.microsoft.com/office/drawing/2010/slicer">
                <sle:slicer xmlns:sle="http://schemas.microsoft.com/office/drawing/2010/slicer" name="OPERADORA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93041" y="16000512"/>
                <a:ext cx="3095819" cy="208736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470648</xdr:colOff>
      <xdr:row>7</xdr:row>
      <xdr:rowOff>145677</xdr:rowOff>
    </xdr:from>
    <xdr:to>
      <xdr:col>4</xdr:col>
      <xdr:colOff>34909</xdr:colOff>
      <xdr:row>15</xdr:row>
      <xdr:rowOff>18283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95C86A4-6B93-5428-ED2C-872056C29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1" y="1479177"/>
          <a:ext cx="1413232" cy="1396606"/>
        </a:xfrm>
        <a:prstGeom prst="rect">
          <a:avLst/>
        </a:prstGeom>
      </xdr:spPr>
    </xdr:pic>
    <xdr:clientData/>
  </xdr:twoCellAnchor>
  <xdr:twoCellAnchor editAs="oneCell">
    <xdr:from>
      <xdr:col>1</xdr:col>
      <xdr:colOff>86743</xdr:colOff>
      <xdr:row>47</xdr:row>
      <xdr:rowOff>52571</xdr:rowOff>
    </xdr:from>
    <xdr:to>
      <xdr:col>5</xdr:col>
      <xdr:colOff>631150</xdr:colOff>
      <xdr:row>55</xdr:row>
      <xdr:rowOff>15395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CLIENTE">
              <a:extLst>
                <a:ext uri="{FF2B5EF4-FFF2-40B4-BE49-F238E27FC236}">
                  <a16:creationId xmlns:a16="http://schemas.microsoft.com/office/drawing/2014/main" id="{8640C1B7-C946-A36A-521E-665B2B7792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925" y="8734753"/>
              <a:ext cx="3099801" cy="14560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80596</xdr:colOff>
      <xdr:row>1</xdr:row>
      <xdr:rowOff>3106</xdr:rowOff>
    </xdr:from>
    <xdr:to>
      <xdr:col>21</xdr:col>
      <xdr:colOff>739588</xdr:colOff>
      <xdr:row>27</xdr:row>
      <xdr:rowOff>85398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C642669-A217-43C1-B9F8-173B5D91C0B8}"/>
            </a:ext>
          </a:extLst>
        </xdr:cNvPr>
        <xdr:cNvSpPr/>
      </xdr:nvSpPr>
      <xdr:spPr>
        <a:xfrm>
          <a:off x="2842846" y="193606"/>
          <a:ext cx="15061353" cy="5035292"/>
        </a:xfrm>
        <a:prstGeom prst="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bg1">
                <a:lumMod val="9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284018</xdr:colOff>
      <xdr:row>1</xdr:row>
      <xdr:rowOff>0</xdr:rowOff>
    </xdr:from>
    <xdr:to>
      <xdr:col>4</xdr:col>
      <xdr:colOff>588818</xdr:colOff>
      <xdr:row>27</xdr:row>
      <xdr:rowOff>86591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E0A40AEB-E8BE-4178-8A3D-E7491776C9CE}"/>
            </a:ext>
          </a:extLst>
        </xdr:cNvPr>
        <xdr:cNvSpPr/>
      </xdr:nvSpPr>
      <xdr:spPr>
        <a:xfrm>
          <a:off x="284018" y="190500"/>
          <a:ext cx="2447925" cy="5039591"/>
        </a:xfrm>
        <a:prstGeom prst="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bg1">
                <a:lumMod val="9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671698</xdr:colOff>
      <xdr:row>30</xdr:row>
      <xdr:rowOff>5404</xdr:rowOff>
    </xdr:from>
    <xdr:to>
      <xdr:col>11</xdr:col>
      <xdr:colOff>489858</xdr:colOff>
      <xdr:row>33</xdr:row>
      <xdr:rowOff>44823</xdr:rowOff>
    </xdr:to>
    <xdr:sp macro="[0]!refresh" textlink="">
      <xdr:nvSpPr>
        <xdr:cNvPr id="4" name="CaixaDeTexto 3">
          <a:extLst>
            <a:ext uri="{FF2B5EF4-FFF2-40B4-BE49-F238E27FC236}">
              <a16:creationId xmlns:a16="http://schemas.microsoft.com/office/drawing/2014/main" id="{F6F22553-AA80-42BA-B467-B88F57EB5E15}"/>
            </a:ext>
          </a:extLst>
        </xdr:cNvPr>
        <xdr:cNvSpPr txBox="1"/>
      </xdr:nvSpPr>
      <xdr:spPr>
        <a:xfrm>
          <a:off x="4338823" y="5709199"/>
          <a:ext cx="3351374" cy="6221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2000" b="1">
              <a:solidFill>
                <a:schemeClr val="tx1">
                  <a:lumMod val="75000"/>
                  <a:lumOff val="2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CLIQUE</a:t>
          </a:r>
          <a:r>
            <a:rPr lang="pt-BR" sz="2000" b="1" baseline="0">
              <a:solidFill>
                <a:schemeClr val="tx1">
                  <a:lumMod val="75000"/>
                  <a:lumOff val="2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PARA </a:t>
          </a:r>
          <a:r>
            <a:rPr lang="pt-BR" sz="2000" b="1">
              <a:solidFill>
                <a:schemeClr val="tx1">
                  <a:lumMod val="75000"/>
                  <a:lumOff val="2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ATUALIZAR</a:t>
          </a:r>
        </a:p>
      </xdr:txBody>
    </xdr:sp>
    <xdr:clientData/>
  </xdr:twoCellAnchor>
  <xdr:twoCellAnchor editAs="absolute">
    <xdr:from>
      <xdr:col>1</xdr:col>
      <xdr:colOff>23812</xdr:colOff>
      <xdr:row>31</xdr:row>
      <xdr:rowOff>119062</xdr:rowOff>
    </xdr:from>
    <xdr:to>
      <xdr:col>8</xdr:col>
      <xdr:colOff>344300</xdr:colOff>
      <xdr:row>31</xdr:row>
      <xdr:rowOff>119062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9A8B2088-A5FC-4423-8045-8B62932DD6B7}"/>
            </a:ext>
          </a:extLst>
        </xdr:cNvPr>
        <xdr:cNvCxnSpPr/>
      </xdr:nvCxnSpPr>
      <xdr:spPr>
        <a:xfrm flipH="1">
          <a:off x="309562" y="6024562"/>
          <a:ext cx="3701863" cy="0"/>
        </a:xfrm>
        <a:prstGeom prst="line">
          <a:avLst/>
        </a:prstGeom>
        <a:ln>
          <a:solidFill>
            <a:srgbClr val="064F5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381000</xdr:colOff>
      <xdr:row>3</xdr:row>
      <xdr:rowOff>179296</xdr:rowOff>
    </xdr:from>
    <xdr:to>
      <xdr:col>21</xdr:col>
      <xdr:colOff>291353</xdr:colOff>
      <xdr:row>25</xdr:row>
      <xdr:rowOff>112060</xdr:rowOff>
    </xdr:to>
    <xdr:graphicFrame macro="">
      <xdr:nvGraphicFramePr>
        <xdr:cNvPr id="6" name="graf_1">
          <a:extLst>
            <a:ext uri="{FF2B5EF4-FFF2-40B4-BE49-F238E27FC236}">
              <a16:creationId xmlns:a16="http://schemas.microsoft.com/office/drawing/2014/main" id="{D61C58F8-7945-4CC6-97E2-FFF32ED8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1075765</xdr:colOff>
      <xdr:row>1</xdr:row>
      <xdr:rowOff>168089</xdr:rowOff>
    </xdr:from>
    <xdr:to>
      <xdr:col>21</xdr:col>
      <xdr:colOff>537882</xdr:colOff>
      <xdr:row>3</xdr:row>
      <xdr:rowOff>156883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A869AD0C-9D28-451E-8D97-EEA6B4353EA9}"/>
            </a:ext>
          </a:extLst>
        </xdr:cNvPr>
        <xdr:cNvSpPr txBox="1"/>
      </xdr:nvSpPr>
      <xdr:spPr>
        <a:xfrm>
          <a:off x="15836713" y="358589"/>
          <a:ext cx="1865780" cy="3697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400" b="0">
              <a:solidFill>
                <a:schemeClr val="tx1">
                  <a:lumMod val="75000"/>
                  <a:lumOff val="2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ALÔ PA POR</a:t>
          </a:r>
          <a:r>
            <a:rPr lang="pt-BR" sz="1400" b="0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</a:t>
          </a:r>
          <a:r>
            <a:rPr lang="pt-BR" sz="1400" b="0">
              <a:solidFill>
                <a:schemeClr val="tx1">
                  <a:lumMod val="75000"/>
                  <a:lumOff val="2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HORA</a:t>
          </a:r>
        </a:p>
      </xdr:txBody>
    </xdr:sp>
    <xdr:clientData/>
  </xdr:twoCellAnchor>
  <xdr:twoCellAnchor editAs="absolute">
    <xdr:from>
      <xdr:col>11</xdr:col>
      <xdr:colOff>803118</xdr:colOff>
      <xdr:row>36</xdr:row>
      <xdr:rowOff>110295</xdr:rowOff>
    </xdr:from>
    <xdr:to>
      <xdr:col>19</xdr:col>
      <xdr:colOff>537885</xdr:colOff>
      <xdr:row>45</xdr:row>
      <xdr:rowOff>159795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4F0BCA7-EBBA-4F89-91DE-9E822A2B7B2E}"/>
            </a:ext>
          </a:extLst>
        </xdr:cNvPr>
        <xdr:cNvGrpSpPr/>
      </xdr:nvGrpSpPr>
      <xdr:grpSpPr>
        <a:xfrm>
          <a:off x="8190036" y="6564883"/>
          <a:ext cx="7471308" cy="1663147"/>
          <a:chOff x="7107251" y="6968295"/>
          <a:chExt cx="7300623" cy="1764000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1C018EE9-70E5-4A72-8222-04C5C1A823F7}"/>
              </a:ext>
            </a:extLst>
          </xdr:cNvPr>
          <xdr:cNvSpPr/>
        </xdr:nvSpPr>
        <xdr:spPr>
          <a:xfrm>
            <a:off x="7107251" y="6968295"/>
            <a:ext cx="7300623" cy="1764000"/>
          </a:xfrm>
          <a:prstGeom prst="rect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bg1">
                  <a:lumMod val="95000"/>
                </a:schemeClr>
              </a:gs>
            </a:gsLst>
            <a:lin ang="8100000" scaled="1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0" name="HORA 1">
                <a:extLst>
                  <a:ext uri="{FF2B5EF4-FFF2-40B4-BE49-F238E27FC236}">
                    <a16:creationId xmlns:a16="http://schemas.microsoft.com/office/drawing/2014/main" id="{5BCB30AA-4184-4A8A-8BF6-421988FFFCB3}"/>
                  </a:ext>
                </a:extLst>
              </xdr:cNvPr>
              <xdr:cNvGraphicFramePr/>
            </xdr:nvGraphicFramePr>
            <xdr:xfrm>
              <a:off x="11702920" y="7006478"/>
              <a:ext cx="2638054" cy="1700492"/>
            </xdr:xfrm>
            <a:graphic>
              <a:graphicData uri="http://schemas.microsoft.com/office/drawing/2010/slicer">
                <sle:slicer xmlns:sle="http://schemas.microsoft.com/office/drawing/2010/slicer" name="HORA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591776" y="7006478"/>
                <a:ext cx="2637373" cy="170049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11" name="Data 1">
                <a:extLst>
                  <a:ext uri="{FF2B5EF4-FFF2-40B4-BE49-F238E27FC236}">
                    <a16:creationId xmlns:a16="http://schemas.microsoft.com/office/drawing/2014/main" id="{8BD38913-4785-4073-835B-2CBD580C3DDE}"/>
                  </a:ext>
                </a:extLst>
              </xdr:cNvPr>
              <xdr:cNvGraphicFramePr/>
            </xdr:nvGraphicFramePr>
            <xdr:xfrm>
              <a:off x="7146632" y="7007598"/>
              <a:ext cx="4520431" cy="1688166"/>
            </xdr:xfrm>
            <a:graphic>
              <a:graphicData uri="http://schemas.microsoft.com/office/drawing/2012/timeslicer">
                <tsle:timeslicer name="Data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036665" y="7007598"/>
                <a:ext cx="4519264" cy="168816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Linha do tempo: Funciona em Excel 2013 ou superior. Não mover ou redimensionar.</a:t>
                </a:r>
              </a:p>
            </xdr:txBody>
          </xdr:sp>
        </mc:Fallback>
      </mc:AlternateContent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610AF49-10E5-430B-97F1-AD60C818F9E2}"/>
              </a:ext>
            </a:extLst>
          </xdr:cNvPr>
          <xdr:cNvGrpSpPr/>
        </xdr:nvGrpSpPr>
        <xdr:grpSpPr>
          <a:xfrm>
            <a:off x="13332764" y="8517519"/>
            <a:ext cx="954543" cy="178014"/>
            <a:chOff x="15048868" y="8360229"/>
            <a:chExt cx="954543" cy="178014"/>
          </a:xfrm>
        </xdr:grpSpPr>
        <xdr:sp macro="[0]!link_legenda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D599250A-8791-4EF2-B5E1-DEFEC392FB3A}"/>
                </a:ext>
              </a:extLst>
            </xdr:cNvPr>
            <xdr:cNvSpPr txBox="1"/>
          </xdr:nvSpPr>
          <xdr:spPr>
            <a:xfrm>
              <a:off x="15048868" y="8360229"/>
              <a:ext cx="890007" cy="1780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pt-BR" sz="1200" baseline="0">
                  <a:solidFill>
                    <a:schemeClr val="accent1">
                      <a:lumMod val="50000"/>
                    </a:schemeClr>
                  </a:solidFill>
                </a:rPr>
                <a:t>LEGENDA</a:t>
              </a:r>
            </a:p>
            <a:p>
              <a:pPr algn="r"/>
              <a:endParaRPr lang="pt-BR" sz="1200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  <xdr:sp macro="[0]!link_legenda" textlink="">
          <xdr:nvSpPr>
            <xdr:cNvPr id="15" name="Elipse 14">
              <a:extLst>
                <a:ext uri="{FF2B5EF4-FFF2-40B4-BE49-F238E27FC236}">
                  <a16:creationId xmlns:a16="http://schemas.microsoft.com/office/drawing/2014/main" id="{7699D9B9-C149-4556-B4C7-BCC7BFAD5BBD}"/>
                </a:ext>
              </a:extLst>
            </xdr:cNvPr>
            <xdr:cNvSpPr/>
          </xdr:nvSpPr>
          <xdr:spPr>
            <a:xfrm flipH="1">
              <a:off x="15910463" y="8406807"/>
              <a:ext cx="92948" cy="92948"/>
            </a:xfrm>
            <a:prstGeom prst="ellipse">
              <a:avLst/>
            </a:prstGeom>
            <a:solidFill>
              <a:schemeClr val="accent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  <xdr:twoCellAnchor>
    <xdr:from>
      <xdr:col>1</xdr:col>
      <xdr:colOff>155261</xdr:colOff>
      <xdr:row>16</xdr:row>
      <xdr:rowOff>56030</xdr:rowOff>
    </xdr:from>
    <xdr:to>
      <xdr:col>4</xdr:col>
      <xdr:colOff>398610</xdr:colOff>
      <xdr:row>18</xdr:row>
      <xdr:rowOff>67235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23D4220-220D-4EBF-8A76-CB0E43741F4E}"/>
            </a:ext>
          </a:extLst>
        </xdr:cNvPr>
        <xdr:cNvGrpSpPr/>
      </xdr:nvGrpSpPr>
      <xdr:grpSpPr>
        <a:xfrm>
          <a:off x="451096" y="2924736"/>
          <a:ext cx="2152832" cy="369793"/>
          <a:chOff x="446614" y="2891118"/>
          <a:chExt cx="2092320" cy="392205"/>
        </a:xfrm>
      </xdr:grpSpPr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6070117B-2B8F-4FF4-B501-A7070CCBF890}"/>
              </a:ext>
            </a:extLst>
          </xdr:cNvPr>
          <xdr:cNvSpPr txBox="1"/>
        </xdr:nvSpPr>
        <xdr:spPr>
          <a:xfrm>
            <a:off x="446614" y="2927745"/>
            <a:ext cx="2092320" cy="355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tx1">
                    <a:lumMod val="75000"/>
                    <a:lumOff val="2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ESTEIRA GERAL</a:t>
            </a:r>
          </a:p>
        </xdr:txBody>
      </xdr:sp>
      <xdr:cxnSp macro="">
        <xdr:nvCxnSpPr>
          <xdr:cNvPr id="18" name="Conector reto 17">
            <a:extLst>
              <a:ext uri="{FF2B5EF4-FFF2-40B4-BE49-F238E27FC236}">
                <a16:creationId xmlns:a16="http://schemas.microsoft.com/office/drawing/2014/main" id="{C3182F52-3826-43A8-8AF7-6598327346B6}"/>
              </a:ext>
            </a:extLst>
          </xdr:cNvPr>
          <xdr:cNvCxnSpPr/>
        </xdr:nvCxnSpPr>
        <xdr:spPr>
          <a:xfrm>
            <a:off x="661148" y="2891118"/>
            <a:ext cx="169208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257734</xdr:colOff>
      <xdr:row>10</xdr:row>
      <xdr:rowOff>137045</xdr:rowOff>
    </xdr:from>
    <xdr:to>
      <xdr:col>4</xdr:col>
      <xdr:colOff>459441</xdr:colOff>
      <xdr:row>15</xdr:row>
      <xdr:rowOff>69798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77866DE1-DE18-44C4-B442-BBF1AA54E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484" y="2042045"/>
          <a:ext cx="2059082" cy="885253"/>
        </a:xfrm>
        <a:prstGeom prst="rect">
          <a:avLst/>
        </a:prstGeom>
      </xdr:spPr>
    </xdr:pic>
    <xdr:clientData/>
  </xdr:twoCellAnchor>
  <xdr:twoCellAnchor editAs="absolute">
    <xdr:from>
      <xdr:col>0</xdr:col>
      <xdr:colOff>281296</xdr:colOff>
      <xdr:row>35</xdr:row>
      <xdr:rowOff>2427</xdr:rowOff>
    </xdr:from>
    <xdr:to>
      <xdr:col>5</xdr:col>
      <xdr:colOff>607919</xdr:colOff>
      <xdr:row>152</xdr:row>
      <xdr:rowOff>132230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3854D0FB-F087-44BD-BE81-6B2CAED9EEC0}"/>
            </a:ext>
          </a:extLst>
        </xdr:cNvPr>
        <xdr:cNvGrpSpPr/>
      </xdr:nvGrpSpPr>
      <xdr:grpSpPr>
        <a:xfrm>
          <a:off x="281296" y="6277721"/>
          <a:ext cx="3168435" cy="21627168"/>
          <a:chOff x="281296" y="6666341"/>
          <a:chExt cx="3083270" cy="21471630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AE8E752-1E3D-4807-A81A-800EB1B42043}"/>
              </a:ext>
            </a:extLst>
          </xdr:cNvPr>
          <xdr:cNvSpPr/>
        </xdr:nvSpPr>
        <xdr:spPr>
          <a:xfrm>
            <a:off x="281296" y="6666341"/>
            <a:ext cx="3083270" cy="21471630"/>
          </a:xfrm>
          <a:prstGeom prst="rect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bg1">
                  <a:lumMod val="95000"/>
                </a:schemeClr>
              </a:gs>
            </a:gsLst>
            <a:lin ang="8100000" scaled="1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2" name="CARTEIRA 1">
                <a:extLst>
                  <a:ext uri="{FF2B5EF4-FFF2-40B4-BE49-F238E27FC236}">
                    <a16:creationId xmlns:a16="http://schemas.microsoft.com/office/drawing/2014/main" id="{ED854625-40EF-47D8-AA2F-DCB2B375412D}"/>
                  </a:ext>
                </a:extLst>
              </xdr:cNvPr>
              <xdr:cNvGraphicFramePr/>
            </xdr:nvGraphicFramePr>
            <xdr:xfrm>
              <a:off x="324175" y="9273925"/>
              <a:ext cx="3000905" cy="2227696"/>
            </xdr:xfrm>
            <a:graphic>
              <a:graphicData uri="http://schemas.microsoft.com/office/drawing/2010/slicer">
                <sle:slicer xmlns:sle="http://schemas.microsoft.com/office/drawing/2010/slicer" name="CARTEIRA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4175" y="9389600"/>
                <a:ext cx="3000905" cy="232651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3" name="FIXO_MOVEL 1">
                <a:extLst>
                  <a:ext uri="{FF2B5EF4-FFF2-40B4-BE49-F238E27FC236}">
                    <a16:creationId xmlns:a16="http://schemas.microsoft.com/office/drawing/2014/main" id="{F040331E-2FEC-4844-9306-81FF7138B8A0}"/>
                  </a:ext>
                </a:extLst>
              </xdr:cNvPr>
              <xdr:cNvGraphicFramePr/>
            </xdr:nvGraphicFramePr>
            <xdr:xfrm>
              <a:off x="324176" y="6717190"/>
              <a:ext cx="3001737" cy="705376"/>
            </xdr:xfrm>
            <a:graphic>
              <a:graphicData uri="http://schemas.microsoft.com/office/drawing/2010/slicer">
                <sle:slicer xmlns:sle="http://schemas.microsoft.com/office/drawing/2010/slicer" name="FIXO_MOVEL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4176" y="6719446"/>
                <a:ext cx="3001737" cy="73666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4" name="FILA 1">
                <a:extLst>
                  <a:ext uri="{FF2B5EF4-FFF2-40B4-BE49-F238E27FC236}">
                    <a16:creationId xmlns:a16="http://schemas.microsoft.com/office/drawing/2014/main" id="{79BE53DB-42DB-4706-9959-2A58F73A6B55}"/>
                  </a:ext>
                </a:extLst>
              </xdr:cNvPr>
              <xdr:cNvGraphicFramePr/>
            </xdr:nvGraphicFramePr>
            <xdr:xfrm>
              <a:off x="324176" y="15375967"/>
              <a:ext cx="3001737" cy="2497753"/>
            </xdr:xfrm>
            <a:graphic>
              <a:graphicData uri="http://schemas.microsoft.com/office/drawing/2010/slicer">
                <sle:slicer xmlns:sle="http://schemas.microsoft.com/office/drawing/2010/slicer" name="FILA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4176" y="15762334"/>
                <a:ext cx="3001737" cy="260855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5" name="SERVIDOR 1">
                <a:extLst>
                  <a:ext uri="{FF2B5EF4-FFF2-40B4-BE49-F238E27FC236}">
                    <a16:creationId xmlns:a16="http://schemas.microsoft.com/office/drawing/2014/main" id="{EB8E1566-05A4-47FA-B2B0-8BF1E140E9C4}"/>
                  </a:ext>
                </a:extLst>
              </xdr:cNvPr>
              <xdr:cNvGraphicFramePr/>
            </xdr:nvGraphicFramePr>
            <xdr:xfrm>
              <a:off x="324176" y="11534565"/>
              <a:ext cx="3001737" cy="3810906"/>
            </xdr:xfrm>
            <a:graphic>
              <a:graphicData uri="http://schemas.microsoft.com/office/drawing/2010/slicer">
                <sle:slicer xmlns:sle="http://schemas.microsoft.com/office/drawing/2010/slicer" name="SERVIDOR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4176" y="11750524"/>
                <a:ext cx="3001737" cy="397996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6" name="PAG_SUB 1">
                <a:extLst>
                  <a:ext uri="{FF2B5EF4-FFF2-40B4-BE49-F238E27FC236}">
                    <a16:creationId xmlns:a16="http://schemas.microsoft.com/office/drawing/2014/main" id="{DB63E35E-2E69-48E6-BDA1-D70C0ED693C4}"/>
                  </a:ext>
                </a:extLst>
              </xdr:cNvPr>
              <xdr:cNvGraphicFramePr/>
            </xdr:nvGraphicFramePr>
            <xdr:xfrm>
              <a:off x="324176" y="7451191"/>
              <a:ext cx="3001737" cy="705643"/>
            </xdr:xfrm>
            <a:graphic>
              <a:graphicData uri="http://schemas.microsoft.com/office/drawing/2010/slicer">
                <sle:slicer xmlns:sle="http://schemas.microsoft.com/office/drawing/2010/slicer" name="PAG_SUB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4176" y="7486008"/>
                <a:ext cx="3001737" cy="73694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7" name="TECNOLOGIA 1">
                <a:extLst>
                  <a:ext uri="{FF2B5EF4-FFF2-40B4-BE49-F238E27FC236}">
                    <a16:creationId xmlns:a16="http://schemas.microsoft.com/office/drawing/2014/main" id="{28705363-20F4-4DB5-BFB7-C57617FEDDA1}"/>
                  </a:ext>
                </a:extLst>
              </xdr:cNvPr>
              <xdr:cNvGraphicFramePr/>
            </xdr:nvGraphicFramePr>
            <xdr:xfrm>
              <a:off x="329906" y="8191933"/>
              <a:ext cx="2995936" cy="1047198"/>
            </xdr:xfrm>
            <a:graphic>
              <a:graphicData uri="http://schemas.microsoft.com/office/drawing/2010/slicer">
                <sle:slicer xmlns:sle="http://schemas.microsoft.com/office/drawing/2010/slicer" name="TECNOLOGIA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9906" y="8259610"/>
                <a:ext cx="2995936" cy="109365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8" name="ROTA 1">
                <a:extLst>
                  <a:ext uri="{FF2B5EF4-FFF2-40B4-BE49-F238E27FC236}">
                    <a16:creationId xmlns:a16="http://schemas.microsoft.com/office/drawing/2014/main" id="{ACBAFF1E-4817-4B14-B7C3-D675A6DB3D51}"/>
                  </a:ext>
                </a:extLst>
              </xdr:cNvPr>
              <xdr:cNvGraphicFramePr/>
            </xdr:nvGraphicFramePr>
            <xdr:xfrm>
              <a:off x="330920" y="21648928"/>
              <a:ext cx="2999575" cy="3878170"/>
            </xdr:xfrm>
            <a:graphic>
              <a:graphicData uri="http://schemas.microsoft.com/office/drawing/2010/slicer">
                <sle:slicer xmlns:sle="http://schemas.microsoft.com/office/drawing/2010/slicer" name="ROTA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30920" y="22313568"/>
                <a:ext cx="2999575" cy="405020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9" name="TIPO DE ROTA 1">
                <a:extLst>
                  <a:ext uri="{FF2B5EF4-FFF2-40B4-BE49-F238E27FC236}">
                    <a16:creationId xmlns:a16="http://schemas.microsoft.com/office/drawing/2014/main" id="{DA89CF55-19B5-49F5-B98B-AF6D65DD4AA8}"/>
                  </a:ext>
                </a:extLst>
              </xdr:cNvPr>
              <xdr:cNvGraphicFramePr/>
            </xdr:nvGraphicFramePr>
            <xdr:xfrm>
              <a:off x="319715" y="17917763"/>
              <a:ext cx="2999575" cy="825399"/>
            </xdr:xfrm>
            <a:graphic>
              <a:graphicData uri="http://schemas.microsoft.com/office/drawing/2010/slicer">
                <sle:slicer xmlns:sle="http://schemas.microsoft.com/office/drawing/2010/slicer" name="TIPO DE ROTA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19715" y="18416886"/>
                <a:ext cx="2999575" cy="86201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0" name="OPERADORA 1">
                <a:extLst>
                  <a:ext uri="{FF2B5EF4-FFF2-40B4-BE49-F238E27FC236}">
                    <a16:creationId xmlns:a16="http://schemas.microsoft.com/office/drawing/2014/main" id="{C7F6B0E5-57FF-485D-9A44-CD1B051C46D2}"/>
                  </a:ext>
                </a:extLst>
              </xdr:cNvPr>
              <xdr:cNvGraphicFramePr/>
            </xdr:nvGraphicFramePr>
            <xdr:xfrm>
              <a:off x="329905" y="18777713"/>
              <a:ext cx="2999575" cy="2837129"/>
            </xdr:xfrm>
            <a:graphic>
              <a:graphicData uri="http://schemas.microsoft.com/office/drawing/2010/slicer">
                <sle:slicer xmlns:sle="http://schemas.microsoft.com/office/drawing/2010/slicer" name="OPERADORA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9905" y="19314984"/>
                <a:ext cx="2999575" cy="296298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1" name="GW 1">
                <a:extLst>
                  <a:ext uri="{FF2B5EF4-FFF2-40B4-BE49-F238E27FC236}">
                    <a16:creationId xmlns:a16="http://schemas.microsoft.com/office/drawing/2014/main" id="{9AA05DEF-10DE-4D90-9D58-3BBA1DDC52D4}"/>
                  </a:ext>
                </a:extLst>
              </xdr:cNvPr>
              <xdr:cNvGraphicFramePr/>
            </xdr:nvGraphicFramePr>
            <xdr:xfrm>
              <a:off x="322649" y="25571503"/>
              <a:ext cx="2999980" cy="2524125"/>
            </xdr:xfrm>
            <a:graphic>
              <a:graphicData uri="http://schemas.microsoft.com/office/drawing/2010/slicer">
                <sle:slicer xmlns:sle="http://schemas.microsoft.com/office/drawing/2010/slicer" name="GW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2649" y="26410152"/>
                <a:ext cx="2999980" cy="263609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ordano Luiz Forischi" refreshedDate="44532.446200925922" createdVersion="7" refreshedVersion="6" minRefreshableVersion="3" recordCount="3" xr:uid="{695E9CCD-FBCB-4615-B6FF-FD9B4FF54D91}">
  <cacheSource type="worksheet">
    <worksheetSource name="Tabela2"/>
  </cacheSource>
  <cacheFields count="1">
    <cacheField name="Tipo" numFmtId="0">
      <sharedItems count="4">
        <s v="Volume"/>
        <s v="Volume - %"/>
        <s v="Conversado"/>
        <s v="%" u="1"/>
      </sharedItems>
    </cacheField>
  </cacheFields>
  <extLst>
    <ext xmlns:x14="http://schemas.microsoft.com/office/spreadsheetml/2009/9/main" uri="{725AE2AE-9491-48be-B2B4-4EB974FC3084}">
      <x14:pivotCacheDefinition pivotCacheId="6328440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an Guilherme N Rodrigues" refreshedDate="45673.589408217595" backgroundQuery="1" createdVersion="7" refreshedVersion="8" minRefreshableVersion="3" recordCount="8248462" xr:uid="{EE9E4FEC-76B1-460D-AE1D-23C849897E55}">
  <cacheSource type="external" connectionId="2"/>
  <cacheFields count="81">
    <cacheField name="Data" numFmtId="0">
      <sharedItems containsSemiMixedTypes="0" containsNonDate="0" containsDate="1" containsString="0" minDate="2021-03-10T00:00:00" maxDate="2025-01-17T00:00:00" count="759">
        <d v="2025-01-13T00:00:00"/>
        <d v="2025-01-14T00:00:00"/>
        <d v="2025-01-15T00:00:00"/>
        <d v="2025-01-16T00:00:00"/>
        <d v="2025-01-06T00:00:00"/>
        <d v="2025-01-07T00:00:00"/>
        <d v="2025-01-08T00:00:00"/>
        <d v="2025-01-09T00:00:00"/>
        <d v="2025-01-02T00:00:00"/>
        <d v="2025-01-03T00:00:00"/>
        <d v="2025-01-04T00:00:00"/>
        <d v="2025-01-10T00:00:00"/>
        <d v="2025-01-11T00:00:00"/>
        <d v="2025-01-05T00:00:00"/>
        <d v="2025-01-12T00:00:00"/>
        <d v="2024-11-01T00:00:00"/>
        <d v="2024-11-11T00:00:00"/>
        <d v="2024-11-12T00:00:00"/>
        <d v="2024-11-13T00:00:00"/>
        <d v="2024-11-14T00:00:00"/>
        <d v="2024-11-25T00:00:00"/>
        <d v="2024-11-26T00:00:00"/>
        <d v="2024-11-27T00:00:00"/>
        <d v="2024-11-28T00:00:00"/>
        <d v="2024-11-29T00:00:00"/>
        <d v="2024-11-21T00:00:00"/>
        <d v="2024-11-08T00:00:00"/>
        <d v="2024-11-04T00:00:00"/>
        <d v="2024-11-06T00:00:00"/>
        <d v="2024-11-19T00:00:00"/>
        <d v="2024-11-05T00:00:00"/>
        <d v="2024-11-07T00:00:00"/>
        <d v="2024-11-09T00:00:00"/>
        <d v="2024-11-16T00:00:00"/>
        <d v="2024-11-18T00:00:00"/>
        <d v="2024-11-22T00:00:00"/>
        <d v="2024-11-23T00:00:00"/>
        <d v="2024-11-30T00:00:00"/>
        <d v="2024-11-20T00:00:00"/>
        <d v="2024-11-24T00:00:00"/>
        <d v="2024-11-15T00:00:00"/>
        <d v="2024-12-02T00:00:00"/>
        <d v="2024-12-03T00:00:00"/>
        <d v="2024-12-04T00:00:00"/>
        <d v="2024-12-05T00:00:00"/>
        <d v="2024-12-06T00:00:00"/>
        <d v="2024-12-16T00:00:00"/>
        <d v="2024-12-17T00:00:00"/>
        <d v="2024-12-18T00:00:00"/>
        <d v="2024-12-19T00:00:00"/>
        <d v="2024-12-20T00:00:00"/>
        <d v="2024-12-23T00:00:00"/>
        <d v="2024-12-09T00:00:00"/>
        <d v="2024-12-10T00:00:00"/>
        <d v="2024-12-11T00:00:00"/>
        <d v="2024-12-12T00:00:00"/>
        <d v="2024-12-13T00:00:00"/>
        <d v="2024-12-26T00:00:00"/>
        <d v="2024-12-27T00:00:00"/>
        <d v="2024-12-21T00:00:00"/>
        <d v="2024-12-07T00:00:00"/>
        <d v="2024-12-24T00:00:00"/>
        <d v="2024-12-30T00:00:00"/>
        <d v="2024-12-28T00:00:00"/>
        <d v="2024-12-14T00:00:00"/>
        <d v="2024-12-31T00:00:00"/>
        <d v="2024-12-29T00:00:00"/>
        <d v="2024-12-22T00:00:00"/>
        <d v="2024-12-15T00:00:00"/>
        <d v="2024-02-02T00:00:00" u="1"/>
        <d v="2024-02-05T00:00:00" u="1"/>
        <d v="2024-02-06T00:00:00" u="1"/>
        <d v="2024-02-14T00:00:00" u="1"/>
        <d v="2024-02-15T00:00:00" u="1"/>
        <d v="2024-02-16T00:00:00" u="1"/>
        <d v="2024-02-19T00:00:00" u="1"/>
        <d v="2024-02-20T00:00:00" u="1"/>
        <d v="2024-02-22T00:00:00" u="1"/>
        <d v="2024-02-23T00:00:00" u="1"/>
        <d v="2024-02-26T00:00:00" u="1"/>
        <d v="2024-02-27T00:00:00" u="1"/>
        <d v="2024-02-28T00:00:00" u="1"/>
        <d v="2024-02-29T00:00:00" u="1"/>
        <d v="2024-02-07T00:00:00" u="1"/>
        <d v="2024-02-08T00:00:00" u="1"/>
        <d v="2024-02-09T00:00:00" u="1"/>
        <d v="2024-02-21T00:00:00" u="1"/>
        <d v="2024-02-03T00:00:00" u="1"/>
        <d v="2024-02-10T00:00:00" u="1"/>
        <d v="2024-02-12T00:00:00" u="1"/>
        <d v="2024-02-13T00:00:00" u="1"/>
        <d v="2024-02-24T00:00:00" u="1"/>
        <d v="2024-02-01T00:00:00" u="1"/>
        <d v="2024-02-17T00:00:00" u="1"/>
        <d v="2024-02-25T00:00:00" u="1"/>
        <d v="2024-02-11T00:00:00" u="1"/>
        <d v="2024-02-18T00:00:00" u="1"/>
        <d v="2024-02-04T00:00:00" u="1"/>
        <d v="2024-03-01T00:00:00" u="1"/>
        <d v="2024-03-04T00:00:00" u="1"/>
        <d v="2024-03-05T00:00:00" u="1"/>
        <d v="2024-03-06T00:00:00" u="1"/>
        <d v="2024-03-07T00:00:00" u="1"/>
        <d v="2024-03-08T00:00:00" u="1"/>
        <d v="2024-03-11T00:00:00" u="1"/>
        <d v="2024-03-12T00:00:00" u="1"/>
        <d v="2024-03-13T00:00:00" u="1"/>
        <d v="2024-03-02T00:00:00" u="1"/>
        <d v="2024-03-09T00:00:00" u="1"/>
        <d v="2024-03-14T00:00:00" u="1"/>
        <d v="2024-03-03T00:00:00" u="1"/>
        <d v="2024-03-10T00:00:00" u="1"/>
        <d v="2024-01-02T00:00:00" u="1"/>
        <d v="2024-01-03T00:00:00" u="1"/>
        <d v="2024-01-04T00:00:00" u="1"/>
        <d v="2024-01-05T00:00:00" u="1"/>
        <d v="2024-01-09T00:00:00" u="1"/>
        <d v="2024-01-10T00:00:00" u="1"/>
        <d v="2024-01-11T00:00:00" u="1"/>
        <d v="2024-01-12T00:00:00" u="1"/>
        <d v="2024-01-15T00:00:00" u="1"/>
        <d v="2024-01-16T00:00:00" u="1"/>
        <d v="2024-01-19T00:00:00" u="1"/>
        <d v="2024-01-22T00:00:00" u="1"/>
        <d v="2024-01-23T00:00:00" u="1"/>
        <d v="2024-01-24T00:00:00" u="1"/>
        <d v="2024-01-26T00:00:00" u="1"/>
        <d v="2024-01-29T00:00:00" u="1"/>
        <d v="2024-01-31T00:00:00" u="1"/>
        <d v="2024-01-08T00:00:00" u="1"/>
        <d v="2024-01-25T00:00:00" u="1"/>
        <d v="2024-01-30T00:00:00" u="1"/>
        <d v="2024-01-17T00:00:00" u="1"/>
        <d v="2024-01-13T00:00:00" u="1"/>
        <d v="2024-01-06T00:00:00" u="1"/>
        <d v="2024-01-18T00:00:00" u="1"/>
        <d v="2024-01-20T00:00:00" u="1"/>
        <d v="2024-01-27T00:00:00" u="1"/>
        <d v="2024-01-01T00:00:00" u="1"/>
        <d v="2024-01-07T00:00:00" u="1"/>
        <d v="2024-01-14T00:00:00" u="1"/>
        <d v="2024-01-21T00:00:00" u="1"/>
        <d v="2024-01-28T00:00:00" u="1"/>
        <d v="2023-01-11T00:00:00" u="1"/>
        <d v="2023-01-23T00:00:00" u="1"/>
        <d v="2023-01-02T00:00:00" u="1"/>
        <d v="2023-01-03T00:00:00" u="1"/>
        <d v="2023-01-05T00:00:00" u="1"/>
        <d v="2023-01-06T00:00:00" u="1"/>
        <d v="2023-01-07T00:00:00" u="1"/>
        <d v="2023-01-09T00:00:00" u="1"/>
        <d v="2023-01-10T00:00:00" u="1"/>
        <d v="2023-01-13T00:00:00" u="1"/>
        <d v="2023-01-16T00:00:00" u="1"/>
        <d v="2023-01-17T00:00:00" u="1"/>
        <d v="2023-01-18T00:00:00" u="1"/>
        <d v="2023-01-20T00:00:00" u="1"/>
        <d v="2023-01-24T00:00:00" u="1"/>
        <d v="2023-01-25T00:00:00" u="1"/>
        <d v="2023-01-26T00:00:00" u="1"/>
        <d v="2023-01-27T00:00:00" u="1"/>
        <d v="2023-01-30T00:00:00" u="1"/>
        <d v="2023-01-31T00:00:00" u="1"/>
        <d v="2023-01-08T00:00:00" u="1"/>
        <d v="2023-01-21T00:00:00" u="1"/>
        <d v="2023-01-29T00:00:00" u="1"/>
        <d v="2023-01-01T00:00:00" u="1"/>
        <d v="2023-01-04T00:00:00" u="1"/>
        <d v="2023-01-12T00:00:00" u="1"/>
        <d v="2023-01-14T00:00:00" u="1"/>
        <d v="2023-01-19T00:00:00" u="1"/>
        <d v="2023-01-22T00:00:00" u="1"/>
        <d v="2023-01-28T00:00:00" u="1"/>
        <d v="2023-01-15T00:00:00" u="1"/>
        <d v="2023-02-01T00:00:00" u="1"/>
        <d v="2023-02-04T00:00:00" u="1"/>
        <d v="2023-02-02T00:00:00" u="1"/>
        <d v="2023-02-03T00:00:00" u="1"/>
        <d v="2023-02-06T00:00:00" u="1"/>
        <d v="2023-02-05T00:00:00" u="1"/>
        <d v="2022-11-25T00:00:00" u="1"/>
        <d v="2022-11-01T00:00:00" u="1"/>
        <d v="2022-11-03T00:00:00" u="1"/>
        <d v="2022-11-04T00:00:00" u="1"/>
        <d v="2022-11-05T00:00:00" u="1"/>
        <d v="2022-11-07T00:00:00" u="1"/>
        <d v="2022-11-08T00:00:00" u="1"/>
        <d v="2022-11-10T00:00:00" u="1"/>
        <d v="2022-11-11T00:00:00" u="1"/>
        <d v="2022-11-12T00:00:00" u="1"/>
        <d v="2022-11-14T00:00:00" u="1"/>
        <d v="2022-11-16T00:00:00" u="1"/>
        <d v="2022-11-17T00:00:00" u="1"/>
        <d v="2022-11-18T00:00:00" u="1"/>
        <d v="2022-11-21T00:00:00" u="1"/>
        <d v="2022-11-22T00:00:00" u="1"/>
        <d v="2022-11-24T00:00:00" u="1"/>
        <d v="2022-11-26T00:00:00" u="1"/>
        <d v="2022-11-28T00:00:00" u="1"/>
        <d v="2022-11-29T00:00:00" u="1"/>
        <d v="2022-11-30T00:00:00" u="1"/>
        <d v="2022-11-06T00:00:00" u="1"/>
        <d v="2022-11-09T00:00:00" u="1"/>
        <d v="2022-11-13T00:00:00" u="1"/>
        <d v="2022-11-23T00:00:00" u="1"/>
        <d v="2022-11-15T00:00:00" u="1"/>
        <d v="2022-11-19T00:00:00" u="1"/>
        <d v="2022-11-20T00:00:00" u="1"/>
        <d v="2022-11-02T00:00:00" u="1"/>
        <d v="2022-12-02T00:00:00" u="1"/>
        <d v="2022-12-12T00:00:00" u="1"/>
        <d v="2022-12-01T00:00:00" u="1"/>
        <d v="2022-12-03T00:00:00" u="1"/>
        <d v="2022-12-05T00:00:00" u="1"/>
        <d v="2022-12-06T00:00:00" u="1"/>
        <d v="2022-12-07T00:00:00" u="1"/>
        <d v="2022-12-08T00:00:00" u="1"/>
        <d v="2022-12-10T00:00:00" u="1"/>
        <d v="2022-12-14T00:00:00" u="1"/>
        <d v="2022-12-15T00:00:00" u="1"/>
        <d v="2022-12-17T00:00:00" u="1"/>
        <d v="2022-12-19T00:00:00" u="1"/>
        <d v="2022-12-20T00:00:00" u="1"/>
        <d v="2022-12-21T00:00:00" u="1"/>
        <d v="2022-12-22T00:00:00" u="1"/>
        <d v="2022-12-26T00:00:00" u="1"/>
        <d v="2022-12-27T00:00:00" u="1"/>
        <d v="2022-12-28T00:00:00" u="1"/>
        <d v="2022-12-29T00:00:00" u="1"/>
        <d v="2022-12-30T00:00:00" u="1"/>
        <d v="2022-12-04T00:00:00" u="1"/>
        <d v="2022-12-09T00:00:00" u="1"/>
        <d v="2022-12-11T00:00:00" u="1"/>
        <d v="2022-12-25T00:00:00" u="1"/>
        <d v="2022-12-13T00:00:00" u="1"/>
        <d v="2022-12-16T00:00:00" u="1"/>
        <d v="2022-12-23T00:00:00" u="1"/>
        <d v="2022-12-24T00:00:00" u="1"/>
        <d v="2022-12-31T00:00:00" u="1"/>
        <d v="2022-12-18T00:00:00" u="1"/>
        <d v="2021-09-29T00:00:00" u="1"/>
        <d v="2022-09-29T00:00:00" u="1"/>
        <d v="2021-10-25T00:00:00" u="1"/>
        <d v="2021-11-21T00:00:00" u="1"/>
        <d v="2021-12-17T00:00:00" u="1"/>
        <d v="2021-10-27T00:00:00" u="1"/>
        <d v="2021-11-23T00:00:00" u="1"/>
        <d v="2021-12-19T00:00:00" u="1"/>
        <d v="2021-10-29T00:00:00" u="1"/>
        <d v="2021-11-25T00:00:00" u="1"/>
        <d v="2021-12-21T00:00:00" u="1"/>
        <d v="2021-10-31T00:00:00" u="1"/>
        <d v="2021-11-27T00:00:00" u="1"/>
        <d v="2021-12-23T00:00:00" u="1"/>
        <d v="2022-01-04T00:00:00" u="1"/>
        <d v="2021-11-29T00:00:00" u="1"/>
        <d v="2021-12-25T00:00:00" u="1"/>
        <d v="2022-01-06T00:00:00" u="1"/>
        <d v="2022-02-02T00:00:00" u="1"/>
        <d v="2021-12-27T00:00:00" u="1"/>
        <d v="2022-01-08T00:00:00" u="1"/>
        <d v="2022-02-04T00:00:00" u="1"/>
        <d v="2021-12-29T00:00:00" u="1"/>
        <d v="2022-01-10T00:00:00" u="1"/>
        <d v="2022-02-06T00:00:00" u="1"/>
        <d v="2022-03-02T00:00:00" u="1"/>
        <d v="2021-12-31T00:00:00" u="1"/>
        <d v="2022-01-12T00:00:00" u="1"/>
        <d v="2022-02-08T00:00:00" u="1"/>
        <d v="2022-03-04T00:00:00" u="1"/>
        <d v="2022-01-14T00:00:00" u="1"/>
        <d v="2022-02-10T00:00:00" u="1"/>
        <d v="2022-03-06T00:00:00" u="1"/>
        <d v="2021-04-02T00:00:00" u="1"/>
        <d v="2022-04-02T00:00:00" u="1"/>
        <d v="2022-01-16T00:00:00" u="1"/>
        <d v="2022-02-12T00:00:00" u="1"/>
        <d v="2022-03-08T00:00:00" u="1"/>
        <d v="2021-04-04T00:00:00" u="1"/>
        <d v="2022-04-04T00:00:00" u="1"/>
        <d v="2022-01-18T00:00:00" u="1"/>
        <d v="2022-02-14T00:00:00" u="1"/>
        <d v="2021-03-10T00:00:00" u="1"/>
        <d v="2022-03-10T00:00:00" u="1"/>
        <d v="2021-04-06T00:00:00" u="1"/>
        <d v="2022-04-06T00:00:00" u="1"/>
        <d v="2021-05-02T00:00:00" u="1"/>
        <d v="2022-05-02T00:00:00" u="1"/>
        <d v="2022-01-20T00:00:00" u="1"/>
        <d v="2022-02-16T00:00:00" u="1"/>
        <d v="2021-03-12T00:00:00" u="1"/>
        <d v="2022-03-12T00:00:00" u="1"/>
        <d v="2021-04-08T00:00:00" u="1"/>
        <d v="2022-04-08T00:00:00" u="1"/>
        <d v="2021-05-04T00:00:00" u="1"/>
        <d v="2022-05-04T00:00:00" u="1"/>
        <d v="2022-01-22T00:00:00" u="1"/>
        <d v="2022-02-18T00:00:00" u="1"/>
        <d v="2021-03-14T00:00:00" u="1"/>
        <d v="2022-03-14T00:00:00" u="1"/>
        <d v="2021-04-10T00:00:00" u="1"/>
        <d v="2022-04-10T00:00:00" u="1"/>
        <d v="2021-05-06T00:00:00" u="1"/>
        <d v="2022-05-06T00:00:00" u="1"/>
        <d v="2021-06-02T00:00:00" u="1"/>
        <d v="2022-06-02T00:00:00" u="1"/>
        <d v="2022-01-24T00:00:00" u="1"/>
        <d v="2022-02-20T00:00:00" u="1"/>
        <d v="2021-03-16T00:00:00" u="1"/>
        <d v="2022-03-16T00:00:00" u="1"/>
        <d v="2021-04-12T00:00:00" u="1"/>
        <d v="2022-04-12T00:00:00" u="1"/>
        <d v="2021-05-08T00:00:00" u="1"/>
        <d v="2022-05-08T00:00:00" u="1"/>
        <d v="2021-06-04T00:00:00" u="1"/>
        <d v="2022-06-04T00:00:00" u="1"/>
        <d v="2022-01-26T00:00:00" u="1"/>
        <d v="2022-02-22T00:00:00" u="1"/>
        <d v="2021-03-18T00:00:00" u="1"/>
        <d v="2022-03-18T00:00:00" u="1"/>
        <d v="2021-04-14T00:00:00" u="1"/>
        <d v="2022-04-14T00:00:00" u="1"/>
        <d v="2021-05-10T00:00:00" u="1"/>
        <d v="2022-05-10T00:00:00" u="1"/>
        <d v="2021-06-06T00:00:00" u="1"/>
        <d v="2022-06-06T00:00:00" u="1"/>
        <d v="2022-07-02T00:00:00" u="1"/>
        <d v="2022-01-28T00:00:00" u="1"/>
        <d v="2022-02-24T00:00:00" u="1"/>
        <d v="2021-03-20T00:00:00" u="1"/>
        <d v="2022-03-20T00:00:00" u="1"/>
        <d v="2021-04-16T00:00:00" u="1"/>
        <d v="2022-04-16T00:00:00" u="1"/>
        <d v="2021-05-12T00:00:00" u="1"/>
        <d v="2022-05-12T00:00:00" u="1"/>
        <d v="2021-06-08T00:00:00" u="1"/>
        <d v="2022-06-08T00:00:00" u="1"/>
        <d v="2022-07-04T00:00:00" u="1"/>
        <d v="2022-01-30T00:00:00" u="1"/>
        <d v="2022-02-26T00:00:00" u="1"/>
        <d v="2021-03-22T00:00:00" u="1"/>
        <d v="2022-03-22T00:00:00" u="1"/>
        <d v="2021-04-18T00:00:00" u="1"/>
        <d v="2022-04-18T00:00:00" u="1"/>
        <d v="2021-05-14T00:00:00" u="1"/>
        <d v="2022-05-14T00:00:00" u="1"/>
        <d v="2021-06-10T00:00:00" u="1"/>
        <d v="2022-06-10T00:00:00" u="1"/>
        <d v="2022-07-06T00:00:00" u="1"/>
        <d v="2022-08-02T00:00:00" u="1"/>
        <d v="2022-02-28T00:00:00" u="1"/>
        <d v="2021-03-24T00:00:00" u="1"/>
        <d v="2022-03-24T00:00:00" u="1"/>
        <d v="2021-04-20T00:00:00" u="1"/>
        <d v="2022-04-20T00:00:00" u="1"/>
        <d v="2021-05-16T00:00:00" u="1"/>
        <d v="2022-05-16T00:00:00" u="1"/>
        <d v="2021-06-12T00:00:00" u="1"/>
        <d v="2022-07-08T00:00:00" u="1"/>
        <d v="2022-08-04T00:00:00" u="1"/>
        <d v="2021-03-26T00:00:00" u="1"/>
        <d v="2022-03-26T00:00:00" u="1"/>
        <d v="2021-04-22T00:00:00" u="1"/>
        <d v="2022-04-22T00:00:00" u="1"/>
        <d v="2021-05-18T00:00:00" u="1"/>
        <d v="2022-05-18T00:00:00" u="1"/>
        <d v="2021-06-14T00:00:00" u="1"/>
        <d v="2022-06-14T00:00:00" u="1"/>
        <d v="2022-07-10T00:00:00" u="1"/>
        <d v="2022-08-06T00:00:00" u="1"/>
        <d v="2021-09-02T00:00:00" u="1"/>
        <d v="2022-09-02T00:00:00" u="1"/>
        <d v="2021-03-28T00:00:00" u="1"/>
        <d v="2022-03-28T00:00:00" u="1"/>
        <d v="2021-04-24T00:00:00" u="1"/>
        <d v="2022-04-24T00:00:00" u="1"/>
        <d v="2021-05-20T00:00:00" u="1"/>
        <d v="2022-05-20T00:00:00" u="1"/>
        <d v="2021-06-16T00:00:00" u="1"/>
        <d v="2022-06-16T00:00:00" u="1"/>
        <d v="2022-07-12T00:00:00" u="1"/>
        <d v="2022-08-08T00:00:00" u="1"/>
        <d v="2021-09-04T00:00:00" u="1"/>
        <d v="2022-09-04T00:00:00" u="1"/>
        <d v="2021-03-30T00:00:00" u="1"/>
        <d v="2022-03-30T00:00:00" u="1"/>
        <d v="2021-04-26T00:00:00" u="1"/>
        <d v="2022-04-26T00:00:00" u="1"/>
        <d v="2021-05-22T00:00:00" u="1"/>
        <d v="2022-05-22T00:00:00" u="1"/>
        <d v="2021-06-18T00:00:00" u="1"/>
        <d v="2022-06-18T00:00:00" u="1"/>
        <d v="2022-07-14T00:00:00" u="1"/>
        <d v="2022-08-10T00:00:00" u="1"/>
        <d v="2021-09-06T00:00:00" u="1"/>
        <d v="2022-09-06T00:00:00" u="1"/>
        <d v="2021-10-02T00:00:00" u="1"/>
        <d v="2022-10-02T00:00:00" u="1"/>
        <d v="2021-04-28T00:00:00" u="1"/>
        <d v="2022-04-28T00:00:00" u="1"/>
        <d v="2021-05-24T00:00:00" u="1"/>
        <d v="2022-05-24T00:00:00" u="1"/>
        <d v="2021-06-20T00:00:00" u="1"/>
        <d v="2022-06-20T00:00:00" u="1"/>
        <d v="2022-07-16T00:00:00" u="1"/>
        <d v="2022-08-12T00:00:00" u="1"/>
        <d v="2021-09-08T00:00:00" u="1"/>
        <d v="2022-09-08T00:00:00" u="1"/>
        <d v="2021-10-04T00:00:00" u="1"/>
        <d v="2022-10-04T00:00:00" u="1"/>
        <d v="2021-04-30T00:00:00" u="1"/>
        <d v="2022-04-30T00:00:00" u="1"/>
        <d v="2021-05-26T00:00:00" u="1"/>
        <d v="2022-05-26T00:00:00" u="1"/>
        <d v="2021-06-22T00:00:00" u="1"/>
        <d v="2022-06-22T00:00:00" u="1"/>
        <d v="2022-07-18T00:00:00" u="1"/>
        <d v="2022-08-14T00:00:00" u="1"/>
        <d v="2021-09-10T00:00:00" u="1"/>
        <d v="2022-09-10T00:00:00" u="1"/>
        <d v="2021-10-06T00:00:00" u="1"/>
        <d v="2022-10-06T00:00:00" u="1"/>
        <d v="2021-11-02T00:00:00" u="1"/>
        <d v="2021-05-28T00:00:00" u="1"/>
        <d v="2022-05-28T00:00:00" u="1"/>
        <d v="2022-06-24T00:00:00" u="1"/>
        <d v="2022-07-20T00:00:00" u="1"/>
        <d v="2022-08-16T00:00:00" u="1"/>
        <d v="2021-09-12T00:00:00" u="1"/>
        <d v="2022-09-12T00:00:00" u="1"/>
        <d v="2021-10-08T00:00:00" u="1"/>
        <d v="2022-10-08T00:00:00" u="1"/>
        <d v="2021-11-04T00:00:00" u="1"/>
        <d v="2021-05-30T00:00:00" u="1"/>
        <d v="2022-05-30T00:00:00" u="1"/>
        <d v="2022-06-26T00:00:00" u="1"/>
        <d v="2022-07-22T00:00:00" u="1"/>
        <d v="2022-08-18T00:00:00" u="1"/>
        <d v="2021-09-14T00:00:00" u="1"/>
        <d v="2022-09-14T00:00:00" u="1"/>
        <d v="2021-10-10T00:00:00" u="1"/>
        <d v="2022-10-10T00:00:00" u="1"/>
        <d v="2021-11-06T00:00:00" u="1"/>
        <d v="2021-12-02T00:00:00" u="1"/>
        <d v="2022-06-28T00:00:00" u="1"/>
        <d v="2022-07-24T00:00:00" u="1"/>
        <d v="2022-08-20T00:00:00" u="1"/>
        <d v="2021-09-16T00:00:00" u="1"/>
        <d v="2022-09-16T00:00:00" u="1"/>
        <d v="2021-10-12T00:00:00" u="1"/>
        <d v="2022-10-12T00:00:00" u="1"/>
        <d v="2021-11-08T00:00:00" u="1"/>
        <d v="2021-12-04T00:00:00" u="1"/>
        <d v="2022-06-30T00:00:00" u="1"/>
        <d v="2022-07-26T00:00:00" u="1"/>
        <d v="2022-08-22T00:00:00" u="1"/>
        <d v="2021-09-18T00:00:00" u="1"/>
        <d v="2022-09-18T00:00:00" u="1"/>
        <d v="2021-10-14T00:00:00" u="1"/>
        <d v="2022-10-14T00:00:00" u="1"/>
        <d v="2021-11-10T00:00:00" u="1"/>
        <d v="2021-12-06T00:00:00" u="1"/>
        <d v="2022-07-28T00:00:00" u="1"/>
        <d v="2022-08-24T00:00:00" u="1"/>
        <d v="2021-09-20T00:00:00" u="1"/>
        <d v="2022-09-20T00:00:00" u="1"/>
        <d v="2021-10-16T00:00:00" u="1"/>
        <d v="2022-10-16T00:00:00" u="1"/>
        <d v="2021-11-12T00:00:00" u="1"/>
        <d v="2021-12-08T00:00:00" u="1"/>
        <d v="2022-07-30T00:00:00" u="1"/>
        <d v="2022-08-26T00:00:00" u="1"/>
        <d v="2021-09-22T00:00:00" u="1"/>
        <d v="2022-09-22T00:00:00" u="1"/>
        <d v="2021-10-18T00:00:00" u="1"/>
        <d v="2022-10-18T00:00:00" u="1"/>
        <d v="2021-11-14T00:00:00" u="1"/>
        <d v="2021-12-10T00:00:00" u="1"/>
        <d v="2022-08-28T00:00:00" u="1"/>
        <d v="2021-09-24T00:00:00" u="1"/>
        <d v="2022-09-24T00:00:00" u="1"/>
        <d v="2021-10-20T00:00:00" u="1"/>
        <d v="2022-10-20T00:00:00" u="1"/>
        <d v="2021-11-16T00:00:00" u="1"/>
        <d v="2021-12-12T00:00:00" u="1"/>
        <d v="2022-08-30T00:00:00" u="1"/>
        <d v="2021-09-26T00:00:00" u="1"/>
        <d v="2022-09-26T00:00:00" u="1"/>
        <d v="2021-10-22T00:00:00" u="1"/>
        <d v="2021-11-18T00:00:00" u="1"/>
        <d v="2021-12-14T00:00:00" u="1"/>
        <d v="2021-09-28T00:00:00" u="1"/>
        <d v="2022-09-28T00:00:00" u="1"/>
        <d v="2021-10-24T00:00:00" u="1"/>
        <d v="2021-11-20T00:00:00" u="1"/>
        <d v="2021-12-16T00:00:00" u="1"/>
        <d v="2021-09-30T00:00:00" u="1"/>
        <d v="2022-09-30T00:00:00" u="1"/>
        <d v="2021-10-26T00:00:00" u="1"/>
        <d v="2021-11-22T00:00:00" u="1"/>
        <d v="2021-12-18T00:00:00" u="1"/>
        <d v="2021-10-28T00:00:00" u="1"/>
        <d v="2021-11-24T00:00:00" u="1"/>
        <d v="2021-12-20T00:00:00" u="1"/>
        <d v="2021-10-30T00:00:00" u="1"/>
        <d v="2021-11-26T00:00:00" u="1"/>
        <d v="2021-12-22T00:00:00" u="1"/>
        <d v="2022-01-03T00:00:00" u="1"/>
        <d v="2021-11-28T00:00:00" u="1"/>
        <d v="2021-12-24T00:00:00" u="1"/>
        <d v="2022-01-05T00:00:00" u="1"/>
        <d v="2022-02-01T00:00:00" u="1"/>
        <d v="2021-11-30T00:00:00" u="1"/>
        <d v="2021-12-26T00:00:00" u="1"/>
        <d v="2022-01-07T00:00:00" u="1"/>
        <d v="2022-02-03T00:00:00" u="1"/>
        <d v="2021-12-28T00:00:00" u="1"/>
        <d v="2022-01-09T00:00:00" u="1"/>
        <d v="2022-02-05T00:00:00" u="1"/>
        <d v="2022-03-01T00:00:00" u="1"/>
        <d v="2021-12-30T00:00:00" u="1"/>
        <d v="2022-01-11T00:00:00" u="1"/>
        <d v="2022-02-07T00:00:00" u="1"/>
        <d v="2022-03-03T00:00:00" u="1"/>
        <d v="2022-01-13T00:00:00" u="1"/>
        <d v="2022-02-09T00:00:00" u="1"/>
        <d v="2022-03-05T00:00:00" u="1"/>
        <d v="2021-04-01T00:00:00" u="1"/>
        <d v="2022-04-01T00:00:00" u="1"/>
        <d v="2022-01-15T00:00:00" u="1"/>
        <d v="2022-02-11T00:00:00" u="1"/>
        <d v="2022-03-07T00:00:00" u="1"/>
        <d v="2021-04-03T00:00:00" u="1"/>
        <d v="2022-04-03T00:00:00" u="1"/>
        <d v="2022-01-17T00:00:00" u="1"/>
        <d v="2022-02-13T00:00:00" u="1"/>
        <d v="2022-03-09T00:00:00" u="1"/>
        <d v="2021-04-05T00:00:00" u="1"/>
        <d v="2022-04-05T00:00:00" u="1"/>
        <d v="2021-05-01T00:00:00" u="1"/>
        <d v="2022-05-01T00:00:00" u="1"/>
        <d v="2022-01-19T00:00:00" u="1"/>
        <d v="2022-02-15T00:00:00" u="1"/>
        <d v="2021-03-11T00:00:00" u="1"/>
        <d v="2022-03-11T00:00:00" u="1"/>
        <d v="2021-04-07T00:00:00" u="1"/>
        <d v="2022-04-07T00:00:00" u="1"/>
        <d v="2021-05-03T00:00:00" u="1"/>
        <d v="2022-05-03T00:00:00" u="1"/>
        <d v="2022-01-21T00:00:00" u="1"/>
        <d v="2022-02-17T00:00:00" u="1"/>
        <d v="2021-03-13T00:00:00" u="1"/>
        <d v="2022-03-13T00:00:00" u="1"/>
        <d v="2021-04-09T00:00:00" u="1"/>
        <d v="2022-04-09T00:00:00" u="1"/>
        <d v="2021-05-05T00:00:00" u="1"/>
        <d v="2022-05-05T00:00:00" u="1"/>
        <d v="2021-06-01T00:00:00" u="1"/>
        <d v="2022-06-01T00:00:00" u="1"/>
        <d v="2022-01-23T00:00:00" u="1"/>
        <d v="2022-02-19T00:00:00" u="1"/>
        <d v="2021-03-15T00:00:00" u="1"/>
        <d v="2022-03-15T00:00:00" u="1"/>
        <d v="2021-04-11T00:00:00" u="1"/>
        <d v="2022-04-11T00:00:00" u="1"/>
        <d v="2021-05-07T00:00:00" u="1"/>
        <d v="2022-05-07T00:00:00" u="1"/>
        <d v="2021-06-03T00:00:00" u="1"/>
        <d v="2022-06-03T00:00:00" u="1"/>
        <d v="2022-01-25T00:00:00" u="1"/>
        <d v="2022-02-21T00:00:00" u="1"/>
        <d v="2021-03-17T00:00:00" u="1"/>
        <d v="2022-03-17T00:00:00" u="1"/>
        <d v="2021-04-13T00:00:00" u="1"/>
        <d v="2022-04-13T00:00:00" u="1"/>
        <d v="2021-05-09T00:00:00" u="1"/>
        <d v="2022-05-09T00:00:00" u="1"/>
        <d v="2021-06-05T00:00:00" u="1"/>
        <d v="2022-06-05T00:00:00" u="1"/>
        <d v="2022-07-01T00:00:00" u="1"/>
        <d v="2022-01-27T00:00:00" u="1"/>
        <d v="2022-02-23T00:00:00" u="1"/>
        <d v="2021-03-19T00:00:00" u="1"/>
        <d v="2022-03-19T00:00:00" u="1"/>
        <d v="2021-04-15T00:00:00" u="1"/>
        <d v="2022-04-15T00:00:00" u="1"/>
        <d v="2021-05-11T00:00:00" u="1"/>
        <d v="2022-05-11T00:00:00" u="1"/>
        <d v="2021-06-07T00:00:00" u="1"/>
        <d v="2022-06-07T00:00:00" u="1"/>
        <d v="2022-07-03T00:00:00" u="1"/>
        <d v="2022-01-29T00:00:00" u="1"/>
        <d v="2022-02-25T00:00:00" u="1"/>
        <d v="2021-03-21T00:00:00" u="1"/>
        <d v="2022-03-21T00:00:00" u="1"/>
        <d v="2021-04-17T00:00:00" u="1"/>
        <d v="2022-04-17T00:00:00" u="1"/>
        <d v="2021-05-13T00:00:00" u="1"/>
        <d v="2022-05-13T00:00:00" u="1"/>
        <d v="2021-06-09T00:00:00" u="1"/>
        <d v="2022-06-09T00:00:00" u="1"/>
        <d v="2022-07-05T00:00:00" u="1"/>
        <d v="2022-08-01T00:00:00" u="1"/>
        <d v="2022-01-31T00:00:00" u="1"/>
        <d v="2022-02-27T00:00:00" u="1"/>
        <d v="2021-03-23T00:00:00" u="1"/>
        <d v="2022-03-23T00:00:00" u="1"/>
        <d v="2021-04-19T00:00:00" u="1"/>
        <d v="2022-04-19T00:00:00" u="1"/>
        <d v="2021-05-15T00:00:00" u="1"/>
        <d v="2022-05-15T00:00:00" u="1"/>
        <d v="2021-06-11T00:00:00" u="1"/>
        <d v="2022-06-11T00:00:00" u="1"/>
        <d v="2022-07-07T00:00:00" u="1"/>
        <d v="2022-08-03T00:00:00" u="1"/>
        <d v="2021-03-25T00:00:00" u="1"/>
        <d v="2022-03-25T00:00:00" u="1"/>
        <d v="2021-04-21T00:00:00" u="1"/>
        <d v="2022-04-21T00:00:00" u="1"/>
        <d v="2021-05-17T00:00:00" u="1"/>
        <d v="2022-05-17T00:00:00" u="1"/>
        <d v="2021-06-13T00:00:00" u="1"/>
        <d v="2022-06-13T00:00:00" u="1"/>
        <d v="2022-07-09T00:00:00" u="1"/>
        <d v="2022-08-05T00:00:00" u="1"/>
        <d v="2021-09-01T00:00:00" u="1"/>
        <d v="2022-09-01T00:00:00" u="1"/>
        <d v="2021-03-27T00:00:00" u="1"/>
        <d v="2022-03-27T00:00:00" u="1"/>
        <d v="2021-04-23T00:00:00" u="1"/>
        <d v="2022-04-23T00:00:00" u="1"/>
        <d v="2021-05-19T00:00:00" u="1"/>
        <d v="2022-05-19T00:00:00" u="1"/>
        <d v="2021-06-15T00:00:00" u="1"/>
        <d v="2022-06-15T00:00:00" u="1"/>
        <d v="2022-07-11T00:00:00" u="1"/>
        <d v="2022-08-07T00:00:00" u="1"/>
        <d v="2021-09-03T00:00:00" u="1"/>
        <d v="2022-09-03T00:00:00" u="1"/>
        <d v="2021-03-29T00:00:00" u="1"/>
        <d v="2022-03-29T00:00:00" u="1"/>
        <d v="2021-04-25T00:00:00" u="1"/>
        <d v="2022-04-25T00:00:00" u="1"/>
        <d v="2021-05-21T00:00:00" u="1"/>
        <d v="2022-05-21T00:00:00" u="1"/>
        <d v="2021-06-17T00:00:00" u="1"/>
        <d v="2022-06-17T00:00:00" u="1"/>
        <d v="2022-07-13T00:00:00" u="1"/>
        <d v="2022-08-09T00:00:00" u="1"/>
        <d v="2021-09-05T00:00:00" u="1"/>
        <d v="2022-09-05T00:00:00" u="1"/>
        <d v="2021-10-01T00:00:00" u="1"/>
        <d v="2022-10-01T00:00:00" u="1"/>
        <d v="2021-03-31T00:00:00" u="1"/>
        <d v="2022-03-31T00:00:00" u="1"/>
        <d v="2021-04-27T00:00:00" u="1"/>
        <d v="2022-04-27T00:00:00" u="1"/>
        <d v="2021-05-23T00:00:00" u="1"/>
        <d v="2022-05-23T00:00:00" u="1"/>
        <d v="2021-06-19T00:00:00" u="1"/>
        <d v="2022-06-19T00:00:00" u="1"/>
        <d v="2022-07-15T00:00:00" u="1"/>
        <d v="2022-08-11T00:00:00" u="1"/>
        <d v="2021-09-07T00:00:00" u="1"/>
        <d v="2022-09-07T00:00:00" u="1"/>
        <d v="2021-10-03T00:00:00" u="1"/>
        <d v="2022-10-03T00:00:00" u="1"/>
        <d v="2021-04-29T00:00:00" u="1"/>
        <d v="2022-04-29T00:00:00" u="1"/>
        <d v="2021-05-25T00:00:00" u="1"/>
        <d v="2022-05-25T00:00:00" u="1"/>
        <d v="2021-06-21T00:00:00" u="1"/>
        <d v="2022-06-21T00:00:00" u="1"/>
        <d v="2022-07-17T00:00:00" u="1"/>
        <d v="2022-08-13T00:00:00" u="1"/>
        <d v="2021-09-09T00:00:00" u="1"/>
        <d v="2022-09-09T00:00:00" u="1"/>
        <d v="2021-10-05T00:00:00" u="1"/>
        <d v="2022-10-05T00:00:00" u="1"/>
        <d v="2021-11-01T00:00:00" u="1"/>
        <d v="2021-05-27T00:00:00" u="1"/>
        <d v="2022-05-27T00:00:00" u="1"/>
        <d v="2021-06-23T00:00:00" u="1"/>
        <d v="2022-06-23T00:00:00" u="1"/>
        <d v="2022-07-19T00:00:00" u="1"/>
        <d v="2022-08-15T00:00:00" u="1"/>
        <d v="2021-09-11T00:00:00" u="1"/>
        <d v="2022-09-11T00:00:00" u="1"/>
        <d v="2021-10-07T00:00:00" u="1"/>
        <d v="2022-10-07T00:00:00" u="1"/>
        <d v="2021-11-03T00:00:00" u="1"/>
        <d v="2021-05-29T00:00:00" u="1"/>
        <d v="2022-05-29T00:00:00" u="1"/>
        <d v="2022-06-25T00:00:00" u="1"/>
        <d v="2022-07-21T00:00:00" u="1"/>
        <d v="2022-08-17T00:00:00" u="1"/>
        <d v="2021-09-13T00:00:00" u="1"/>
        <d v="2022-09-13T00:00:00" u="1"/>
        <d v="2021-10-09T00:00:00" u="1"/>
        <d v="2022-10-09T00:00:00" u="1"/>
        <d v="2021-11-05T00:00:00" u="1"/>
        <d v="2021-12-01T00:00:00" u="1"/>
        <d v="2021-05-31T00:00:00" u="1"/>
        <d v="2022-05-31T00:00:00" u="1"/>
        <d v="2022-06-27T00:00:00" u="1"/>
        <d v="2022-07-23T00:00:00" u="1"/>
        <d v="2022-08-19T00:00:00" u="1"/>
        <d v="2021-09-15T00:00:00" u="1"/>
        <d v="2022-09-15T00:00:00" u="1"/>
        <d v="2021-10-11T00:00:00" u="1"/>
        <d v="2022-10-11T00:00:00" u="1"/>
        <d v="2021-11-07T00:00:00" u="1"/>
        <d v="2021-12-03T00:00:00" u="1"/>
        <d v="2022-06-29T00:00:00" u="1"/>
        <d v="2022-07-25T00:00:00" u="1"/>
        <d v="2022-08-21T00:00:00" u="1"/>
        <d v="2021-09-17T00:00:00" u="1"/>
        <d v="2022-09-17T00:00:00" u="1"/>
        <d v="2021-10-13T00:00:00" u="1"/>
        <d v="2022-10-13T00:00:00" u="1"/>
        <d v="2021-11-09T00:00:00" u="1"/>
        <d v="2021-12-05T00:00:00" u="1"/>
        <d v="2022-07-27T00:00:00" u="1"/>
        <d v="2022-08-23T00:00:00" u="1"/>
        <d v="2021-09-19T00:00:00" u="1"/>
        <d v="2022-09-19T00:00:00" u="1"/>
        <d v="2021-10-15T00:00:00" u="1"/>
        <d v="2022-10-15T00:00:00" u="1"/>
        <d v="2021-11-11T00:00:00" u="1"/>
        <d v="2021-12-07T00:00:00" u="1"/>
        <d v="2022-07-29T00:00:00" u="1"/>
        <d v="2022-08-25T00:00:00" u="1"/>
        <d v="2021-09-21T00:00:00" u="1"/>
        <d v="2022-09-21T00:00:00" u="1"/>
        <d v="2021-10-17T00:00:00" u="1"/>
        <d v="2022-10-17T00:00:00" u="1"/>
        <d v="2021-11-13T00:00:00" u="1"/>
        <d v="2021-12-09T00:00:00" u="1"/>
        <d v="2022-07-31T00:00:00" u="1"/>
        <d v="2022-08-27T00:00:00" u="1"/>
        <d v="2021-09-23T00:00:00" u="1"/>
        <d v="2022-09-23T00:00:00" u="1"/>
        <d v="2021-10-19T00:00:00" u="1"/>
        <d v="2022-10-19T00:00:00" u="1"/>
        <d v="2021-11-15T00:00:00" u="1"/>
        <d v="2021-12-11T00:00:00" u="1"/>
        <d v="2022-08-29T00:00:00" u="1"/>
        <d v="2021-09-25T00:00:00" u="1"/>
        <d v="2022-09-25T00:00:00" u="1"/>
        <d v="2021-10-21T00:00:00" u="1"/>
        <d v="2022-10-21T00:00:00" u="1"/>
        <d v="2021-11-17T00:00:00" u="1"/>
        <d v="2021-12-13T00:00:00" u="1"/>
        <d v="2022-08-31T00:00:00" u="1"/>
        <d v="2021-09-27T00:00:00" u="1"/>
        <d v="2022-09-27T00:00:00" u="1"/>
        <d v="2021-10-23T00:00:00" u="1"/>
        <d v="2021-11-19T00:00:00" u="1"/>
        <d v="2021-12-15T00:00:00" u="1"/>
      </sharedItems>
    </cacheField>
    <cacheField name="ANO" numFmtId="0">
      <sharedItems containsSemiMixedTypes="0" containsString="0" containsNumber="1" containsInteger="1" minValue="2" maxValue="2025" count="9">
        <n v="2025"/>
        <n v="2024"/>
        <n v="2023" u="1"/>
        <n v="2022" u="1"/>
        <n v="3" u="1"/>
        <n v="4" u="1"/>
        <n v="2" u="1"/>
        <n v="2021" u="1"/>
        <n v="5" u="1"/>
      </sharedItems>
    </cacheField>
    <cacheField name="MÊS" numFmtId="0">
      <sharedItems containsSemiMixedTypes="0" containsString="0" containsNumber="1" containsInteger="1" minValue="1" maxValue="2021" count="13">
        <n v="1"/>
        <n v="11"/>
        <n v="12"/>
        <n v="2" u="1"/>
        <n v="3" u="1"/>
        <n v="5" u="1"/>
        <n v="6" u="1"/>
        <n v="7" u="1"/>
        <n v="8" u="1"/>
        <n v="2021" u="1"/>
        <n v="9" u="1"/>
        <n v="10" u="1"/>
        <n v="4" u="1"/>
      </sharedItems>
    </cacheField>
    <cacheField name="DIA" numFmtId="0">
      <sharedItems containsSemiMixedTypes="0" containsString="0" containsNumber="1" containsInteger="1" minValue="1" maxValue="31" count="31">
        <n v="13"/>
        <n v="14"/>
        <n v="15"/>
        <n v="16"/>
        <n v="6"/>
        <n v="7"/>
        <n v="8"/>
        <n v="9"/>
        <n v="2"/>
        <n v="3"/>
        <n v="4"/>
        <n v="10"/>
        <n v="11"/>
        <n v="5"/>
        <n v="12"/>
        <n v="1"/>
        <n v="25"/>
        <n v="26"/>
        <n v="27"/>
        <n v="28"/>
        <n v="29"/>
        <n v="21"/>
        <n v="19"/>
        <n v="18"/>
        <n v="22"/>
        <n v="23"/>
        <n v="30"/>
        <n v="20"/>
        <n v="24"/>
        <n v="17"/>
        <n v="31"/>
      </sharedItems>
    </cacheField>
    <cacheField name="HORA" numFmtId="0">
      <sharedItems containsSemiMixedTypes="0" containsString="0" containsNumber="1" containsInteger="1" minValue="0" maxValue="23" count="23">
        <n v="14"/>
        <n v="17"/>
        <n v="12"/>
        <n v="15"/>
        <n v="10"/>
        <n v="13"/>
        <n v="16"/>
        <n v="11"/>
        <n v="9"/>
        <n v="8"/>
        <n v="18"/>
        <n v="19"/>
        <n v="20"/>
        <n v="21"/>
        <n v="0"/>
        <n v="23"/>
        <n v="22"/>
        <n v="1"/>
        <n v="2"/>
        <n v="7"/>
        <n v="3" u="1"/>
        <n v="6" u="1"/>
        <n v="5" u="1"/>
      </sharedItems>
    </cacheField>
    <cacheField name="FILA" numFmtId="0">
      <sharedItems containsSemiMixedTypes="0" containsString="0" containsNumber="1" containsInteger="1" minValue="0" maxValue="9999" count="1590">
        <n v="0"/>
        <n v="1007"/>
        <n v="1009"/>
        <n v="1012"/>
        <n v="1013"/>
        <n v="1015"/>
        <n v="1019"/>
        <n v="1021"/>
        <n v="1022"/>
        <n v="1023"/>
        <n v="1024"/>
        <n v="1025"/>
        <n v="1026"/>
        <n v="1027"/>
        <n v="1028"/>
        <n v="1029"/>
        <n v="1030"/>
        <n v="1032"/>
        <n v="1033"/>
        <n v="1035"/>
        <n v="1036"/>
        <n v="1045"/>
        <n v="1046"/>
        <n v="1072"/>
        <n v="1073"/>
        <n v="1074"/>
        <n v="1075"/>
        <n v="1076"/>
        <n v="1080"/>
        <n v="1081"/>
        <n v="1083"/>
        <n v="1085"/>
        <n v="1088"/>
        <n v="1089"/>
        <n v="1111"/>
        <n v="1121"/>
        <n v="1123"/>
        <n v="1129"/>
        <n v="1130"/>
        <n v="1131"/>
        <n v="1133"/>
        <n v="1135"/>
        <n v="1137"/>
        <n v="1140"/>
        <n v="1141"/>
        <n v="1142"/>
        <n v="1145"/>
        <n v="1146"/>
        <n v="1148"/>
        <n v="1150"/>
        <n v="1151"/>
        <n v="1152"/>
        <n v="1155"/>
        <n v="1159"/>
        <n v="1161"/>
        <n v="1165"/>
        <n v="1166"/>
        <n v="1167"/>
        <n v="1169"/>
        <n v="1170"/>
        <n v="1172"/>
        <n v="1173"/>
        <n v="1174"/>
        <n v="1175"/>
        <n v="1176"/>
        <n v="1178"/>
        <n v="1179"/>
        <n v="1212"/>
        <n v="1214"/>
        <n v="1216"/>
        <n v="1230"/>
        <n v="1235"/>
        <n v="1263"/>
        <n v="1300"/>
        <n v="1301"/>
        <n v="1302"/>
        <n v="1303"/>
        <n v="1312"/>
        <n v="1320"/>
        <n v="1321"/>
        <n v="1322"/>
        <n v="1324"/>
        <n v="1325"/>
        <n v="1326"/>
        <n v="1327"/>
        <n v="1350"/>
        <n v="1351"/>
        <n v="1353"/>
        <n v="1354"/>
        <n v="1405"/>
        <n v="1420"/>
        <n v="1421"/>
        <n v="1424"/>
        <n v="1441"/>
        <n v="1445"/>
        <n v="1446"/>
        <n v="1447"/>
        <n v="1805"/>
        <n v="1806"/>
        <n v="1807"/>
        <n v="1811"/>
        <n v="1813"/>
        <n v="1814"/>
        <n v="1820"/>
        <n v="1822"/>
        <n v="1825"/>
        <n v="1828"/>
        <n v="1833"/>
        <n v="1836"/>
        <n v="1947"/>
        <n v="2050"/>
        <n v="2052"/>
        <n v="2053"/>
        <n v="2055"/>
        <n v="2057"/>
        <n v="2058"/>
        <n v="2061"/>
        <n v="2062"/>
        <n v="2064"/>
        <n v="2066"/>
        <n v="2069"/>
        <n v="2070"/>
        <n v="2073"/>
        <n v="2077"/>
        <n v="2079"/>
        <n v="2092"/>
        <n v="2106"/>
        <n v="2114"/>
        <n v="2752"/>
        <n v="2753"/>
        <n v="2902"/>
        <n v="2904"/>
        <n v="2908"/>
        <n v="2911"/>
        <n v="2912"/>
        <n v="2920"/>
        <n v="2923"/>
        <n v="2924"/>
        <n v="2925"/>
        <n v="2933"/>
        <n v="2940"/>
        <n v="2941"/>
        <n v="2942"/>
        <n v="2943"/>
        <n v="2949"/>
        <n v="3005"/>
        <n v="3010"/>
        <n v="3012"/>
        <n v="3019"/>
        <n v="3020"/>
        <n v="3022"/>
        <n v="3024"/>
        <n v="3050"/>
        <n v="3052"/>
        <n v="3053"/>
        <n v="3054"/>
        <n v="3055"/>
        <n v="3056"/>
        <n v="3060"/>
        <n v="3063"/>
        <n v="3065"/>
        <n v="3066"/>
        <n v="3071"/>
        <n v="3082"/>
        <n v="3084"/>
        <n v="3086"/>
        <n v="3087"/>
        <n v="3088"/>
        <n v="3090"/>
        <n v="3092"/>
        <n v="3093"/>
        <n v="3094"/>
        <n v="3095"/>
        <n v="3096"/>
        <n v="3099"/>
        <n v="3210"/>
        <n v="3246"/>
        <n v="3250"/>
        <n v="3253"/>
        <n v="3305"/>
        <n v="3306"/>
        <n v="3307"/>
        <n v="3308"/>
        <n v="3309"/>
        <n v="3312"/>
        <n v="4001"/>
        <n v="4004"/>
        <n v="4005"/>
        <n v="4006"/>
        <n v="4011"/>
        <n v="4013"/>
        <n v="4016"/>
        <n v="4018"/>
        <n v="4031"/>
        <n v="4035"/>
        <n v="4036"/>
        <n v="4042"/>
        <n v="4055"/>
        <n v="4072"/>
        <n v="4075"/>
        <n v="4076"/>
        <n v="4183"/>
        <n v="4202"/>
        <n v="4203"/>
        <n v="4204"/>
        <n v="4205"/>
        <n v="4206"/>
        <n v="4209"/>
        <n v="4210"/>
        <n v="4216"/>
        <n v="4510"/>
        <n v="4609"/>
        <n v="4610"/>
        <n v="4623"/>
        <n v="4624"/>
        <n v="4625"/>
        <n v="4635"/>
        <n v="4636"/>
        <n v="4690"/>
        <n v="5000"/>
        <n v="5007"/>
        <n v="5008"/>
        <n v="5011"/>
        <n v="5013"/>
        <n v="5191"/>
        <n v="5211"/>
        <n v="5212"/>
        <n v="5213"/>
        <n v="5216"/>
        <n v="5240"/>
        <n v="5391"/>
        <n v="5700"/>
        <n v="5703"/>
        <n v="5800"/>
        <n v="5805"/>
        <n v="5900"/>
        <n v="5901"/>
        <n v="5902"/>
        <n v="5903"/>
        <n v="5904"/>
        <n v="5905"/>
        <n v="5906"/>
        <n v="5907"/>
        <n v="5908"/>
        <n v="5910"/>
        <n v="5911"/>
        <n v="6000"/>
        <n v="6001"/>
        <n v="6002"/>
        <n v="6005"/>
        <n v="6018"/>
        <n v="6020"/>
        <n v="6021"/>
        <n v="6022"/>
        <n v="6023"/>
        <n v="6024"/>
        <n v="6080"/>
        <n v="6402"/>
        <n v="6403"/>
        <n v="6404"/>
        <n v="6410"/>
        <n v="6411"/>
        <n v="6500"/>
        <n v="6501"/>
        <n v="6507"/>
        <n v="6509"/>
        <n v="6652"/>
        <n v="6701"/>
        <n v="6702"/>
        <n v="6703"/>
        <n v="6705"/>
        <n v="6706"/>
        <n v="6707"/>
        <n v="6708"/>
        <n v="6724"/>
        <n v="6734"/>
        <n v="6735"/>
        <n v="7000"/>
        <n v="7006"/>
        <n v="7009"/>
        <n v="7015"/>
        <n v="7016"/>
        <n v="7022"/>
        <n v="7027"/>
        <n v="7039"/>
        <n v="7040"/>
        <n v="7058"/>
        <n v="7076"/>
        <n v="7082"/>
        <n v="7089"/>
        <n v="7090"/>
        <n v="7092"/>
        <n v="7093"/>
        <n v="7151"/>
        <n v="7316"/>
        <n v="7407"/>
        <n v="7415"/>
        <n v="8001"/>
        <n v="8002"/>
        <n v="8003"/>
        <n v="8005"/>
        <n v="8006"/>
        <n v="8007"/>
        <n v="8008"/>
        <n v="8009"/>
        <n v="8010"/>
        <n v="8011"/>
        <n v="8013"/>
        <n v="8014"/>
        <n v="8016"/>
        <n v="8017"/>
        <n v="8018"/>
        <n v="8021"/>
        <n v="8022"/>
        <n v="8026"/>
        <n v="8027"/>
        <n v="8028"/>
        <n v="8029"/>
        <n v="8030"/>
        <n v="8032"/>
        <n v="8033"/>
        <n v="8035"/>
        <n v="8036"/>
        <n v="8037"/>
        <n v="8038"/>
        <n v="8044"/>
        <n v="8045"/>
        <n v="8047"/>
        <n v="8049"/>
        <n v="8051"/>
        <n v="8055"/>
        <n v="8056"/>
        <n v="8057"/>
        <n v="8060"/>
        <n v="8061"/>
        <n v="8062"/>
        <n v="8063"/>
        <n v="8064"/>
        <n v="8065"/>
        <n v="8068"/>
        <n v="8070"/>
        <n v="8071"/>
        <n v="8072"/>
        <n v="8073"/>
        <n v="8078"/>
        <n v="8080"/>
        <n v="8081"/>
        <n v="8082"/>
        <n v="8083"/>
        <n v="8084"/>
        <n v="8085"/>
        <n v="8086"/>
        <n v="8087"/>
        <n v="8088"/>
        <n v="8090"/>
        <n v="8091"/>
        <n v="8092"/>
        <n v="8093"/>
        <n v="8095"/>
        <n v="8097"/>
        <n v="8098"/>
        <n v="8120"/>
        <n v="8121"/>
        <n v="8122"/>
        <n v="8126"/>
        <n v="8128"/>
        <n v="8188"/>
        <n v="8190"/>
        <n v="8191"/>
        <n v="8192"/>
        <n v="8193"/>
        <n v="8204"/>
        <n v="8211"/>
        <n v="8213"/>
        <n v="8214"/>
        <n v="8216"/>
        <n v="8217"/>
        <n v="8227"/>
        <n v="8229"/>
        <n v="8230"/>
        <n v="8231"/>
        <n v="8241"/>
        <n v="8300"/>
        <n v="8301"/>
        <n v="8350"/>
        <n v="8351"/>
        <n v="8516"/>
        <n v="8517"/>
        <n v="8518"/>
        <n v="8555"/>
        <n v="8556"/>
        <n v="8707"/>
        <n v="8717"/>
        <n v="8726"/>
        <n v="8729"/>
        <n v="8742"/>
        <n v="9003"/>
        <n v="9005"/>
        <n v="9019"/>
        <n v="9026"/>
        <n v="9027"/>
        <n v="9033"/>
        <n v="9034"/>
        <n v="9035"/>
        <n v="9037"/>
        <n v="9038"/>
        <n v="9040"/>
        <n v="9044"/>
        <n v="9046"/>
        <n v="9049"/>
        <n v="9050"/>
        <n v="9051"/>
        <n v="9052"/>
        <n v="9057"/>
        <n v="9071"/>
        <n v="9072"/>
        <n v="9133"/>
        <n v="9168"/>
        <n v="9178"/>
        <n v="9179"/>
        <n v="9183"/>
        <n v="9184"/>
        <n v="9185"/>
        <n v="9207"/>
        <n v="9402"/>
        <n v="9403"/>
        <n v="9911"/>
        <n v="9405"/>
        <n v="9991"/>
        <n v="9998"/>
        <n v="1163"/>
        <n v="4007"/>
        <n v="1003"/>
        <n v="1010"/>
        <n v="1031"/>
        <n v="1071"/>
        <n v="1079"/>
        <n v="1084"/>
        <n v="1086"/>
        <n v="1149"/>
        <n v="1164"/>
        <n v="1171"/>
        <n v="1180"/>
        <n v="1219"/>
        <n v="1355"/>
        <n v="1427"/>
        <n v="1810"/>
        <n v="2900"/>
        <n v="3004"/>
        <n v="3023"/>
        <n v="3061"/>
        <n v="3079"/>
        <n v="3085"/>
        <n v="3089"/>
        <n v="3091"/>
        <n v="3127"/>
        <n v="3130"/>
        <n v="3245"/>
        <n v="3252"/>
        <n v="3310"/>
        <n v="3414"/>
        <n v="4030"/>
        <n v="4032"/>
        <n v="4033"/>
        <n v="4066"/>
        <n v="4067"/>
        <n v="4073"/>
        <n v="4074"/>
        <n v="4505"/>
        <n v="4508"/>
        <n v="5070"/>
        <n v="5080"/>
        <n v="5081"/>
        <n v="5100"/>
        <n v="5209"/>
        <n v="5210"/>
        <n v="5291"/>
        <n v="5705"/>
        <n v="6004"/>
        <n v="6407"/>
        <n v="6408"/>
        <n v="6409"/>
        <n v="6736"/>
        <n v="6738"/>
        <n v="6741"/>
        <n v="7001"/>
        <n v="7008"/>
        <n v="7011"/>
        <n v="7017"/>
        <n v="7037"/>
        <n v="7065"/>
        <n v="7067"/>
        <n v="7075"/>
        <n v="7081"/>
        <n v="7087"/>
        <n v="7091"/>
        <n v="7401"/>
        <n v="7402"/>
        <n v="8023"/>
        <n v="8702"/>
        <n v="8704"/>
        <n v="8734"/>
        <n v="9001"/>
        <n v="9002"/>
        <n v="9028"/>
        <n v="9047"/>
        <n v="9055"/>
        <n v="9064"/>
        <n v="9075"/>
        <n v="9182"/>
        <n v="9203"/>
        <n v="9992"/>
        <n v="9999"/>
        <n v="7777"/>
        <n v="9966"/>
        <n v="3123"/>
        <n v="3129"/>
        <n v="7896"/>
        <n v="3007"/>
        <n v="6651"/>
        <n v="9000"/>
        <n v="4054"/>
        <n v="1000"/>
        <n v="1182"/>
        <n v="1185"/>
        <n v="1949"/>
        <n v="4506"/>
        <n v="4634"/>
        <n v="5009"/>
        <n v="8076"/>
        <n v="8189"/>
        <n v="8520"/>
        <n v="4700"/>
        <n v="6664"/>
        <n v="9903"/>
        <n v="4024"/>
        <n v="1034" u="1"/>
        <n v="1039" u="1"/>
        <n v="1082" u="1"/>
        <n v="1087" u="1"/>
        <n v="1139" u="1"/>
        <n v="1168" u="1"/>
        <n v="1323" u="1"/>
        <n v="1418" u="1"/>
        <n v="1425" u="1"/>
        <n v="1801" u="1"/>
        <n v="1802" u="1"/>
        <n v="1950" u="1"/>
        <n v="2003" u="1"/>
        <n v="2091" u="1"/>
        <n v="2202" u="1"/>
        <n v="2404" u="1"/>
        <n v="2405" u="1"/>
        <n v="3000" u="1"/>
        <n v="3003" u="1"/>
        <n v="3013" u="1"/>
        <n v="3014" u="1"/>
        <n v="3021" u="1"/>
        <n v="3030" u="1"/>
        <n v="3031" u="1"/>
        <n v="3058" u="1"/>
        <n v="3078" u="1"/>
        <n v="3081" u="1"/>
        <n v="3097" u="1"/>
        <n v="3098" u="1"/>
        <n v="3126" u="1"/>
        <n v="3200" u="1"/>
        <n v="3201" u="1"/>
        <n v="3204" u="1"/>
        <n v="3205" u="1"/>
        <n v="3207" u="1"/>
        <n v="3211" u="1"/>
        <n v="3251" u="1"/>
        <n v="3311" u="1"/>
        <n v="3415" u="1"/>
        <n v="4000" u="1"/>
        <n v="4010" u="1"/>
        <n v="4015" u="1"/>
        <n v="4017" u="1"/>
        <n v="4034" u="1"/>
        <n v="4037" u="1"/>
        <n v="4038" u="1"/>
        <n v="4046" u="1"/>
        <n v="4051" u="1"/>
        <n v="4057" u="1"/>
        <n v="4058" u="1"/>
        <n v="4059" u="1"/>
        <n v="4060" u="1"/>
        <n v="4063" u="1"/>
        <n v="4065" u="1"/>
        <n v="4101" u="1"/>
        <n v="4207" u="1"/>
        <n v="4208" u="1"/>
        <n v="4211" u="1"/>
        <n v="4212" u="1"/>
        <n v="4600" u="1"/>
        <n v="4620" u="1"/>
        <n v="4622" u="1"/>
        <n v="4632" u="1"/>
        <n v="4633" u="1"/>
        <n v="4670" u="1"/>
        <n v="4671" u="1"/>
        <n v="5001" u="1"/>
        <n v="5003" u="1"/>
        <n v="5004" u="1"/>
        <n v="5006" u="1"/>
        <n v="5096" u="1"/>
        <n v="5097" u="1"/>
        <n v="5110" u="1"/>
        <n v="5192" u="1"/>
        <n v="5214" u="1"/>
        <n v="5414" u="1"/>
        <n v="5415" u="1"/>
        <n v="5416" u="1"/>
        <n v="5551" u="1"/>
        <n v="5554" u="1"/>
        <n v="5801" u="1"/>
        <n v="5802" u="1"/>
        <n v="6003" u="1"/>
        <n v="6017" u="1"/>
        <n v="6019" u="1"/>
        <n v="6026" u="1"/>
        <n v="6081" u="1"/>
        <n v="6092" u="1"/>
        <n v="6103" u="1"/>
        <n v="6104" u="1"/>
        <n v="6107" u="1"/>
        <n v="6109" u="1"/>
        <n v="6414" u="1"/>
        <n v="6502" u="1"/>
        <n v="6504" u="1"/>
        <n v="6505" u="1"/>
        <n v="6506" u="1"/>
        <n v="6508" u="1"/>
        <n v="6670" u="1"/>
        <n v="6726" u="1"/>
        <n v="6732" u="1"/>
        <n v="6737" u="1"/>
        <n v="7012" u="1"/>
        <n v="7014" u="1"/>
        <n v="7021" u="1"/>
        <n v="7029" u="1"/>
        <n v="7030" u="1"/>
        <n v="7031" u="1"/>
        <n v="7035" u="1"/>
        <n v="7036" u="1"/>
        <n v="7057" u="1"/>
        <n v="7059" u="1"/>
        <n v="7061" u="1"/>
        <n v="7077" u="1"/>
        <n v="7078" u="1"/>
        <n v="7079" u="1"/>
        <n v="7083" u="1"/>
        <n v="7084" u="1"/>
        <n v="7085" u="1"/>
        <n v="7086" u="1"/>
        <n v="7088" u="1"/>
        <n v="7097" u="1"/>
        <n v="7404" u="1"/>
        <n v="7413" u="1"/>
        <n v="7414" u="1"/>
        <n v="8000" u="1"/>
        <n v="8004" u="1"/>
        <n v="8012" u="1"/>
        <n v="8042" u="1"/>
        <n v="8048" u="1"/>
        <n v="8050" u="1"/>
        <n v="8052" u="1"/>
        <n v="8059" u="1"/>
        <n v="8094" u="1"/>
        <n v="8096" u="1"/>
        <n v="8130" u="1"/>
        <n v="8205" u="1"/>
        <n v="8220" u="1"/>
        <n v="8521" u="1"/>
        <n v="8551" u="1"/>
        <n v="8601" u="1"/>
        <n v="8603" u="1"/>
        <n v="8604" u="1"/>
        <n v="8605" u="1"/>
        <n v="8607" u="1"/>
        <n v="8608" u="1"/>
        <n v="8609" u="1"/>
        <n v="8701" u="1"/>
        <n v="8705" u="1"/>
        <n v="8706" u="1"/>
        <n v="8731" u="1"/>
        <n v="8733" u="1"/>
        <n v="8885" u="1"/>
        <n v="9004" u="1"/>
        <n v="9043" u="1"/>
        <n v="9068" u="1"/>
        <n v="9073" u="1"/>
        <n v="9089" u="1"/>
        <n v="9166" u="1"/>
        <n v="9167" u="1"/>
        <n v="9169" u="1"/>
        <n v="9170" u="1"/>
        <n v="9180" u="1"/>
        <n v="9181" u="1"/>
        <n v="9210" u="1"/>
        <n v="9212" u="1"/>
        <n v="5324" u="1"/>
        <n v="9994" u="1"/>
        <n v="3235" u="1"/>
        <n v="5552" u="1"/>
        <n v="6025" u="1"/>
        <n v="7056" u="1"/>
        <n v="7066" u="1"/>
        <n v="8137" u="1"/>
        <n v="8602" u="1"/>
        <n v="8709" u="1"/>
        <n v="8787" u="1"/>
        <n v="3337" u="1"/>
        <n v="5002" u="1"/>
        <n v="2102" u="1"/>
        <n v="5005" u="1"/>
        <n v="3001" u="1"/>
        <n v="1037" u="1"/>
        <n v="1416" u="1"/>
        <n v="4041" u="1"/>
        <n v="4062" u="1"/>
        <n v="4201" u="1"/>
        <n v="4630" u="1"/>
        <n v="5021" u="1"/>
        <n v="5108" u="1"/>
        <n v="5305" u="1"/>
        <n v="5306" u="1"/>
        <n v="5319" u="1"/>
        <n v="5321" u="1"/>
        <n v="5330" u="1"/>
        <n v="5339" u="1"/>
        <n v="5343" u="1"/>
        <n v="5346" u="1"/>
        <n v="7098" u="1"/>
        <n v="7410" u="1"/>
        <n v="8031" u="1"/>
        <n v="8102" u="1"/>
        <n v="8201" u="1"/>
        <n v="8505" u="1"/>
        <n v="8509" u="1"/>
        <n v="8714" u="1"/>
        <n v="9042" u="1"/>
        <n v="9080" u="1"/>
        <n v="3062" u="1"/>
        <n v="8103" u="1"/>
        <n v="1016" u="1"/>
        <n v="1018" u="1"/>
        <n v="1042" u="1"/>
        <n v="1050" u="1"/>
        <n v="1051" u="1"/>
        <n v="1052" u="1"/>
        <n v="1070" u="1"/>
        <n v="1124" u="1"/>
        <n v="1136" u="1"/>
        <n v="1138" u="1"/>
        <n v="1143" u="1"/>
        <n v="1162" u="1"/>
        <n v="1211" u="1"/>
        <n v="1231" u="1"/>
        <n v="1240" u="1"/>
        <n v="1401" u="1"/>
        <n v="1410" u="1"/>
        <n v="1411" u="1"/>
        <n v="1513" u="1"/>
        <n v="2000" u="1"/>
        <n v="2004" u="1"/>
        <n v="2006" u="1"/>
        <n v="2009" u="1"/>
        <n v="2015" u="1"/>
        <n v="2017" u="1"/>
        <n v="2020" u="1"/>
        <n v="2021" u="1"/>
        <n v="2023" u="1"/>
        <n v="2024" u="1"/>
        <n v="2100" u="1"/>
        <n v="2103" u="1"/>
        <n v="2104" u="1"/>
        <n v="2105" u="1"/>
        <n v="2107" u="1"/>
        <n v="2108" u="1"/>
        <n v="2109" u="1"/>
        <n v="2110" u="1"/>
        <n v="2111" u="1"/>
        <n v="2115" u="1"/>
        <n v="2913" u="1"/>
        <n v="3017" u="1"/>
        <n v="3042" u="1"/>
        <n v="3044" u="1"/>
        <n v="3046" u="1"/>
        <n v="3048" u="1"/>
        <n v="3049" u="1"/>
        <n v="3059" u="1"/>
        <n v="3083" u="1"/>
        <n v="3231" u="1"/>
        <n v="3232" u="1"/>
        <n v="3233" u="1"/>
        <n v="3234" u="1"/>
        <n v="3304" u="1"/>
        <n v="4003" u="1"/>
        <n v="4012" u="1"/>
        <n v="4061" u="1"/>
        <n v="4504" u="1"/>
        <n v="4650" u="1"/>
        <n v="5062" u="1"/>
        <n v="5068" u="1"/>
        <n v="5095" u="1"/>
        <n v="5101" u="1"/>
        <n v="5102" u="1"/>
        <n v="5106" u="1"/>
        <n v="5107" u="1"/>
        <n v="5200" u="1"/>
        <n v="5300" u="1"/>
        <n v="5304" u="1"/>
        <n v="5307" u="1"/>
        <n v="5308" u="1"/>
        <n v="5318" u="1"/>
        <n v="5322" u="1"/>
        <n v="5331" u="1"/>
        <n v="5338" u="1"/>
        <n v="5344" u="1"/>
        <n v="5347" u="1"/>
        <n v="5352" u="1"/>
        <n v="5357" u="1"/>
        <n v="5360" u="1"/>
        <n v="5361" u="1"/>
        <n v="6006" u="1"/>
        <n v="6007" u="1"/>
        <n v="6008" u="1"/>
        <n v="6201" u="1"/>
        <n v="6202" u="1"/>
        <n v="6203" u="1"/>
        <n v="6204" u="1"/>
        <n v="6205" u="1"/>
        <n v="6206" u="1"/>
        <n v="6207" u="1"/>
        <n v="6208" u="1"/>
        <n v="6209" u="1"/>
        <n v="6210" u="1"/>
        <n v="6211" u="1"/>
        <n v="6214" u="1"/>
        <n v="6215" u="1"/>
        <n v="6216" u="1"/>
        <n v="6401" u="1"/>
        <n v="6406" u="1"/>
        <n v="6412" u="1"/>
        <n v="6721" u="1"/>
        <n v="6722" u="1"/>
        <n v="6723" u="1"/>
        <n v="6725" u="1"/>
        <n v="6727" u="1"/>
        <n v="6729" u="1"/>
        <n v="6731" u="1"/>
        <n v="6733" u="1"/>
        <n v="6740" u="1"/>
        <n v="6744" u="1"/>
        <n v="7005" u="1"/>
        <n v="7060" u="1"/>
        <n v="7073" u="1"/>
        <n v="7099" u="1"/>
        <n v="7152" u="1"/>
        <n v="7153" u="1"/>
        <n v="7154" u="1"/>
        <n v="7408" u="1"/>
        <n v="7409" u="1"/>
        <n v="8015" u="1"/>
        <n v="8019" u="1"/>
        <n v="8020" u="1"/>
        <n v="8024" u="1"/>
        <n v="8058" u="1"/>
        <n v="8106" u="1"/>
        <n v="8209" u="1"/>
        <n v="8215" u="1"/>
        <n v="8500" u="1"/>
        <n v="8511" u="1"/>
        <n v="8515" u="1"/>
        <n v="8711" u="1"/>
        <n v="8713" u="1"/>
        <n v="8722" u="1"/>
        <n v="8725" u="1"/>
        <n v="8727" u="1"/>
        <n v="8728" u="1"/>
        <n v="9006" u="1"/>
        <n v="9007" u="1"/>
        <n v="9009" u="1"/>
        <n v="9012" u="1"/>
        <n v="9014" u="1"/>
        <n v="9029" u="1"/>
        <n v="9039" u="1"/>
        <n v="9041" u="1"/>
        <n v="9048" u="1"/>
        <n v="9053" u="1"/>
        <n v="9060" u="1"/>
        <n v="9061" u="1"/>
        <n v="9066" u="1"/>
        <n v="9067" u="1"/>
        <n v="9069" u="1"/>
        <n v="9077" u="1"/>
        <n v="9091" u="1"/>
        <n v="9092" u="1"/>
        <n v="9093" u="1"/>
        <n v="9095" u="1"/>
        <n v="9096" u="1"/>
        <n v="9098" u="1"/>
        <n v="9099" u="1"/>
        <n v="9113" u="1"/>
        <n v="9202" u="1"/>
        <n v="9205" u="1"/>
        <n v="9206" u="1"/>
        <n v="9910" u="1"/>
        <n v="1414" u="1"/>
        <n v="5332" u="1"/>
        <n v="6666" u="1"/>
        <n v="1391" u="1"/>
        <n v="7080" u="1"/>
        <n v="9214" u="1"/>
        <n v="1392" u="1"/>
        <n v="1041" u="1"/>
        <n v="1077" u="1"/>
        <n v="1160" u="1"/>
        <n v="3016" u="1"/>
        <n v="3069" u="1"/>
        <n v="3609" u="1"/>
        <n v="4902" u="1"/>
        <n v="5309" u="1"/>
        <n v="5335" u="1"/>
        <n v="5359" u="1"/>
        <n v="6503" u="1"/>
        <n v="6728" u="1"/>
        <n v="6750" u="1"/>
        <n v="7004" u="1"/>
        <n v="7010" u="1"/>
        <n v="7013" u="1"/>
        <n v="7104" u="1"/>
        <n v="7324" u="1"/>
        <n v="7341" u="1"/>
        <n v="7405" u="1"/>
        <n v="7412" u="1"/>
        <n v="8039" u="1"/>
        <n v="8708" u="1"/>
        <n v="8712" u="1"/>
        <n v="8861" u="1"/>
        <n v="9011" u="1"/>
        <n v="9013" u="1"/>
        <n v="9020" u="1"/>
        <n v="9045" u="1"/>
        <n v="9062" u="1"/>
        <n v="9070" u="1"/>
        <n v="9087" u="1"/>
        <n v="9100" u="1"/>
        <n v="9990" u="1"/>
        <n v="3018" u="1"/>
        <n v="1134" u="1"/>
        <n v="1516" u="1"/>
        <n v="2005" u="1"/>
        <n v="7074" u="1"/>
        <n v="8539" u="1"/>
        <n v="8732" u="1"/>
        <n v="8888" u="1"/>
        <n v="9008" u="1"/>
        <n v="9997" u="1"/>
        <n v="9010" u="1"/>
        <n v="4470" u="1"/>
        <n v="4023" u="1"/>
        <n v="3503" u="1"/>
        <n v="5124" u="1"/>
        <n v="9084" u="1"/>
        <n v="5581" u="1"/>
        <n v="8501" u="1"/>
        <n v="5061" u="1"/>
        <n v="6038" u="1"/>
        <n v="8895" u="1"/>
        <n v="1899" u="1"/>
        <n v="1054" u="1"/>
        <n v="9557" u="1"/>
        <n v="5329" u="1"/>
        <n v="6046" u="1"/>
        <n v="1901" u="1"/>
        <n v="3121" u="1"/>
        <n v="1381" u="1"/>
        <n v="1056" u="1"/>
        <n v="2081" u="1"/>
        <n v="6054" u="1"/>
        <n v="5274" u="1"/>
        <n v="5014" u="1"/>
        <n v="1903" u="1"/>
        <n v="8801" u="1"/>
        <n v="4431" u="1"/>
        <n v="8738" u="1"/>
        <n v="1318" u="1"/>
        <n v="1058" u="1"/>
        <n v="2085" u="1"/>
        <n v="5605" u="1"/>
        <n v="5345" u="1"/>
        <n v="3452" u="1"/>
        <n v="9526" u="1"/>
        <n v="6062" u="1"/>
        <n v="5022" u="1"/>
        <n v="8880" u="1"/>
        <n v="2035" u="1"/>
        <n v="4039" u="1"/>
        <n v="1905" u="1"/>
        <n v="4439" u="1"/>
        <n v="1515" u="1"/>
        <n v="6653" u="1"/>
        <n v="1060" u="1"/>
        <n v="2089" u="1"/>
        <n v="8150" u="1"/>
        <n v="5613" u="1"/>
        <n v="9085" u="1"/>
        <n v="5353" u="1"/>
        <n v="5093" u="1"/>
        <n v="8502" u="1"/>
        <n v="6070" u="1"/>
        <n v="5550" u="1"/>
        <n v="7307" u="1"/>
        <n v="7047" u="1"/>
        <n v="8896" u="1"/>
        <n v="2037" u="1"/>
        <n v="4043" u="1"/>
        <n v="4447" u="1"/>
        <n v="1517" u="1"/>
        <n v="1452" u="1"/>
        <n v="1192" u="1"/>
        <n v="6661" u="1"/>
        <n v="9101" u="1"/>
        <n v="5558" u="1"/>
        <n v="7315" u="1"/>
        <n v="6015" u="1"/>
        <n v="1909" u="1"/>
        <n v="4455" u="1"/>
        <n v="6212" u="1"/>
        <n v="1454" u="1"/>
        <n v="1064" u="1"/>
        <n v="7126" u="1"/>
        <n v="9054" u="1"/>
        <n v="5566" u="1"/>
        <n v="7323" u="1"/>
        <n v="7063" u="1"/>
        <n v="9905" u="1"/>
        <n v="4463" u="1"/>
        <n v="8802" u="1"/>
        <n v="6220" u="1"/>
        <n v="3011" u="1"/>
        <n v="1456" u="1"/>
        <n v="1066" u="1"/>
        <n v="2101" u="1"/>
        <n v="3208" u="1"/>
        <n v="6094" u="1"/>
        <n v="8111" u="1"/>
        <n v="5574" u="1"/>
        <n v="5314" u="1"/>
        <n v="6031" u="1"/>
        <n v="1913" u="1"/>
        <n v="8881" u="1"/>
        <n v="4471" u="1"/>
        <n v="3015" u="1"/>
        <n v="1458" u="1"/>
        <n v="1393" u="1"/>
        <n v="1068" u="1"/>
        <n v="9086" u="1"/>
        <n v="5582" u="1"/>
        <n v="8503" u="1"/>
        <n v="6039" u="1"/>
        <n v="1265" u="1"/>
        <n v="1200" u="1"/>
        <n v="6630" u="1"/>
        <n v="5590" u="1"/>
        <n v="4810" u="1"/>
        <n v="1917" u="1"/>
        <n v="3413" u="1"/>
        <n v="1267" u="1"/>
        <n v="1202" u="1"/>
        <n v="6055" u="1"/>
        <n v="1919" u="1"/>
        <n v="5275" u="1"/>
        <n v="5015" u="1"/>
        <n v="9906" u="1"/>
        <n v="8803" u="1"/>
        <n v="5606" u="1"/>
        <n v="2054" u="1"/>
        <n v="6063" u="1"/>
        <n v="5803" u="1"/>
        <n v="5023" u="1"/>
        <n v="4503" u="1"/>
        <n v="8882" u="1"/>
        <n v="1206" u="1"/>
        <n v="4440" u="1"/>
        <n v="4008" u="1"/>
        <n v="9213" u="1"/>
        <n v="6654" u="1"/>
        <n v="8151" u="1"/>
        <n v="5354" u="1"/>
        <n v="5094" u="1"/>
        <n v="7111" u="1"/>
        <n v="9024" u="1"/>
        <n v="8504" u="1"/>
        <n v="6071" u="1"/>
        <n v="5031" u="1"/>
        <n v="7048" u="1"/>
        <n v="4511" u="1"/>
        <n v="8025" u="1"/>
        <n v="2905" u="1"/>
        <n v="1403" u="1"/>
        <n v="1208" u="1"/>
        <n v="4448" u="1"/>
        <n v="1078" u="1"/>
        <n v="9103" u="1"/>
        <n v="5362" u="1"/>
        <n v="5039" u="1"/>
        <n v="6016" u="1"/>
        <n v="8851" u="1"/>
        <n v="1210" u="1"/>
        <n v="4456" u="1"/>
        <n v="6213" u="1"/>
        <n v="5173" u="1"/>
        <n v="7190" u="1"/>
        <n v="9056" u="1"/>
        <n v="8104" u="1"/>
        <n v="5567" u="1"/>
        <n v="7064" u="1"/>
        <n v="3303" u="1"/>
        <n v="1147" u="1"/>
        <n v="4464" u="1"/>
        <n v="8804" u="1"/>
        <n v="6221" u="1"/>
        <n v="4020" u="1"/>
        <n v="6095" u="1"/>
        <n v="1929" u="1"/>
        <n v="5575" u="1"/>
        <n v="5315" u="1"/>
        <n v="7072" u="1"/>
        <n v="3047" u="1"/>
        <n v="6032" u="1"/>
        <n v="5512" u="1"/>
        <n v="8883" u="1"/>
        <n v="4472" u="1"/>
        <n v="7403" u="1"/>
        <n v="2074" u="1"/>
        <n v="5323" u="1"/>
        <n v="3051" u="1"/>
        <n v="6040" u="1"/>
        <n v="8710" u="1"/>
        <n v="9104" u="1"/>
        <n v="2078" u="1"/>
        <n v="9561" u="1"/>
        <n v="1933" u="1"/>
        <n v="4811" u="1"/>
        <n v="6048" u="1"/>
        <n v="1413" u="1"/>
        <n v="7025" u="1"/>
        <n v="1153" u="1"/>
        <n v="3902" u="1"/>
        <n v="5079" u="1"/>
        <n v="6056" u="1"/>
        <n v="1415" u="1"/>
        <n v="5276" u="1"/>
        <n v="5016" u="1"/>
        <n v="7033" u="1"/>
        <n v="8805" u="1"/>
        <n v="4433" u="1"/>
        <n v="2996" u="1"/>
        <n v="2086" u="1"/>
        <n v="5607" u="1"/>
        <n v="6064" u="1"/>
        <n v="7301" u="1"/>
        <n v="5024" u="1"/>
        <n v="1157" u="1"/>
        <n v="8884" u="1"/>
        <n v="4040" u="1"/>
        <n v="4441" u="1"/>
        <n v="6655" u="1"/>
        <n v="5615" u="1"/>
        <n v="5355" u="1"/>
        <n v="7112" u="1"/>
        <n v="3457" u="1"/>
        <n v="8506" u="1"/>
        <n v="1289" u="1"/>
        <n v="5032" u="1"/>
        <n v="7049" u="1"/>
        <n v="6009" u="1"/>
        <n v="4449" u="1"/>
        <n v="2224" u="1"/>
        <n v="2094" u="1"/>
        <n v="9105" u="1"/>
        <n v="5363" u="1"/>
        <n v="5103" u="1"/>
        <n v="6600" u="1"/>
        <n v="5560" u="1"/>
        <n v="1291" u="1"/>
        <n v="8034" u="1"/>
        <n v="8853" u="1"/>
        <n v="4457" u="1"/>
        <n v="3008" u="1"/>
        <n v="5174" u="1"/>
        <n v="8207" u="1"/>
        <n v="2228" u="1"/>
        <n v="7128" u="1"/>
        <n v="9058" u="1"/>
        <n v="5568" u="1"/>
        <n v="7002" u="1"/>
        <n v="4465" u="1"/>
        <n v="8806" u="1"/>
        <n v="6222" u="1"/>
        <n v="2010" u="1"/>
        <n v="6096" u="1"/>
        <n v="5576" u="1"/>
        <n v="5316" u="1"/>
        <n v="5513" u="1"/>
        <n v="2012" u="1"/>
        <n v="3603" u="1"/>
        <n v="1232" u="1"/>
        <n v="6041" u="1"/>
        <n v="8901" u="1"/>
        <n v="7018" u="1"/>
        <n v="2014" u="1"/>
        <n v="1494" u="1"/>
        <n v="1429" u="1"/>
        <n v="9500" u="1"/>
        <n v="7223" u="1"/>
        <n v="8208" u="1"/>
        <n v="2016" u="1"/>
        <n v="5403" u="1"/>
        <n v="3611" u="1"/>
        <n v="9579" u="1"/>
        <n v="1431" u="1"/>
        <n v="5600" u="1"/>
        <n v="9059" u="1"/>
        <n v="5340" u="1"/>
        <n v="1236" u="1"/>
        <n v="4560" u="1"/>
        <n v="2051" u="1"/>
        <n v="6057" u="1"/>
        <n v="5017" u="1"/>
        <n v="2018" u="1"/>
        <n v="6128" u="1"/>
        <n v="5608" u="1"/>
        <n v="7105" u="1"/>
        <n v="1238" u="1"/>
        <n v="1043" u="1"/>
        <n v="6065" u="1"/>
        <n v="1001" u="1"/>
        <n v="7302" u="1"/>
        <n v="5025" u="1"/>
        <n v="8886" u="1"/>
        <n v="4442" u="1"/>
        <n v="4182" u="1"/>
        <n v="1760" u="1"/>
        <n v="5356" u="1"/>
        <n v="7113" u="1"/>
        <n v="8508" u="1"/>
        <n v="2059" u="1"/>
        <n v="1002" u="1"/>
        <n v="5553" u="1"/>
        <n v="5033" u="1"/>
        <n v="7050" u="1"/>
        <n v="8902" u="1"/>
        <n v="6010" u="1"/>
        <n v="4450" u="1"/>
        <n v="2022" u="1"/>
        <n v="6601" u="1"/>
        <n v="1047" u="1"/>
        <n v="9501" u="1"/>
        <n v="5561" u="1"/>
        <n v="5301" u="1"/>
        <n v="7318" u="1"/>
        <n v="5041" u="1"/>
        <n v="8855" u="1"/>
        <n v="5175" u="1"/>
        <n v="1244" u="1"/>
        <n v="1049" u="1"/>
        <n v="1004" u="1"/>
        <n v="5569" u="1"/>
        <n v="7003" u="1"/>
        <n v="4466" u="1"/>
        <n v="4021" u="1"/>
        <n v="7200" u="1"/>
        <n v="1506" u="1"/>
        <n v="2071" u="1"/>
        <n v="6097" u="1"/>
        <n v="1005" u="1"/>
        <n v="5577" u="1"/>
        <n v="5317" u="1"/>
        <n v="6034" u="1"/>
        <n v="8887" u="1"/>
        <n v="1248" u="1"/>
        <n v="1053" u="1"/>
        <n v="2075" u="1"/>
        <n v="6105" u="1"/>
        <n v="1006" u="1"/>
        <n v="5325" u="1"/>
        <n v="6042" u="1"/>
        <n v="8903" u="1"/>
        <n v="7019" u="1"/>
        <n v="4029" u="1"/>
        <n v="1380" u="1"/>
        <n v="1055" u="1"/>
        <n v="3316" u="1"/>
        <n v="6050" u="1"/>
        <n v="4490" u="1"/>
        <n v="8856" u="1"/>
        <n v="7224" u="1"/>
        <n v="6704" u="1"/>
        <n v="4427" u="1"/>
        <n v="9187" u="1"/>
        <n v="1382" u="1"/>
        <n v="1252" u="1"/>
        <n v="1122" u="1"/>
        <n v="2083" u="1"/>
        <n v="1008" u="1"/>
        <n v="5341" u="1"/>
        <n v="6058" u="1"/>
        <n v="5018" u="1"/>
        <n v="4435" u="1"/>
        <n v="1514" u="1"/>
        <n v="1059" u="1"/>
        <n v="2087" u="1"/>
        <n v="6129" u="1"/>
        <n v="5609" u="1"/>
        <n v="6066" u="1"/>
        <n v="5026" u="1"/>
        <n v="2036" u="1"/>
        <n v="7500" u="1"/>
        <n v="4443" u="1"/>
        <n v="6200" u="1"/>
        <n v="4640" u="1"/>
        <n v="6657" u="1"/>
        <n v="1126" u="1"/>
        <n v="2221" u="1"/>
        <n v="7114" u="1"/>
        <n v="9030" u="1"/>
        <n v="8510" u="1"/>
        <n v="5034" u="1"/>
        <n v="7051" u="1"/>
        <n v="8904" u="1"/>
        <n v="6011" u="1"/>
        <n v="4711" u="1"/>
        <n v="4451" u="1"/>
        <n v="1453" u="1"/>
        <n v="2225" u="1"/>
        <n v="6405" u="1"/>
        <n v="2095" u="1"/>
        <n v="1011" u="1"/>
        <n v="7122" u="1"/>
        <n v="6602" u="1"/>
        <n v="3202" u="1"/>
        <n v="5562" u="1"/>
        <n v="5042" u="1"/>
        <n v="1455" u="1"/>
        <n v="5176" u="1"/>
        <n v="6413" u="1"/>
        <n v="1065" u="1"/>
        <n v="5570" u="1"/>
        <n v="5310" u="1"/>
        <n v="6027" u="1"/>
        <n v="4467" u="1"/>
        <n v="1457" u="1"/>
        <n v="7201" u="1"/>
        <n v="1132" u="1"/>
        <n v="1067" u="1"/>
        <n v="3600" u="1"/>
        <n v="9078" u="1"/>
        <n v="3080" u="1"/>
        <n v="5578" u="1"/>
        <n v="6035" u="1"/>
        <n v="8889" u="1"/>
        <n v="1264" u="1"/>
        <n v="1069" u="1"/>
        <n v="1014" u="1"/>
        <n v="3604" u="1"/>
        <n v="9094" u="1"/>
        <n v="6106" u="1"/>
        <n v="9031" u="1"/>
        <n v="5326" u="1"/>
        <n v="5066" u="1"/>
        <n v="6043" u="1"/>
        <n v="1201" u="1"/>
        <n v="9110" u="1"/>
        <n v="5334" u="1"/>
        <n v="6051" u="1"/>
        <n v="4491" u="1"/>
        <n v="4428" u="1"/>
        <n v="4002" u="1"/>
        <n v="6122" u="1"/>
        <n v="5602" u="1"/>
        <n v="9063" u="1"/>
        <n v="5342" u="1"/>
        <n v="4069" u="1"/>
        <n v="6059" u="1"/>
        <n v="5019" u="1"/>
        <n v="1017" u="1"/>
        <n v="9079" u="1"/>
        <n v="5350" u="1"/>
        <n v="2056" u="1"/>
        <n v="6067" u="1"/>
        <n v="7304" u="1"/>
        <n v="5027" u="1"/>
        <n v="7044" u="1"/>
        <n v="3423" u="1"/>
        <n v="4507" u="1"/>
        <n v="8890" u="1"/>
        <n v="2903" u="1"/>
        <n v="1402" u="1"/>
        <n v="1207" u="1"/>
        <n v="4444" u="1"/>
        <n v="6658" u="1"/>
        <n v="5358" u="1"/>
        <n v="7115" u="1"/>
        <n v="9032" u="1"/>
        <n v="8512" u="1"/>
        <n v="2060" u="1"/>
        <n v="6075" u="1"/>
        <n v="5555" u="1"/>
        <n v="5035" u="1"/>
        <n v="7052" u="1"/>
        <n v="8906" u="1"/>
        <n v="2907" u="1"/>
        <n v="1209" u="1"/>
        <n v="1144" u="1"/>
        <n v="4452" u="1"/>
        <n v="9111" u="1"/>
        <n v="7123" u="1"/>
        <n v="6603" u="1"/>
        <n v="8100" u="1"/>
        <n v="5563" u="1"/>
        <n v="7320" u="1"/>
        <n v="5043" u="1"/>
        <n v="1601" u="1"/>
        <n v="3041" u="1"/>
        <n v="1406" u="1"/>
        <n v="5500" u="1"/>
        <n v="8859" u="1"/>
        <n v="4460" u="1"/>
        <n v="6217" u="1"/>
        <n v="1020" u="1"/>
        <n v="6091" u="1"/>
        <n v="5571" u="1"/>
        <n v="5311" u="1"/>
        <n v="3045" u="1"/>
        <n v="1408" u="1"/>
        <n v="1213" u="1"/>
        <n v="3112" u="1"/>
        <n v="2072" u="1"/>
        <n v="6099" u="1"/>
        <n v="5579" u="1"/>
        <n v="6036" u="1"/>
        <n v="8053" u="1"/>
        <n v="8891" u="1"/>
        <n v="1280" u="1"/>
        <n v="1215" u="1"/>
        <n v="4026" u="1"/>
        <n v="4413" u="1"/>
        <n v="2076" u="1"/>
        <n v="5327" u="1"/>
        <n v="8513" u="1"/>
        <n v="5067" u="1"/>
        <n v="6044" u="1"/>
        <n v="1412" u="1"/>
        <n v="8907" u="1"/>
        <n v="1217" u="1"/>
        <n v="8718" u="1"/>
        <n v="3120" u="1"/>
        <n v="9112" u="1"/>
        <n v="1999" u="1"/>
        <n v="9506" u="1"/>
        <n v="6052" u="1"/>
        <n v="1154" u="1"/>
        <n v="7226" u="1"/>
        <n v="2084" u="1"/>
        <n v="6123" u="1"/>
        <n v="7100" u="1"/>
        <n v="6060" u="1"/>
        <n v="5020" u="1"/>
        <n v="1156" u="1"/>
        <n v="4500" u="1"/>
        <n v="2088" u="1"/>
        <n v="9081" u="1"/>
        <n v="5351" u="1"/>
        <n v="5091" u="1"/>
        <n v="6068" u="1"/>
        <n v="7305" u="1"/>
        <n v="1288" u="1"/>
        <n v="5028" u="1"/>
        <n v="8892" u="1"/>
        <n v="4445" u="1"/>
        <n v="3002" u="1"/>
        <n v="8703" u="1"/>
        <n v="6659" u="1"/>
        <n v="9097" u="1"/>
        <n v="7116" u="1"/>
        <n v="3459" u="1"/>
        <n v="8514" u="1"/>
        <n v="5556" u="1"/>
        <n v="7313" u="1"/>
        <n v="5036" u="1"/>
        <n v="8908" u="1"/>
        <n v="6013" u="1"/>
        <n v="6730" u="1"/>
        <n v="4453" u="1"/>
        <n v="3006" u="1"/>
        <n v="8719" u="1"/>
        <n v="2616" u="1"/>
        <n v="4910" u="1"/>
        <n v="2226" u="1"/>
        <n v="2007" u="1"/>
        <n v="7124" u="1"/>
        <n v="9507" u="1"/>
        <n v="5564" u="1"/>
        <n v="7321" u="1"/>
        <n v="4461" u="1"/>
        <n v="3140" u="1"/>
        <n v="6218" u="1"/>
        <n v="8735" u="1"/>
        <n v="5572" u="1"/>
        <n v="5312" u="1"/>
        <n v="1294" u="1"/>
        <n v="6029" u="1"/>
        <n v="5123" u="1"/>
        <n v="1751" u="1"/>
        <n v="9082" u="1"/>
        <n v="1426" u="1"/>
        <n v="5580" u="1"/>
        <n v="5320" u="1"/>
        <n v="6037" u="1"/>
        <n v="8054" u="1"/>
        <n v="8893" u="1"/>
        <n v="9224" u="1"/>
        <n v="2013" u="1"/>
        <n v="6108" u="1"/>
        <n v="1493" u="1"/>
        <n v="1428" u="1"/>
        <n v="5328" u="1"/>
        <n v="1233" u="1"/>
        <n v="1038" u="1"/>
        <n v="4485" u="1"/>
        <n v="8720" u="1"/>
        <n v="5336" u="1"/>
        <n v="9508" u="1"/>
        <n v="1040" u="1"/>
        <n v="6053" u="1"/>
        <n v="5273" u="1"/>
        <n v="8862" u="1"/>
        <n v="7227" u="1"/>
        <n v="4430" u="1"/>
        <n v="1952" u="1"/>
        <n v="8610" u="1"/>
        <n v="1562" u="1"/>
        <n v="6124" u="1"/>
        <n v="1237" u="1"/>
        <n v="6061" u="1"/>
        <n v="4501" u="1"/>
        <n v="2019" u="1"/>
        <n v="1759" u="1"/>
        <n v="5612" u="1"/>
        <n v="5092" u="1"/>
        <n v="1239" u="1"/>
        <n v="1044" u="1"/>
        <n v="6069" u="1"/>
        <n v="7306" u="1"/>
        <n v="5029" u="1"/>
        <n v="7046" u="1"/>
        <n v="8894" u="1"/>
        <n v="4446" u="1"/>
        <n v="6660" u="1"/>
        <n v="9036" u="1"/>
        <n v="5557" u="1"/>
        <n v="7314" u="1"/>
        <n v="5037" u="1"/>
        <n v="6014" u="1"/>
        <n v="4454" u="1"/>
        <n v="8721" u="1"/>
        <n v="4911" u="1"/>
        <n v="7125" u="1"/>
        <n v="1243" u="1"/>
        <n v="1048" u="1"/>
        <n v="9509" u="1"/>
        <n v="5565" u="1"/>
        <n v="8863" u="1"/>
        <n v="6999" u="1"/>
        <n v="4462" u="1"/>
        <n v="6219" u="1"/>
        <n v="1960" u="1"/>
        <n v="1310" u="1"/>
        <n v="1245" u="1"/>
        <n v="8110" u="1"/>
        <n v="5573" u="1"/>
        <n v="5313" u="1"/>
        <n v="6030" u="1"/>
        <n v="5510" u="1"/>
        <n v="7007" u="1"/>
      </sharedItems>
    </cacheField>
    <cacheField name="SERVIDOR" numFmtId="0">
      <sharedItems containsBlank="1" count="70">
        <s v="005"/>
        <s v="ti2"/>
        <s v="vi1"/>
        <s v="01a"/>
        <s v="ur12"/>
        <s v="mv3"/>
        <s v="cw2"/>
        <s v="ur14"/>
        <s v="tts7"/>
        <s v="ur8"/>
        <s v="dia"/>
        <s v="rec"/>
        <s v="tts6"/>
        <s v="vte"/>
        <s v="tts5"/>
        <s v="tts"/>
        <s v="ve5"/>
        <s v="ur11"/>
        <s v="san"/>
        <s v="u18"/>
        <s v="ita"/>
        <s v="sky"/>
        <s v="sk2"/>
        <s v="21a"/>
        <s v="ur16"/>
        <s v="tim"/>
        <s v="ur13"/>
        <s v="ur10"/>
        <s v="03a"/>
        <s v="u22"/>
        <s v="mck"/>
        <s v="mc2"/>
        <s v="ur4"/>
        <s v="ura"/>
        <s v="clv"/>
        <s v="sk1"/>
        <s v="u21"/>
        <s v="cwb"/>
        <s v="u19"/>
        <s v="ve4"/>
        <s v="tts2"/>
        <s v="u17"/>
        <s v="02a"/>
        <s v="ur15"/>
        <s v="ur2"/>
        <s v="u20"/>
        <s v="ur9"/>
        <s v="pan"/>
        <s v="ur3"/>
        <s v="ur7"/>
        <s v="test"/>
        <s v="re2"/>
        <s v="tts3" u="1"/>
        <s v="ixia" u="1"/>
        <s v="car" u="1"/>
        <s v="rea" u="1"/>
        <m u="1"/>
        <s v="ur5" u="1"/>
        <s v="ur6" u="1"/>
        <s v="tts4" u="1"/>
        <s v="vi2" u="1"/>
        <s v="vi3" u="1"/>
        <s v="vi4" u="1"/>
        <s v="vi5" u="1"/>
        <s v="vi6" u="1"/>
        <s v="m1m" u="1"/>
        <s v="cab" u="1"/>
        <s v="vir" u="1"/>
        <s v="omn" u="1"/>
        <s v="01b" u="1"/>
      </sharedItems>
    </cacheField>
    <cacheField name="OPERADORA" numFmtId="0">
      <sharedItems containsBlank="1" count="55">
        <s v="Embratel"/>
        <s v="Tim Sub"/>
        <s v="Embratel SUB"/>
        <s v="Telvoxx"/>
        <s v="Vonex CSF"/>
        <s v="Bloqueadas"/>
        <s v="Netjet"/>
        <s v="Pontal Telecom"/>
        <s v="R1"/>
        <s v="Telsim"/>
        <s v="BVT"/>
        <s v="Voros"/>
        <s v="Sercom"/>
        <s v="Algar"/>
        <s v="Primacom"/>
        <s v="Vivo"/>
        <m u="1"/>
        <s v="Big Telecom ITX" u="1"/>
        <s v="Alestra" u="1"/>
        <s v="Oi Khomp" u="1"/>
        <s v="Oi" u="1"/>
        <s v="Vivo E1 SUB" u="1"/>
        <s v="New Voice" u="1"/>
        <s v="MAVEN" u="1"/>
        <s v="Multi360" u="1"/>
        <s v="SIP NEO" u="1"/>
        <s v="Vivo SIP" u="1"/>
        <s v="Embratel SIP CSF" u="1"/>
        <s v="Vivo CtaG1" u="1"/>
        <s v="Embratel CSF" u="1"/>
        <s v="SIP200" u="1"/>
        <s v="TellFree" u="1"/>
        <s v="Attus ITX" u="1"/>
        <s v="Lynker" u="1"/>
        <s v="Algar CtaG2" u="1"/>
        <s v="Kvoip" u="1"/>
        <s v="Super Nova" u="1"/>
        <s v="Claro Digital" u="1"/>
        <s v="BrasilFone" u="1"/>
        <s v="Tarifando ITX" u="1"/>
        <s v="Claro Vendas" u="1"/>
        <s v="OKTOR" u="1"/>
        <s v="Alhambra" u="1"/>
        <s v="Claro Humano" u="1"/>
        <s v="Inválido" u="1"/>
        <s v="Vivo 7001" u="1"/>
        <s v="Otima" u="1"/>
        <s v="NV" u="1"/>
        <s v="Apollo Cli" u="1"/>
        <s v="Vivo e1" u="1"/>
        <s v="Embratel SIP Claro" u="1"/>
        <s v="Solutions ITX" u="1"/>
        <s v="Teste" u="1"/>
        <s v="Vivo Rajadas" u="1"/>
        <s v="Openvoice" u="1"/>
      </sharedItems>
    </cacheField>
    <cacheField name="TIPO_ROTA" numFmtId="0">
      <sharedItems containsBlank="1" count="4">
        <s v="TDM"/>
        <s v="CLI"/>
        <m u="1"/>
        <s v="INTER" u="1"/>
      </sharedItems>
    </cacheField>
    <cacheField name="ROTA" numFmtId="0">
      <sharedItems count="243">
        <s v="Embratel Smile Venda"/>
        <s v="Tim Sub 8 B"/>
        <s v="Tim Sub 4"/>
        <s v="Embratel Sub 7"/>
        <s v="TelvoxxJL"/>
        <s v="VONEX CSF JL"/>
        <s v="Embratel Sub 10"/>
        <s v=""/>
        <s v="Embratel Sub 4"/>
        <s v="Embratel Sub 8"/>
        <s v="Claro Vendas G41"/>
        <s v="Embratel MPLS2"/>
        <s v="Embratel Sub 6"/>
        <s v="Embratel MPLS1"/>
        <s v="Claro Vendas G42"/>
        <s v="Claro Humano"/>
        <s v="Claro Digital E1 G36"/>
        <s v="Claro Digital"/>
        <s v="Embratel Sub 9"/>
        <s v="Netjet51555"/>
        <s v="Netjet 51557"/>
        <s v="Netjet51554"/>
        <s v="Netjet 51556"/>
        <s v="Netjet61618"/>
        <s v="Embratel Sub 5"/>
        <s v="Pontal33439"/>
        <s v="MPLS CIRCUITO 7M"/>
        <s v="R1 4466"/>
        <s v="Netjet CLI3"/>
        <s v="Embratel MPLS3M"/>
        <s v="TelsimGW16"/>
        <s v="Netjet CLI"/>
        <s v="BVT 18091"/>
        <s v="NetJet"/>
        <s v="Netjet4747B"/>
        <s v="Netjet 51558"/>
        <s v="Claro Digital E1 G38"/>
        <s v="BVT 18092"/>
        <s v="VOROS CLI2"/>
        <s v="Embratel SUB 52 M"/>
        <s v="MPLS CIRCUITO 6M"/>
        <s v="Netjet34914"/>
        <s v="Voros ITX B"/>
        <s v="R1 4466 B"/>
        <s v="Tim Sub 5"/>
        <s v="Claro Vendas G40M"/>
        <s v="SercomLigga2"/>
        <s v="Netjet CLI4B"/>
        <s v="Netjet 0303M"/>
        <s v="Tim Sub 3 Especiais2"/>
        <s v="Tim Sub 3"/>
        <s v="Tim Sip Sub 10"/>
        <s v="Tim Sub 7"/>
        <s v="Tim Sub 3 Especiais"/>
        <s v="Tim Sip Sub 9"/>
        <s v="BVT CLI"/>
        <s v="Embratel MPLS5M"/>
        <s v="Embratel MPLS4M"/>
        <s v="Embratel SUB 53 M"/>
        <s v="VONEX CSF JLV2"/>
        <s v="Vonex JLV3"/>
        <s v="Pontalinter"/>
        <s v="vorosinter"/>
        <s v="Claro Digital E1 G37"/>
        <s v="Tim Sub 4 B"/>
        <s v="Tim Sub 6"/>
        <s v="Algar Sip"/>
        <s v="Embratel Sub 3"/>
        <s v="Tim Sub 3 B"/>
        <s v="ApolloSmiles"/>
        <s v="Embratel MPLS4"/>
        <s v="Embratel SUB 52"/>
        <s v="Embratel MPLS3"/>
        <s v="Embratel SUB 53"/>
        <s v="Pontal33438"/>
        <s v="Vonex CSF MRC"/>
        <s v="Telvoxx18751"/>
        <s v="Voros ITX"/>
        <s v="Embratel SIP"/>
        <s v="VONEX CSF ML"/>
        <s v="BVT 18091 B"/>
        <s v="Embratel MPLS5"/>
        <s v="MPLS CIRCUITO 6"/>
        <s v="Telvox Claro 1"/>
        <s v="Telvoxx18752"/>
        <s v="NETJETCli2"/>
        <s v="Algar Sip CtaG2"/>
        <s v="Tim Sip Sub 9 B"/>
        <s v="MPLS CIRCUITO 7"/>
        <s v="PrimacomInter"/>
        <s v="Pontal32944"/>
        <s v="Telsim"/>
        <s v="Vivo0303 Madeira"/>
        <s v="Vivo 7001"/>
        <s v="Pontalplay33230"/>
        <s v="Vivo Sip CtaG1" u="1"/>
        <s v="Netjet4747" u="1"/>
        <s v="Claro Vendas G40" u="1"/>
        <s v="Primacom 6852" u="1"/>
        <s v="NetjetInter2" u="1"/>
        <s v="Embratel_SIP" u="1"/>
        <s v="Netjet CLI4" u="1"/>
        <s v="VIVO E1-0800" u="1"/>
        <s v="ApolloCalcard" u="1"/>
        <s v="Apollo" u="1"/>
        <s v="Big Telecom ITX4" u="1"/>
        <s v="R1 TDM" u="1"/>
        <s v="Big Telecom ITX3" u="1"/>
        <s v="Telsim TTS" u="1"/>
        <s v="Voros Movel" u="1"/>
        <s v="Vonex Vendas" u="1"/>
        <s v="Alestra" u="1"/>
        <s v="Oi Khomp G1 2" u="1"/>
        <s v="OI GW4" u="1"/>
        <s v="Telsim2CTAG3" u="1"/>
        <s v="R1TDM4526" u="1"/>
        <s v="Netjet43292" u="1"/>
        <s v="Big Telecom ITX" u="1"/>
        <s v="voroscontingencia" u="1"/>
        <s v="VivoE10800 Especiais" u="1"/>
        <s v="Vonex CSF" u="1"/>
        <s v="New Voice" u="1"/>
        <s v="Voros CLI GW23" u="1"/>
        <s v="MAVEN TDM GW15" u="1"/>
        <s v="primacomtdm" u="1"/>
        <s v="Multi360" u="1"/>
        <s v="Voros Coxa" u="1"/>
        <s v="Big Telecom TTS" u="1"/>
        <s v="SIP NEO" u="1"/>
        <s v="NetjetInter" u="1"/>
        <s v="NetJet6422" u="1"/>
        <s v="Tarifando CLI" u="1"/>
        <s v="Vivo sip reaval 3810" u="1"/>
        <s v="Tarifando ITX2" u="1"/>
        <s v="Alhambra TDM" u="1"/>
        <s v="Ebtmplsconta2ddd" u="1"/>
        <s v="MPLS4 TESTE" u="1"/>
        <s v="VOROS TDM 2" u="1"/>
        <s v="voros2599" u="1"/>
        <s v="MPLS2 TESTE" u="1"/>
        <s v="TELEFONICA G3-CWB" u="1"/>
        <s v="MAVEN CLI" u="1"/>
        <s v="SIP200 ITX" u="1"/>
        <s v="Primacom2" u="1"/>
        <s v="Telsim GW8" u="1"/>
        <s v="Solutions ITX" u="1"/>
        <s v="Embratel Sip CSF JL" u="1"/>
        <s v="kvoipTDM" u="1"/>
        <s v="Primacom8881" u="1"/>
        <s v="BRASILFONE Fixo" u="1"/>
        <s v="Telsim Smile" u="1"/>
        <s v="Telsim3" u="1"/>
        <s v="Telsim4" u="1"/>
        <s v="Telsim5" u="1"/>
        <s v="Telsim6" u="1"/>
        <s v="Vivo Sip" u="1"/>
        <s v="Claro Digital E1 G39" u="1"/>
        <s v="Telsim7" u="1"/>
        <s v="Primacom8884" u="1"/>
        <s v="Pontal TDM G23 2" u="1"/>
        <s v="Netjet TDM 2" u="1"/>
        <s v="Baldussi" u="1"/>
        <s v="Primacom TDM" u="1"/>
        <s v="pontaltdm4" u="1"/>
        <s v="TELEFONICA REAVAL G4" u="1"/>
        <s v="Vivo Sip rajadas ML" u="1"/>
        <s v="Netjet TDM3" u="1"/>
        <s v="Netjet TDM4" u="1"/>
        <s v="OpenVoip" u="1"/>
        <s v="Primacom Fixo" u="1"/>
        <s v="Baldussi Fixo3" u="1"/>
        <s v="Netjet38399" u="1"/>
        <s v="Vivo_Reaval_6310" u="1"/>
        <s v="MAVEN TDM" u="1"/>
        <s v="Tim Sub 8" u="1"/>
        <s v="Vivo Sip Reaval" u="1"/>
        <s v="Pontal TTS" u="1"/>
        <s v="EmbratelContiCSF" u="1"/>
        <s v="Primacom CLI_1" u="1"/>
        <s v="Otima Inter" u="1"/>
        <s v="Embratel SUB" u="1"/>
        <s v="MPLS7 TESTE" u="1"/>
        <s v="MPLS5 TESTE" u="1"/>
        <s v="Netjet82477" u="1"/>
        <s v="Primacom8883" u="1"/>
        <s v="Big Telecom ITX2" u="1"/>
        <s v="MPLS3 TESTE" u="1"/>
        <s v="TELEFONICA REAVALG10" u="1"/>
        <s v="MPLS1 TESTE" u="1"/>
        <s v="Lynker16G" u="1"/>
        <s v="Netjet66845" u="1"/>
        <s v="PontalTDM GW4" u="1"/>
        <s v="Apollo Cli" u="1"/>
        <s v="TELEFONICA REAVAL G3" u="1"/>
        <s v="Baldussi Fixo2" u="1"/>
        <s v="Big Te96837508" u="1"/>
        <s v="Claro Digital Test" u="1"/>
        <s v="BRASILFONE cli" u="1"/>
        <s v="Baldussi Fixo" u="1"/>
        <s v="Vivo sip reaval 9420" u="1"/>
        <s v="Pontal TDM G23" u="1"/>
        <s v="GVT_VIVOMovel_GW5" u="1"/>
        <s v="r1tdm2" u="1"/>
        <s v="PontalG22" u="1"/>
        <s v="Pontal" u="1"/>
        <s v="Oi Khomp G1" u="1"/>
        <s v="OI GW6" u="1"/>
        <s v="SupernovaInter" u="1"/>
        <s v="BRASILFONE TDM" u="1"/>
        <s v="Voroscli3" u="1"/>
        <s v="Voros CLI" u="1"/>
        <s v="Pontal Telecom TDM" u="1"/>
        <s v="TELEFONICA REAVAL G6" u="1"/>
        <s v="VivoSIP4950" u="1"/>
        <s v="NetjetBinaIDgw16" u="1"/>
        <s v="Vivo SR" u="1"/>
        <s v="NetJet Inter" u="1"/>
        <s v="Primacom8882" u="1"/>
        <s v="NULL" u="1"/>
        <s v="Embratel SIP Claro" u="1"/>
        <s v="OI GW6 CWB" u="1"/>
        <s v="Super Nova TDM 101" u="1"/>
        <s v="TellFree" u="1"/>
        <s v="AttusITX2" u="1"/>
        <s v="Oktor2" u="1"/>
        <s v="BVT Tdm" u="1"/>
        <s v="OKTOR" u="1"/>
        <s v="Voros CLI GW23 2" u="1"/>
        <s v="Telsim MrcG7" u="1"/>
        <s v="Big Telecom ITX2B" u="1"/>
        <s v="Pontal TDM MRC G6" u="1"/>
        <s v="Primacom CLI" u="1"/>
        <s v="Primacom8885" u="1"/>
        <s v="MAVEN ROBO" u="1"/>
        <s v="Supernova Telecom" u="1"/>
        <s v="Attus ITX" u="1"/>
        <s v="Voros" u="1"/>
        <s v="NewVoic G16" u="1"/>
        <s v="Teste" u="1"/>
        <s v="Ebtmplsconta3ddd" u="1"/>
        <s v="Primacom" u="1"/>
        <s v="AlgarVendas" u="1"/>
        <s v="MPLS6 TESTE" u="1"/>
      </sharedItems>
    </cacheField>
    <cacheField name="FIXO_MOVEL" numFmtId="0">
      <sharedItems count="2">
        <s v="FIXO"/>
        <s v="MOVEL"/>
      </sharedItems>
    </cacheField>
    <cacheField name="TECNOLOGIA" numFmtId="0">
      <sharedItems containsBlank="1" count="6">
        <s v="ZERO"/>
        <s v="HUMANO"/>
        <s v="ROBO"/>
        <m/>
        <s v="teste" u="1"/>
        <s v="URA" u="1"/>
      </sharedItems>
    </cacheField>
    <cacheField name="SEGMENTO" numFmtId="0">
      <sharedItems containsBlank="1" count="158">
        <s v="ZERO ZERO"/>
        <s v="ATACADÃO TELE HUMANO"/>
        <s v="CLARO HUMANO"/>
        <s v="CARREFOUR TELE HUMANO"/>
        <s v="GCB ROBO"/>
        <s v="VERO HUMANO"/>
        <s v="RENNER ROBO"/>
        <s v="SANTANDER ROBO"/>
        <s v="CLARO ROBO"/>
        <s v="OI ROBO"/>
        <s v="MERCADO PAGO HUMANO"/>
        <s v="MERCADO PAGO ROBO"/>
        <s v="OI HUMANO"/>
        <s v="CARREFOUR HUMANO"/>
        <s v="FILAS TESTE HUMANO"/>
        <s v="SANTANDER HUMANO"/>
        <s v="TIM ROBO"/>
        <s v="ITAU HUMANO"/>
        <s v="TESTES ROBO"/>
        <s v="CLARO EMPRESAS HUMANO"/>
        <s v="NATURA HUMANO"/>
        <s v="NATURA ROBO"/>
        <s v="LIGGA ROBO"/>
        <s v="BOTICARIO HUMANO"/>
        <s v="EUDORA HUMANO"/>
        <s v="TIM HUMANO"/>
        <s v="SASCAR ROBO"/>
        <s v="METRALHADORA ROBO"/>
        <s v="BANCO INTER HUMANO"/>
        <s v="CARREFOUR TELE ROBO"/>
        <s v="ATACADÃO TELE ROBO"/>
        <s v="RENNER HUMANO"/>
        <s v="ESTACIO ROBO"/>
        <s v="GCB HUMANO"/>
        <s v="SMILES HUMANO"/>
        <s v="BOTICARIO COLOMBIA HUMANO"/>
        <s v="BOTICARIO COLOMBIA ROBO"/>
        <s v="BANCO INTER ROBO"/>
        <s v=" "/>
        <s v="LIGGA HUMANO"/>
        <s v="VERO ROBO"/>
        <s v="BRB HUMANO"/>
        <s v="TRIBANCO HUMANO"/>
        <s v="CALCARD COBRANÇA ROBO"/>
        <s v="BMG ROBO"/>
        <s v="CALCARD COBRANÇA HUMANO"/>
        <s v="CALCARD VENDAS HUMANO"/>
        <s v="ITAU ROBO"/>
        <s v="BOTICARIO ROBO"/>
        <s v="EUDORA ROBO"/>
        <s v="ESTACIO HUMANO"/>
        <s v="TRIBANCO ROBO"/>
        <s v="MADEIRA MADEIRA HUMANO"/>
        <s v="TESTES HUMANO"/>
        <s v="TESTE ROBO"/>
        <s v="TESTE HUMANO"/>
        <s v="CALCARD VENDAS ROBO"/>
        <s v="BRB ROBO"/>
        <s v="GRUPO AVENIDA ROBO" u="1"/>
        <s v="CLARO EMPRESAS ROBO" u="1"/>
        <s v="SKY ROBO" u="1"/>
        <s v="SKY HUMANO" u="1"/>
        <s v="VIA VAREJO ROBO" u="1"/>
        <s v="VIA VAREJO HUMANO" u="1"/>
        <s v="QUINTO ANDAR HUMANO" u="1"/>
        <s v="MAGALU HUMANO" u="1"/>
        <s v="CALCARD ROBO" u="1"/>
        <s v="CALCARD HUMANO" u="1"/>
        <s v="AVON HUMANO" u="1"/>
        <s v="GRUPO AVENIDA HUMANO" u="1"/>
        <s v="test ROBO" u="1"/>
        <s v="TEST HUMANO" u="1"/>
        <s v="teste teste" u="1"/>
        <s v="TESTE " u="1"/>
        <s v="METRALHADORA HUMANO" u="1"/>
        <s v="CIELO HUMANO" u="1"/>
        <s v="TIM_GRAVACAO_H_x0009_ ROBO" u="1"/>
        <s v="VIAVAREJO HUMANO" u="1"/>
        <s v="VIAVAREJO ROBO" u="1"/>
        <s v="VIAVAR ROBO" u="1"/>
        <s v="ZERO HUMANO" u="1"/>
        <s v=" HUMANO" u="1"/>
        <s v="SERCOMTEL ROBO" u="1"/>
        <s v="AVON ROBO" u="1"/>
        <s v="CARREFOUR ESCOB HUMANO" u="1"/>
        <s v="TIM " u="1"/>
        <s v="NUBANK HUMANO" u="1"/>
        <s v="PAYGO HUMANO" u="1"/>
        <s v="NET ROBO" u="1"/>
        <s v="ALGAR HUMANO" u="1"/>
        <s v="ALGAR ROBO" u="1"/>
        <s v="SERCOMTEL HUMANO" u="1"/>
        <s v="NUBANK ROBO" u="1"/>
        <s v="CARREFOUR SAC HUMANO" u="1"/>
        <s v="OI PJ HUMANO" u="1"/>
        <s v="TESTE TELECOM HUMANO" u="1"/>
        <s v="CLARO VENDAS HUMANO" u="1"/>
        <s v="TESTES " u="1"/>
        <s v="VIVO HUMANO" u="1"/>
        <s v="CARREFOUR SAC " u="1"/>
        <s v="CLARO " u="1"/>
        <m u="1"/>
        <s v="PAYGO ROBO" u="1"/>
        <s v="PREMIUM" u="1"/>
        <s v="M3 M4 " u="1"/>
        <s v="M1" u="1"/>
        <s v=" ROBO" u="1"/>
        <s v="RET DEF " u="1"/>
        <s v="WO HUMANO" u="1"/>
        <s v="RET DEF" u="1"/>
        <s v="BRASILSEG ROBO" u="1"/>
        <s v="ADQUIRA" u="1"/>
        <s v="POSCHURN" u="1"/>
        <s v="NET" u="1"/>
        <s v="CARREFOUR TELE" u="1"/>
        <s v="TESTE TELECOM ROBO" u="1"/>
        <s v="VIVO ROBO" u="1"/>
        <s v="OMNI" u="1"/>
        <s v="DONUS HUMANO" u="1"/>
        <s v="BRASILSEG HUMANO" u="1"/>
        <s v="MULTA" u="1"/>
        <s v="PRÉCHURN" u="1"/>
        <s v="ATACADÃO ESCOB HUMANO" u="1"/>
        <s v="ATACADÃO TELE" u="1"/>
        <s v="PDTI" u="1"/>
        <s v="COPEL HUMANO" u="1"/>
        <s v="CLARO VENDAS ROBO" u="1"/>
        <s v="PORTO SEGURO HUMANO" u="1"/>
        <s v="CREDIPAR HUMANO" u="1"/>
        <s v="M5" u="1"/>
        <s v="BTG HUMANO" u="1"/>
        <s v="CREDSYSTEM HUMANO" u="1"/>
        <s v="ACORDO" u="1"/>
        <s v="-" u="1"/>
        <s v="POS CHURN" u="1"/>
        <s v="VIP" u="1"/>
        <s v="M4" u="1"/>
        <s v="CLARO VENDAS " u="1"/>
        <s v="PORTO SEGURO ROBO" u="1"/>
        <s v="BANCO PAN ROBO" u="1"/>
        <s v="CARREFOUR SAC" u="1"/>
        <s v="CARREFOUR ESCOB" u="1"/>
        <s v="RECOVERY HUMANO" u="1"/>
        <s v="VIVO VENDAS ROBO" u="1"/>
        <s v="CLARO" u="1"/>
        <s v="BANCO PAN HUMANO" u="1"/>
        <s v="M3" u="1"/>
        <s v="PRÉ CHURN" u="1"/>
        <s v="NET HUMANO" u="1"/>
        <s v="COXA HUMANO" u="1"/>
        <s v="POS-CHURN" u="1"/>
        <s v="VIVO " u="1"/>
        <s v="CIELO ROBO" u="1"/>
        <s v="ATACADÃO ESCOB" u="1"/>
        <s v="M2" u="1"/>
        <s v="PRÉ-CHURN" u="1"/>
        <s v="CREDSYSTEM ROBO" u="1"/>
        <s v="VIVO VENDAS HUMANO" u="1"/>
      </sharedItems>
    </cacheField>
    <cacheField name="CARTEIRA" numFmtId="0">
      <sharedItems containsBlank="1" count="76">
        <s v="ZERO"/>
        <s v="ATACADÃO TELE"/>
        <s v="CLARO"/>
        <s v="CARREFOUR TELE"/>
        <s v="GCB"/>
        <s v="VERO"/>
        <s v="RENNER"/>
        <s v="SANTANDER"/>
        <s v="OI"/>
        <s v="MERCADO PAGO"/>
        <s v="CARREFOUR"/>
        <s v="FILAS TESTE"/>
        <s v="TIM"/>
        <s v="ITAU"/>
        <s v="TESTES"/>
        <s v="CLARO EMPRESAS"/>
        <s v="NATURA"/>
        <s v="LIGGA"/>
        <s v="BOTICARIO"/>
        <s v="EUDORA"/>
        <s v="SASCAR"/>
        <s v="METRALHADORA"/>
        <s v="BANCO INTER"/>
        <s v="ESTACIO"/>
        <s v="SMILES"/>
        <s v="BOTICARIO COLOMBIA"/>
        <m/>
        <s v="BRB"/>
        <s v="TRIBANCO"/>
        <s v="CALCARD COBRANÇA"/>
        <s v="BMG"/>
        <s v="CALCARD VENDAS"/>
        <s v="MADEIRA MADEIRA"/>
        <s v="TESTE"/>
        <s v="GRUPO AVENIDA" u="1"/>
        <s v="SKY" u="1"/>
        <s v="VIA VAREJO" u="1"/>
        <s v="QUINTO ANDAR" u="1"/>
        <s v="MAGALU" u="1"/>
        <s v="CALCARD" u="1"/>
        <s v="AVON" u="1"/>
        <s v="test" u="1"/>
        <s v="CIELO" u="1"/>
        <s v="TIM_GRAVACAO_H_x0009_" u="1"/>
        <s v="VIAVAREJO" u="1"/>
        <s v="VIAVAR" u="1"/>
        <s v="SERCOMTEL" u="1"/>
        <s v="CARREFOUR ESCOB" u="1"/>
        <s v="NUBANK" u="1"/>
        <s v="PAYGO" u="1"/>
        <s v="NET" u="1"/>
        <s v="ALGAR" u="1"/>
        <s v="CARREFOUR SAC" u="1"/>
        <s v="OI PJ" u="1"/>
        <s v="TESTE TELECOM" u="1"/>
        <s v="CLARO VENDAS" u="1"/>
        <s v="VIVO" u="1"/>
        <s v="VIVO VENDAS" u="1"/>
        <s v="BANCO PAN" u="1"/>
        <s v="BV" u="1"/>
        <s v="CREDIPAR" u="1"/>
        <s v="ATACADÃO" u="1"/>
        <s v="RCI" u="1"/>
        <s v="-" u="1"/>
        <s v="DONUS" u="1"/>
        <s v="RECOVERY" u="1"/>
        <s v="COPEL" u="1"/>
        <s v="COXA" u="1"/>
        <s v="BRASILSEG" u="1"/>
        <s v="MARISA" u="1"/>
        <s v="PARANA BANCO" u="1"/>
        <s v="CREDSYSTEM" u="1"/>
        <s v="ATACADÃO ESCOB" u="1"/>
        <s v="BTG" u="1"/>
        <s v="PORTO SEGURO" u="1"/>
        <s v="WO" u="1"/>
      </sharedItems>
    </cacheField>
    <cacheField name="PAG_SUB" numFmtId="0">
      <sharedItems containsBlank="1" count="3">
        <s v="PAGO"/>
        <s v="SUB"/>
        <m u="1"/>
      </sharedItems>
    </cacheField>
    <cacheField name="GW" numFmtId="0">
      <sharedItems containsBlank="1" count="2218">
        <s v=""/>
        <s v="srvcwbg77"/>
        <s v="srvcwbg39"/>
        <s v="srvcwbg2"/>
        <s v="srvcwbg6"/>
        <s v="srvctag3"/>
        <s v="srvcwbg1"/>
        <s v="srvcwbg9"/>
        <s v="srvcwbg68"/>
        <s v="srvcwbg26"/>
        <s v="srvcwbg36"/>
        <s v="srvcwbg64"/>
        <s v="srvcwbg27"/>
        <s v="srvcwbg42"/>
        <s v="srvcwbg14"/>
        <s v="srvcwbg47"/>
        <s v="srvcwbg57"/>
        <s v="srvcwbg13"/>
        <s v="srvcwbg75"/>
        <s v="srvcwbg74"/>
        <s v="srvcwbg33"/>
        <s v="srvcwbg15"/>
        <s v="srvcwbg61"/>
        <s v="srvcwbg3"/>
        <s v="srvmrcg1"/>
        <s v="srvcwbg65"/>
        <s v="srvmrcg2"/>
        <s v="srvcwbg48"/>
        <s v="srvcwbg70"/>
        <s v="SrvCwbG69"/>
        <s v="srvmrcg12"/>
        <s v="srvcwbg18"/>
        <s v="srvcwbg73"/>
        <s v="srvcwbg38"/>
        <s v="srvcwbg25"/>
        <s v="srvcwbg49"/>
        <s v="srvcwbg52"/>
        <s v="srvcwbg72"/>
        <s v="srvcwbg12"/>
        <s v="srvve5a3"/>
        <s v="srvcwbg24"/>
        <s v="srvcwbg62"/>
        <s v="B0C10"/>
        <s v="B0C110"/>
        <s v="B0C118"/>
        <s v="B0C14"/>
        <s v="B0C24"/>
        <s v="B0C57"/>
        <s v="B0C97"/>
        <s v="B1C115"/>
        <s v="B1C116"/>
        <s v="B2C108"/>
        <s v="B2C118"/>
        <s v="B2C48"/>
        <s v="B2C49"/>
        <s v="B2C50"/>
        <s v="B2C55"/>
        <s v="B2C63"/>
        <s v="B2C71"/>
        <s v="B2C81"/>
        <s v="B2C9"/>
        <s v="B2C96"/>
        <s v="B3C31"/>
        <s v="B3C61"/>
        <s v="B3C82"/>
        <s v="B4C10"/>
        <s v="B4C100"/>
        <s v="B4C104"/>
        <s v="B4C108"/>
        <s v="B4C109"/>
        <s v="B4C114"/>
        <s v="B4C28"/>
        <s v="B4C81"/>
        <s v="B4C9"/>
        <s v="B5C118"/>
        <s v="B5C24"/>
        <s v="B5C25"/>
        <s v="B5C38"/>
        <s v="B5C55"/>
        <s v="B5C67"/>
        <s v="B5C68"/>
        <s v="B5C71"/>
        <s v="B6C104"/>
        <s v="B6C54"/>
        <s v="B6C64"/>
        <s v="B6C65"/>
        <s v="B6C76"/>
        <s v="B7C16"/>
        <s v="B7C31"/>
        <s v="B7C41"/>
        <s v="B7C82"/>
        <s v="B7C91"/>
        <s v="B8C17"/>
        <s v="B8C25"/>
        <s v="B8C41"/>
        <s v="B8C75"/>
        <s v="B0C112"/>
        <s v="B0C113"/>
        <s v="B0C22"/>
        <s v="B0C34"/>
        <s v="B0C40"/>
        <s v="B0C60"/>
        <s v="B0C64"/>
        <s v="B0C65"/>
        <s v="B0C70"/>
        <s v="B1C107"/>
        <s v="B1C108"/>
        <s v="B1C37"/>
        <s v="B1C38"/>
        <s v="B1C44"/>
        <s v="B1C53"/>
        <s v="B2C11"/>
        <s v="B2C28"/>
        <s v="B2C29"/>
        <s v="B2C31"/>
        <s v="B2C67"/>
        <s v="B2C68"/>
        <s v="B2C76"/>
        <s v="B3C33"/>
        <s v="B3C36"/>
        <s v="B3C41"/>
        <s v="B3C55"/>
        <s v="B3C73"/>
        <s v="B4C111"/>
        <s v="B4C19"/>
        <s v="B4C3"/>
        <s v="B4C4"/>
        <s v="B4C86"/>
        <s v="B4C90"/>
        <s v="B4C95"/>
        <s v="B5C103"/>
        <s v="B5C41"/>
        <s v="B5C52"/>
        <s v="B5C57"/>
        <s v="B5C59"/>
        <s v="B5C61"/>
        <s v="B5C73"/>
        <s v="B5C86"/>
        <s v="B5C90"/>
        <s v="B5C94"/>
        <s v="B5C95"/>
        <s v="B6C100"/>
        <s v="B6C109"/>
        <s v="B6C11"/>
        <s v="B6C57"/>
        <s v="B6C58"/>
        <s v="B6C67"/>
        <s v="B6C80"/>
        <s v="B7C102"/>
        <s v="B7C104"/>
        <s v="B7C109"/>
        <s v="B7C114"/>
        <s v="B7C18"/>
        <s v="B7C21"/>
        <s v="B7C33"/>
        <s v="B7C36"/>
        <s v="B7C46"/>
        <s v="B7C70"/>
        <s v="B7C74"/>
        <s v="B8C43"/>
        <s v="B8C54"/>
        <s v="B8C77"/>
        <s v="B8C79"/>
        <s v="B8C83"/>
        <s v="B8C86"/>
        <s v="B0C101"/>
        <s v="B0C109"/>
        <s v="B0C32"/>
        <s v="B0C7"/>
        <s v="B0C72"/>
        <s v="B0C8"/>
        <s v="B0C95"/>
        <s v="B1C42"/>
        <s v="B1C49"/>
        <s v="B2C104"/>
        <s v="B2C45"/>
        <s v="B2C5"/>
        <s v="B2C61"/>
        <s v="B2C77"/>
        <s v="B2C78"/>
        <s v="B2C87"/>
        <s v="B2C91"/>
        <s v="B3C37"/>
        <s v="B3C46"/>
        <s v="B3C52"/>
        <s v="B3C80"/>
        <s v="B3C84"/>
        <s v="B4C115"/>
        <s v="B4C26"/>
        <s v="B4C63"/>
        <s v="B4C66"/>
        <s v="B4C87"/>
        <s v="B4C92"/>
        <s v="B5C117"/>
        <s v="B5C97"/>
        <s v="B6C111"/>
        <s v="B6C82"/>
        <s v="B6C89"/>
        <s v="B6C92"/>
        <s v="B7C1"/>
        <s v="B7C110"/>
        <s v="B7C47"/>
        <s v="B7C62"/>
        <s v="B7C67"/>
        <s v="B7C72"/>
        <s v="B7C97"/>
        <s v="B8C14"/>
        <s v="B8C15"/>
        <s v="B8C3"/>
        <s v="B8C4"/>
        <s v="B8C52"/>
        <s v="B8C59"/>
        <s v="B0C104"/>
        <s v="B0C58"/>
        <s v="B1C30"/>
        <s v="B1C34"/>
        <s v="B1C35"/>
        <s v="B1C51"/>
        <s v="B2C100"/>
        <s v="B2C101"/>
        <s v="B2C109"/>
        <s v="B2C116"/>
        <s v="B2C119"/>
        <s v="B2C37"/>
        <s v="B2C42"/>
        <s v="B2C47"/>
        <s v="B2C93"/>
        <s v="B3C71"/>
        <s v="B4C14"/>
        <s v="B4C27"/>
        <s v="B4C71"/>
        <s v="B5C20"/>
        <s v="B5C39"/>
        <s v="B5C48"/>
        <s v="B5C50"/>
        <s v="B5C54"/>
        <s v="B5C69"/>
        <s v="B5C81"/>
        <s v="B6C103"/>
        <s v="B6C117"/>
        <s v="B6C73"/>
        <s v="B7C57"/>
        <s v="B7C58"/>
        <s v="B8C19"/>
        <s v="B8C33"/>
        <s v="B8C70"/>
        <s v="B0C12"/>
        <s v="B0C83"/>
        <s v="B0C86"/>
        <s v="B1C100"/>
        <s v="B1C32"/>
        <s v="B1C39"/>
        <s v="B1C40"/>
        <s v="B1C56"/>
        <s v="B2C103"/>
        <s v="B2C22"/>
        <s v="B2C52"/>
        <s v="B2C69"/>
        <s v="B2C98"/>
        <s v="B3C35"/>
        <s v="B3C54"/>
        <s v="B4C12"/>
        <s v="B4C17"/>
        <s v="B4C61"/>
        <s v="B4C73"/>
        <s v="B4C76"/>
        <s v="B5C109"/>
        <s v="B5C13"/>
        <s v="B5C16"/>
        <s v="B5C22"/>
        <s v="B5C76"/>
        <s v="B5C83"/>
        <s v="B6C108"/>
        <s v="B6C110"/>
        <s v="B6C119"/>
        <s v="B6C33"/>
        <s v="B6C59"/>
        <s v="B6C69"/>
        <s v="B6C78"/>
        <s v="B6C84"/>
        <s v="B6C85"/>
        <s v="B7C105"/>
        <s v="B7C40"/>
        <s v="B7C45"/>
        <s v="B7C5"/>
        <s v="B7C51"/>
        <s v="B7C60"/>
        <s v="B7C64"/>
        <s v="B7C65"/>
        <s v="B7C90"/>
        <s v="B7C94"/>
        <s v="B7C95"/>
        <s v="B8C22"/>
        <s v="B8C40"/>
        <s v="B8C45"/>
        <s v="B8C63"/>
        <s v="B8C66"/>
        <s v="B8C72"/>
        <s v="B0C1"/>
        <s v="B0C107"/>
        <s v="B0C111"/>
        <s v="B0C50"/>
        <s v="B0C54"/>
        <s v="B0C55"/>
        <s v="B0C62"/>
        <s v="B0C90"/>
        <s v="B0C94"/>
        <s v="B1C47"/>
        <s v="B2C0"/>
        <s v="B2C10"/>
        <s v="B2C102"/>
        <s v="B2C105"/>
        <s v="B2C117"/>
        <s v="B2C14"/>
        <s v="B2C15"/>
        <s v="B2C2"/>
        <s v="B2C40"/>
        <s v="B2C44"/>
        <s v="B2C79"/>
        <s v="B2C8"/>
        <s v="B2C89"/>
        <s v="B3C39"/>
        <s v="B3C43"/>
        <s v="B3C59"/>
        <s v="B3C68"/>
        <s v="B3C78"/>
        <s v="B3C85"/>
        <s v="B4C20"/>
        <s v="B4C7"/>
        <s v="B4C89"/>
        <s v="B5C101"/>
        <s v="B5C110"/>
        <s v="B5C111"/>
        <s v="B5C116"/>
        <s v="B5C30"/>
        <s v="B5C34"/>
        <s v="B5C35"/>
        <s v="B5C46"/>
        <s v="B5C6"/>
        <s v="B5C60"/>
        <s v="B5C64"/>
        <s v="B5C65"/>
        <s v="B5C78"/>
        <s v="B5C92"/>
        <s v="B6C0"/>
        <s v="B6C13"/>
        <s v="B6C16"/>
        <s v="B6C4"/>
        <s v="B6C71"/>
        <s v="B7C107"/>
        <s v="B7C11"/>
        <s v="B7C48"/>
        <s v="B7C49"/>
        <s v="B7C69"/>
        <s v="B7C7"/>
        <s v="B8C10"/>
        <s v="B8C47"/>
        <s v="B8C48"/>
        <s v="B8C49"/>
        <s v="B8C88"/>
        <s v="B0C114"/>
        <s v="B0C43"/>
        <s v="B0C52"/>
        <s v="B0C59"/>
        <s v="B0C99"/>
        <s v="B2C110"/>
        <s v="B2C17"/>
        <s v="B2C19"/>
        <s v="B2C20"/>
        <s v="B2C25"/>
        <s v="B2C3"/>
        <s v="B2C60"/>
        <s v="B2C65"/>
        <s v="B4C106"/>
        <s v="B4C107"/>
        <s v="B4C113"/>
        <s v="B4C118"/>
        <s v="B4C15"/>
        <s v="B4C67"/>
        <s v="B4C68"/>
        <s v="B5C11"/>
        <s v="B5C37"/>
        <s v="B5C47"/>
        <s v="B5C49"/>
        <s v="B6C23"/>
        <s v="B6C26"/>
        <s v="B6C31"/>
        <s v="B6C50"/>
        <s v="B6C55"/>
        <s v="B6C93"/>
        <s v="B6C96"/>
        <s v="B7C28"/>
        <s v="B8C12"/>
        <s v="B8C61"/>
        <s v="B8C74"/>
        <s v="B8C81"/>
        <s v="B1C103"/>
        <s v="B1C117"/>
        <s v="B1C45"/>
        <s v="B1C93"/>
        <s v="B1C96"/>
        <s v="B2C113"/>
        <s v="B2C27"/>
        <s v="B2C70"/>
        <s v="B2C75"/>
        <s v="B2C80"/>
        <s v="B2C84"/>
        <s v="B2C85"/>
        <s v="B3C30"/>
        <s v="B3C63"/>
        <s v="B3C76"/>
        <s v="B4C75"/>
        <s v="B4C80"/>
        <s v="B4C84"/>
        <s v="B4C85"/>
        <s v="B5C113"/>
        <s v="B6C118"/>
        <s v="B6C43"/>
        <s v="B6C46"/>
        <s v="B6C52"/>
        <s v="B6C77"/>
        <s v="B7C112"/>
        <s v="B7C119"/>
        <s v="B7C17"/>
        <s v="B7C19"/>
        <s v="B7C44"/>
        <s v="B7C86"/>
        <s v="B8C7"/>
        <s v="B0C117"/>
        <s v="B0C119"/>
        <s v="B0C13"/>
        <s v="B0C16"/>
        <s v="B0C2"/>
        <s v="B0C26"/>
        <s v="B0C88"/>
        <s v="B1C109"/>
        <s v="B1C58"/>
        <s v="B2C1"/>
        <s v="B2C114"/>
        <s v="B2C30"/>
        <s v="B2C34"/>
        <s v="B2C35"/>
        <s v="B2C53"/>
        <s v="B2C88"/>
        <s v="B3C32"/>
        <s v="B3C77"/>
        <s v="B4C102"/>
        <s v="B4C24"/>
        <s v="B4C25"/>
        <s v="B4C60"/>
        <s v="B4C64"/>
        <s v="B4C65"/>
        <s v="B4C77"/>
        <s v="B4C78"/>
        <s v="B5C0"/>
        <s v="B5C104"/>
        <s v="B5C40"/>
        <s v="B5C44"/>
        <s v="B5C77"/>
        <s v="B5C99"/>
        <s v="B6C21"/>
        <s v="B6C91"/>
        <s v="B7C106"/>
        <s v="B7C23"/>
        <s v="B7C26"/>
        <s v="B7C37"/>
        <s v="B7C38"/>
        <s v="B7C42"/>
        <s v="B7C54"/>
        <s v="B7C55"/>
        <s v="B7C92"/>
        <s v="B8C23"/>
        <s v="B8C26"/>
        <s v="B8C31"/>
        <s v="B8C87"/>
        <s v="B0C46"/>
        <s v="B0C63"/>
        <s v="B0C73"/>
        <s v="B0C81"/>
        <s v="B0C92"/>
        <s v="B1C91"/>
        <s v="B2C111"/>
        <s v="B2C12"/>
        <s v="B2C38"/>
        <s v="B2C39"/>
        <s v="B2C64"/>
        <s v="B3C47"/>
        <s v="B4C110"/>
        <s v="B4C119"/>
        <s v="B4C69"/>
        <s v="B4C93"/>
        <s v="B4C96"/>
        <s v="B5C62"/>
        <s v="B6C17"/>
        <s v="B7C10"/>
        <s v="B7C14"/>
        <s v="B7C15"/>
        <s v="B7C27"/>
        <s v="B7C52"/>
        <s v="B7C59"/>
        <s v="B7C73"/>
        <s v="B7C76"/>
        <s v="B7C81"/>
        <s v="B8C36"/>
        <s v="B8C53"/>
        <s v="B0C106"/>
        <s v="B0C39"/>
        <s v="B0C42"/>
        <s v="B0C9"/>
        <s v="B2C16"/>
        <s v="B2C36"/>
        <s v="B3C38"/>
        <s v="B3C57"/>
        <s v="B4C88"/>
        <s v="B5C43"/>
        <s v="B5C98"/>
        <s v="B7C111"/>
        <s v="B7C53"/>
        <s v="B7C56"/>
        <s v="B7C98"/>
        <s v="B7C99"/>
        <s v="B8C1"/>
        <s v="B8C8"/>
        <s v="B1C114"/>
        <s v="B1C92"/>
        <s v="B2C106"/>
        <s v="B2C18"/>
        <s v="B2C24"/>
        <s v="B3C48"/>
        <s v="B3C89"/>
        <s v="B4C8"/>
        <s v="B6C6"/>
        <s v="B6C60"/>
        <s v="B7C13"/>
        <s v="B7C6"/>
        <s v="B0C30"/>
        <s v="B0C35"/>
        <s v="B0C74"/>
        <s v="B3C66"/>
        <s v="B5C88"/>
        <s v="B4C29"/>
        <s v="B5C105"/>
        <s v="B5C32"/>
        <s v="B2C74"/>
        <s v="B3C34"/>
        <s v="B4C5"/>
        <s v="B6C105"/>
        <s v="B6C36"/>
        <s v="B6C62"/>
        <s v="B7C0"/>
        <s v="B7C83"/>
        <s v="B8C44"/>
        <s v="B0C23"/>
        <s v="B2C56"/>
        <s v="B4C79"/>
        <s v="B5C45"/>
        <s v="B7C50"/>
        <s v="B8C42"/>
        <s v="B8C68"/>
        <s v="B6C114"/>
        <s v="B6C18"/>
        <s v="B6C41"/>
        <s v="B0C11"/>
        <s v="B0C21"/>
        <s v="B1C101"/>
        <s v="B1C118"/>
        <s v="B2C51"/>
        <s v="B2C62"/>
        <s v="B4C70"/>
        <s v="B4C74"/>
        <s v="B5C119"/>
        <s v="B5C7"/>
        <s v="B6C106"/>
        <s v="B6C28"/>
        <s v="B6C79"/>
        <s v="B7C103"/>
        <s v="B0C116"/>
        <s v="B0C41"/>
        <s v="B0C71"/>
        <s v="B1C119"/>
        <s v="B1C57"/>
        <s v="B2C115"/>
        <s v="B2C72"/>
        <s v="B2C82"/>
        <s v="B3C45"/>
        <s v="B3C67"/>
        <s v="B3C69"/>
        <s v="B3C79"/>
        <s v="B4C2"/>
        <s v="B4C72"/>
        <s v="B4C82"/>
        <s v="B4C91"/>
        <s v="B5C18"/>
        <s v="B5C23"/>
        <s v="B5C26"/>
        <s v="B5C53"/>
        <s v="B5C56"/>
        <s v="B5C79"/>
        <s v="B5C87"/>
        <s v="B5C89"/>
        <s v="B6C15"/>
        <s v="B6C48"/>
        <s v="B6C63"/>
        <s v="B6C66"/>
        <s v="B7C39"/>
        <s v="B7C71"/>
        <s v="B7C8"/>
        <s v="B8C2"/>
        <s v="B8C51"/>
        <s v="B8C6"/>
        <s v="B3C50"/>
        <s v="B0C66"/>
        <s v="B0C0"/>
        <s v="B6C9"/>
        <s v="B8C21"/>
        <s v="B8C38"/>
        <s v="B0C61"/>
        <s v="B8C89"/>
        <s v="B0C102"/>
        <s v="B0C18"/>
        <s v="B0C28"/>
        <s v="B0C33"/>
        <s v="B0C36"/>
        <s v="B0C6"/>
        <s v="B0C76"/>
        <s v="B2C32"/>
        <s v="B2C90"/>
        <s v="B2C94"/>
        <s v="B2C95"/>
        <s v="B3C49"/>
        <s v="B3C53"/>
        <s v="B4C62"/>
        <s v="B5C102"/>
        <s v="B5C42"/>
        <s v="B6C19"/>
        <s v="B6C70"/>
        <s v="B6C74"/>
        <s v="B6C75"/>
        <s v="B6C83"/>
        <s v="B6C86"/>
        <s v="B7C29"/>
        <s v="B7C9"/>
        <s v="B8C56"/>
        <s v="B0C48"/>
        <s v="B2C97"/>
        <s v="B2C99"/>
        <s v="B3C65"/>
        <s v="B5C1"/>
        <s v="B5C84"/>
        <s v="B5C85"/>
        <s v="B6C98"/>
        <s v="B7C115"/>
        <s v="B7C12"/>
        <s v="B7C2"/>
        <s v="B7C30"/>
        <s v="B7C34"/>
        <s v="B7C35"/>
        <s v="B8C37"/>
        <s v="B8C84"/>
        <s v="B8C85"/>
        <s v="B0C108"/>
        <s v="B0C31"/>
        <s v="B1C106"/>
        <s v="B1C59"/>
        <s v="B2C112"/>
        <s v="B3C40"/>
        <s v="B3C72"/>
        <s v="B6C14"/>
        <s v="B6C37"/>
        <s v="B7C20"/>
        <s v="B7C88"/>
        <s v="B8C67"/>
        <s v="B8C82"/>
        <s v="B1C43"/>
        <s v="B2C58"/>
        <s v="B3C42"/>
        <s v="B4C101"/>
        <s v="B6C102"/>
        <s v="B6C12"/>
        <s v="B7C66"/>
        <s v="B0C105"/>
        <s v="B0C4"/>
        <s v="B0C5"/>
        <s v="B0C68"/>
        <s v="B0C78"/>
        <s v="B0C80"/>
        <s v="B0C84"/>
        <s v="B0C85"/>
        <s v="B0C96"/>
        <s v="B1C110"/>
        <s v="B1C113"/>
        <s v="B1C54"/>
        <s v="B1C55"/>
        <s v="B2C46"/>
        <s v="B2C6"/>
        <s v="B2C92"/>
        <s v="B3C60"/>
        <s v="B3C70"/>
        <s v="B3C75"/>
        <s v="B3C86"/>
        <s v="B4C105"/>
        <s v="B4C98"/>
        <s v="B5C2"/>
        <s v="B5C75"/>
        <s v="B5C8"/>
        <s v="B5C9"/>
        <s v="B6C101"/>
        <s v="B6C29"/>
        <s v="B6C3"/>
        <s v="B6C61"/>
        <s v="B7C101"/>
        <s v="B7C108"/>
        <s v="B8C13"/>
        <s v="B8C16"/>
        <s v="B8C58"/>
        <s v="B8C60"/>
        <s v="B8C64"/>
        <s v="B8C65"/>
        <s v="B8C80"/>
        <s v="B0C87"/>
        <s v="B0C89"/>
        <s v="B1C102"/>
        <s v="B1C104"/>
        <s v="B1C33"/>
        <s v="B1C98"/>
        <s v="B2C23"/>
        <s v="B3C44"/>
        <s v="B3C62"/>
        <s v="B4C112"/>
        <s v="B4C6"/>
        <s v="B5C108"/>
        <s v="B5C114"/>
        <s v="B5C17"/>
        <s v="B5C72"/>
        <s v="B5C82"/>
        <s v="B6C10"/>
        <s v="B6C107"/>
        <s v="B6C39"/>
        <s v="B6C47"/>
        <s v="B6C81"/>
        <s v="B7C116"/>
        <s v="B7C117"/>
        <s v="B7C32"/>
        <s v="B7C61"/>
        <s v="B7C87"/>
        <s v="B8C5"/>
        <s v="B8C69"/>
        <s v="B8C73"/>
        <s v="B8C76"/>
        <s v="B6C38"/>
        <s v="B8C9"/>
        <s v="B3C74"/>
        <s v="B5C21"/>
        <s v="B5C74"/>
        <s v="B7C24"/>
        <s v="B3C56"/>
        <s v="B3C81"/>
        <s v="B4C117"/>
        <s v="B4C22"/>
        <s v="B6C113"/>
        <s v="B7C22"/>
        <s v="B7C4"/>
        <s v="B7C63"/>
        <s v="B0C47"/>
        <s v="B3C83"/>
        <s v="B5C51"/>
        <s v="B5C70"/>
        <s v="B6C115"/>
        <s v="B6C72"/>
        <s v="B6C97"/>
        <s v="B7C78"/>
        <s v="B8C39"/>
        <s v="B1C41"/>
        <s v="B1C97"/>
        <s v="B4C13"/>
        <s v="B4C16"/>
        <s v="B5C19"/>
        <s v="B6C49"/>
        <s v="B6C53"/>
        <s v="B6C56"/>
        <s v="B7C25"/>
        <s v="B0C17"/>
        <s v="B0C27"/>
        <s v="B0C91"/>
        <s v="B1C46"/>
        <s v="B2C41"/>
        <s v="B2C57"/>
        <s v="B4C116"/>
        <s v="B5C115"/>
        <s v="B5C28"/>
        <s v="B5C3"/>
        <s v="B5C58"/>
        <s v="B5C93"/>
        <s v="B5C96"/>
        <s v="B6C20"/>
        <s v="B6C24"/>
        <s v="B6C5"/>
        <s v="B6C68"/>
        <s v="B8C11"/>
        <s v="B8C27"/>
        <s v="B8C30"/>
        <s v="B8C35"/>
        <s v="B0C38"/>
        <s v="B0C53"/>
        <s v="B0C67"/>
        <s v="B0C77"/>
        <s v="B1C111"/>
        <s v="B1C50"/>
        <s v="B2C107"/>
        <s v="B3C58"/>
        <s v="B3C64"/>
        <s v="B4C1"/>
        <s v="B4C97"/>
        <s v="B5C10"/>
        <s v="B5C100"/>
        <s v="B5C106"/>
        <s v="B5C107"/>
        <s v="B5C14"/>
        <s v="B5C15"/>
        <s v="B5C33"/>
        <s v="B5C80"/>
        <s v="B6C1"/>
        <s v="B6C27"/>
        <s v="B6C30"/>
        <s v="B6C34"/>
        <s v="B6C35"/>
        <s v="B6C40"/>
        <s v="B6C44"/>
        <s v="B6C45"/>
        <s v="B6C51"/>
        <s v="B6C88"/>
        <s v="B6C99"/>
        <s v="B7C77"/>
        <s v="B8C57"/>
        <s v="B8C71"/>
        <s v="B2C7"/>
        <s v="B8C28"/>
        <s v="B2C43"/>
        <s v="B1C52"/>
        <s v="B3C51"/>
        <s v="B0C103"/>
        <s v="B6C2"/>
        <s v="B6C25"/>
        <s v="B8C34"/>
        <s v="B0C3"/>
        <s v="B0C49"/>
        <s v="B4C11"/>
        <s v="B6C116"/>
        <s v="B7C113"/>
        <s v="B0C100"/>
        <s v="B0C15"/>
        <s v="B0C25"/>
        <s v="B0C98"/>
        <s v="B1C99"/>
        <s v="B2C26"/>
        <s v="B3C88"/>
        <s v="B4C0"/>
        <s v="B4C103"/>
        <s v="B5C91"/>
        <s v="B7C89"/>
        <s v="B8C0"/>
        <s v="B0C19"/>
        <s v="B0C45"/>
        <s v="B2C59"/>
        <s v="B4C94"/>
        <s v="B5C112"/>
        <s v="B5C27"/>
        <s v="B5C4"/>
        <s v="B6C8"/>
        <s v="B6C94"/>
        <s v="B6C95"/>
        <s v="B7C43"/>
        <s v="B7C93"/>
        <s v="B7C96"/>
        <s v="B8C29"/>
        <s v="B0C93"/>
        <s v="B0C20"/>
        <s v="B0C82"/>
        <s v="B1C36"/>
        <s v="B2C4"/>
        <s v="B5C12"/>
        <s v="B8C62"/>
        <s v="B0C29"/>
        <s v="B0C44"/>
        <s v="B8C46"/>
        <s v="B0C37"/>
        <s v="B0C56"/>
        <s v="B0C69"/>
        <s v="B1C48"/>
        <s v="B1C90"/>
        <s v="B1C94"/>
        <s v="B2C13"/>
        <s v="B2C21"/>
        <s v="B4C23"/>
        <s v="B5C36"/>
        <s v="B5C63"/>
        <s v="B5C66"/>
        <s v="B6C22"/>
        <s v="B6C87"/>
        <s v="B7C68"/>
        <s v="B7C80"/>
        <s v="B7C84"/>
        <s v="B7C85"/>
        <s v="B8C32"/>
        <s v="B2C54"/>
        <s v="B2C66"/>
        <s v="B6C32"/>
        <s v="B6C42"/>
        <s v="B7C3"/>
        <s v="B8C18"/>
        <s v="B8C20"/>
        <s v="B8C24"/>
        <s v="B1C105"/>
        <s v="B6C90"/>
        <s v="B0C115"/>
        <s v="B0C79"/>
        <s v="B1C95"/>
        <s v="B4C99"/>
        <s v="B7C100"/>
        <s v="B7C79"/>
        <s v="B1C112"/>
        <s v="B3C87"/>
        <s v="B0C51"/>
        <s v="B0C75"/>
        <s v="B2C73"/>
        <s v="B4C21"/>
        <s v="B5C29"/>
        <s v="B5C31"/>
        <s v="B5C5"/>
        <s v="B6C112"/>
        <s v="B6C7"/>
        <s v="B7C75"/>
        <s v="B8C50"/>
        <s v="B8C55"/>
        <s v="B8C78"/>
        <s v="B1C31"/>
        <s v="B2C33"/>
        <s v="B7C118"/>
        <s v="B2C83"/>
        <s v="B2C86"/>
        <s v="B4C18"/>
        <s v="B4C83"/>
        <s v="srvmrcg6"/>
        <s v="srvmrcg11"/>
        <s v="srvcwbg44"/>
        <s v="srvcwbg46"/>
        <s v="extag10097"/>
        <s v="extag9261"/>
        <s v="srvcwbg10"/>
        <s v="extag10352"/>
        <s v="extag10689"/>
        <s v="extag11186"/>
        <s v="extag10687"/>
        <s v="extag9027"/>
        <s v="extag10051"/>
        <s v="extag8906"/>
        <s v="extag9154"/>
        <s v="extag9015"/>
        <s v="extag11315"/>
        <s v="extag9257"/>
        <s v="extag10709"/>
        <s v="extag11378"/>
        <s v="extag11338"/>
        <s v="extag9110"/>
        <s v="extag11104"/>
        <s v="srvcwbg76"/>
        <s v="extag9674"/>
        <s v="extag9978"/>
        <s v="extag11114"/>
        <s v="extag10777"/>
        <s v="extag10125"/>
        <s v="extag11232"/>
        <s v="extag10064"/>
        <s v="extag10840"/>
        <s v="extag6670"/>
        <s v="extag11435"/>
        <s v="extag10320"/>
        <s v="extag10046"/>
        <s v="extag8815"/>
        <s v="extag10916"/>
        <s v="extag10216"/>
        <s v="extag10524"/>
        <s v="extag6975"/>
        <s v="extag10522"/>
        <s v="extag8207"/>
        <s v="extag10165"/>
        <s v="extag11211"/>
        <s v="extag11301"/>
        <s v="extag10725"/>
        <s v="extag11065"/>
        <s v="extag7209"/>
        <s v="extag10845"/>
        <s v="extag10867"/>
        <s v="extag11394"/>
        <s v="extag11318"/>
        <s v="extag10539"/>
        <s v="extag10806"/>
        <s v="extag11277"/>
        <s v="extag11192"/>
        <s v="extag6302"/>
        <s v="extag10025"/>
        <s v="extag10628"/>
        <s v="extag10883"/>
        <s v="extag7476"/>
        <s v="extag10981"/>
        <s v="extag11280"/>
        <s v="extag10502"/>
        <s v="srvcwbg63"/>
        <s v="extag11187"/>
        <s v="extag9729"/>
        <s v="extag10749"/>
        <s v="extag10929"/>
        <s v="extag11622"/>
        <s v="extag8503"/>
        <s v="extag9096"/>
        <s v="extag10019"/>
        <s v="extag10966"/>
        <s v="extag9738"/>
        <s v="extag9873"/>
        <s v="extag11095"/>
        <s v="extag8915"/>
        <s v="extag8491"/>
        <s v="extag10499"/>
        <s v="extag10153"/>
        <s v="extag8086"/>
        <s v="extag8121"/>
        <s v="extag9882"/>
        <s v="extag10954"/>
        <s v="extag10748"/>
        <s v="extag9250"/>
        <s v="extag8408"/>
        <s v="extag11545"/>
        <s v="extag10731"/>
        <s v="extag11649"/>
        <s v="extag11662"/>
        <s v="extag9355"/>
        <s v="extag10944"/>
        <s v="extag9916"/>
        <s v="extag7322"/>
        <s v="extag10077"/>
        <s v="extag10233"/>
        <s v="extag11452"/>
        <s v="extag10278"/>
        <s v="extag10717"/>
        <s v="extag11159"/>
        <s v="extag10733"/>
        <s v="extag8919"/>
        <s v="extag10652"/>
        <s v="extag10723"/>
        <s v="extag10374"/>
        <s v="extag9382"/>
        <s v="extag10863"/>
        <s v="extag9262"/>
        <s v="extag9098"/>
        <s v="extag10884"/>
        <s v="extag9176"/>
        <s v="extag10828"/>
        <s v="extag10634"/>
        <s v="extag9865"/>
        <s v="extag7201"/>
        <s v="extag10870"/>
        <s v="extag10739"/>
        <s v="extag11137"/>
        <s v="extag10858"/>
        <s v="extag10294"/>
        <s v="extag10826"/>
        <s v="extag10865"/>
        <s v="extag10156"/>
        <s v="extag10721"/>
        <s v="extag11455"/>
        <s v="extag6837"/>
        <s v="extag9130"/>
        <s v="extag10800"/>
        <s v="extag10122"/>
        <s v="extag10106"/>
        <s v="extag11473"/>
        <s v="extag11258"/>
        <s v="extag11199"/>
        <s v="extag11043"/>
        <s v="extag9653"/>
        <s v="extag11288"/>
        <s v="extag10747"/>
        <s v="extag6899"/>
        <s v="extag11646"/>
        <s v="extag9352"/>
        <s v="extag10941"/>
        <s v="extag10740"/>
        <s v="extag11300"/>
        <s v="extag10291"/>
        <s v="extag8332"/>
        <s v="extag8817"/>
        <s v="extag6042"/>
        <s v="extag10969"/>
        <s v="extag11470"/>
        <s v="extag8560"/>
        <s v="extag9174"/>
        <s v="extag10732"/>
        <s v="extag11287"/>
        <s v="extag11340"/>
        <s v="extag11127"/>
        <s v="extag11128"/>
        <s v="extag11094"/>
        <s v="extag8398"/>
        <s v="extag10557"/>
        <s v="extag10563"/>
        <s v="extag9613"/>
        <s v="extag11325"/>
        <s v="extag11170"/>
        <s v="extag11269"/>
        <s v="extag9800"/>
        <s v="extag10152"/>
        <s v="extag11462"/>
        <s v="extag11639"/>
        <s v="extag11620"/>
        <s v="extag11456"/>
        <s v="extag10956"/>
        <s v="extag10314"/>
        <s v="extag11641"/>
        <s v="extag7517"/>
        <s v="extag11461"/>
        <s v="extag10292"/>
        <s v="extag11624"/>
        <s v="extag11656"/>
        <s v="extag11298"/>
        <s v="extag11328"/>
        <s v="extag10655"/>
        <s v="extag6036"/>
        <s v="extag10901"/>
        <s v="extag10909"/>
        <s v="clarovendasg40m"/>
        <s v="mpls13"/>
        <s v="mpls65"/>
        <s v="mpls84"/>
        <s v="mpls11"/>
        <s v="mpls12"/>
        <s v="mpls16"/>
        <s v="mpls83"/>
        <s v="mpls91"/>
        <s v="mpls92"/>
        <s v="mpls14"/>
        <s v="mpls15"/>
        <s v="mpls38"/>
        <s v="mpls55"/>
        <s v="mpls61"/>
        <s v="mpls62"/>
        <s v="mpls86"/>
        <s v="mpls22"/>
        <s v="mpls64"/>
        <s v="mpls19"/>
        <s v="mpls45"/>
        <s v="mpls51"/>
        <s v="mpls63"/>
        <s v="mpls54"/>
        <s v="mpls66"/>
        <s v="mpls88"/>
        <s v="mpls89"/>
        <s v="mpls95"/>
        <s v="mpls21"/>
        <s v="mpls41"/>
        <s v="mpls42"/>
        <s v="mpls18"/>
        <s v="mpls24"/>
        <s v="mpls44"/>
        <s v="mpls17"/>
        <s v="mpls69"/>
        <s v="mpls53"/>
        <s v="mpls87"/>
        <s v="mpls75"/>
        <s v="mpls96"/>
        <s v="mpls99"/>
        <s v="mpls85"/>
        <s v="mpls33"/>
        <s v="mpls34"/>
        <s v="mpls35"/>
        <s v="mpls47"/>
        <s v="mpls73"/>
        <s v="mpls97"/>
        <s v="mpls28"/>
        <s v="mpls79"/>
        <s v="mpls27"/>
        <s v="mpls31"/>
        <s v="mpls48"/>
        <s v="mpls49"/>
        <s v="mpls77"/>
        <s v="mpls81"/>
        <s v="mpls82"/>
        <s v="mpls37"/>
        <s v="extag11002"/>
        <s v="extag6955"/>
        <s v="extag9342"/>
        <s v="extag10904"/>
        <s v="extag10906"/>
        <s v="extag10670"/>
        <s v="extag10567"/>
        <s v="EbtMplsConta5DDD53"/>
        <s v="EbtMplsConta5DDD54"/>
        <s v="EbtMplsConta5DDD55"/>
        <s v="EbtMplsConta5DDD62"/>
        <s v="EbtMplsConta5DDD79"/>
        <s v="EbtMplsConta5DDD87"/>
        <s v="EbtMplsConta5DDD88"/>
        <s v="EbtMplsConta5DDD24"/>
        <s v="EbtMplsConta5DDD32"/>
        <s v="EbtMplsConta5DDD61"/>
        <s v="EbtMplsConta5DDD83"/>
        <s v="EbtMplsConta5DDD92"/>
        <s v="EbtMplsConta5DDD97"/>
        <s v="EbtMplsConta5DDD98"/>
        <s v="EbtMplsConta5DDD15"/>
        <s v="EbtMplsConta5DDD16"/>
        <s v="EbtMplsConta5DDD31"/>
        <s v="EbtMplsConta5DDD73"/>
        <s v="EbtMplsConta5DDD74"/>
        <s v="EbtMplsConta5DDD75"/>
        <s v="EbtMplsConta5DDD89"/>
        <s v="EbtMplsConta5DDD67"/>
        <s v="EbtMplsConta5DDD99"/>
        <s v="EbtMplsConta5DDD11"/>
        <s v="EbtMplsConta5DDD37"/>
        <s v="EbtMplsConta5DDD84"/>
        <s v="EbtMplsConta5DDD51"/>
        <s v="srvcwbg66"/>
        <s v="mpls46"/>
        <s v="mpls71"/>
        <s v="mpls98"/>
        <s v="mpls74"/>
        <s v="mpls94"/>
        <s v="mpls43"/>
        <s v="mpls32"/>
        <s v="extag11428"/>
        <s v="extag10903"/>
        <s v="extag11427"/>
        <s v="extag10541"/>
        <s v="extag10532"/>
        <s v="extag10530"/>
        <s v="mpls67"/>
        <s v="mpls93"/>
        <s v="mpls68"/>
        <s v="embratelsub8"/>
        <s v="embratelsub5"/>
        <s v="embratelsub6"/>
        <s v="B1C10"/>
        <s v="B1C14"/>
        <s v="B1C15"/>
        <s v="B1C22"/>
        <s v="B1C29"/>
        <s v="B1C81"/>
        <s v="B3C1"/>
        <s v="B3C10"/>
        <s v="B3C110"/>
        <s v="B3C14"/>
        <s v="B3C15"/>
        <s v="B3C21"/>
        <s v="B3C5"/>
        <s v="B4C33"/>
        <s v="B4C36"/>
        <s v="B4C42"/>
        <s v="B4C47"/>
        <s v="B4C49"/>
        <s v="B4C53"/>
        <s v="B4C56"/>
        <s v="B8C100"/>
        <s v="B8C106"/>
        <s v="B8C107"/>
        <s v="B8C108"/>
        <s v="B8C109"/>
        <s v="B8C116"/>
        <s v="B8C117"/>
        <s v="B8C93"/>
        <s v="B1C1"/>
        <s v="B1C12"/>
        <s v="B1C17"/>
        <s v="B1C19"/>
        <s v="B1C60"/>
        <s v="B1C64"/>
        <s v="B1C65"/>
        <s v="B1C73"/>
        <s v="B3C105"/>
        <s v="B3C109"/>
        <s v="B3C114"/>
        <s v="B3C118"/>
        <s v="B3C17"/>
        <s v="B3C18"/>
        <s v="B3C19"/>
        <s v="B3C3"/>
        <s v="B3C6"/>
        <s v="B3C90"/>
        <s v="B3C94"/>
        <s v="B3C95"/>
        <s v="B4C38"/>
        <s v="B4C58"/>
        <s v="B8C103"/>
        <s v="B8C105"/>
        <s v="B1C0"/>
        <s v="B1C3"/>
        <s v="B1C62"/>
        <s v="B1C69"/>
        <s v="B1C7"/>
        <s v="B1C87"/>
        <s v="B1C88"/>
        <s v="B1C89"/>
        <s v="B3C112"/>
        <s v="B3C116"/>
        <s v="B3C2"/>
        <s v="B3C27"/>
        <s v="B3C28"/>
        <s v="B3C29"/>
        <s v="B3C8"/>
        <s v="B3C97"/>
        <s v="B3C98"/>
        <s v="B3C99"/>
        <s v="B4C31"/>
        <s v="B4C40"/>
        <s v="B4C44"/>
        <s v="B4C45"/>
        <s v="B4C51"/>
        <s v="B8C104"/>
        <s v="B8C118"/>
        <s v="B8C96"/>
        <s v="B1C76"/>
        <s v="B1C80"/>
        <s v="B1C84"/>
        <s v="B1C85"/>
        <s v="B3C107"/>
        <s v="B3C12"/>
        <s v="B3C20"/>
        <s v="B3C24"/>
        <s v="B3C25"/>
        <s v="B3C4"/>
        <s v="B3C92"/>
        <s v="B8C114"/>
        <s v="B8C91"/>
        <s v="B1C71"/>
        <s v="B1C9"/>
        <s v="B8C101"/>
        <s v="B8C119"/>
        <s v="B1C23"/>
        <s v="B1C26"/>
        <s v="B3C0"/>
        <s v="B3C101"/>
        <s v="B3C115"/>
        <s v="B3C119"/>
        <s v="B4C37"/>
        <s v="B4C57"/>
        <s v="B8C115"/>
        <s v="B8C98"/>
        <s v="B1C5"/>
        <s v="B1C78"/>
        <s v="B1C82"/>
        <s v="B3C22"/>
        <s v="B8C102"/>
        <s v="B1C21"/>
        <s v="B4C34"/>
        <s v="B4C35"/>
        <s v="B4C55"/>
        <s v="B8C110"/>
        <s v="B1C20"/>
        <s v="B1C24"/>
        <s v="B1C25"/>
        <s v="B1C67"/>
        <s v="B3C106"/>
        <s v="B3C11"/>
        <s v="srvcwbg53"/>
        <s v="B4C30"/>
        <s v="B3C9"/>
        <s v="B4C39"/>
        <s v="B4C59"/>
        <s v="B8C113"/>
        <s v="B8C97"/>
        <s v="B1C13"/>
        <s v="B1C16"/>
        <s v="B1C77"/>
        <s v="B3C100"/>
        <s v="B3C103"/>
        <s v="B1C63"/>
        <s v="B1C66"/>
        <s v="B4C50"/>
        <s v="B4C54"/>
        <s v="B1C11"/>
        <s v="B3C117"/>
        <s v="B4C32"/>
        <s v="B4C43"/>
        <s v="B4C46"/>
        <s v="B4C52"/>
        <s v="B8C99"/>
        <s v="B1C28"/>
        <s v="B1C61"/>
        <s v="B1C79"/>
        <s v="B3C104"/>
        <s v="B3C108"/>
        <s v="B4C41"/>
        <s v="B8C111"/>
        <s v="B8C90"/>
        <s v="B8C94"/>
        <s v="B8C95"/>
        <s v="B1C4"/>
        <s v="B1C70"/>
        <s v="B1C74"/>
        <s v="B1C75"/>
        <s v="B3C111"/>
        <s v="B3C7"/>
        <s v="B1C2"/>
        <s v="B1C27"/>
        <s v="B1C6"/>
        <s v="B3C13"/>
        <s v="B3C16"/>
        <s v="B8C112"/>
        <s v="B1C18"/>
        <s v="B3C93"/>
        <s v="B3C96"/>
        <s v="B1C68"/>
        <s v="B1C8"/>
        <s v="B3C102"/>
        <s v="B8C92"/>
        <s v="B1C72"/>
        <s v="B3C113"/>
        <s v="B3C91"/>
        <s v="B4C48"/>
        <s v="B1C83"/>
        <s v="B1C86"/>
        <s v="B3C23"/>
        <s v="B3C26"/>
        <s v="extag11234"/>
        <s v="extag6887"/>
        <s v="extag11303"/>
        <s v="extag10359"/>
        <s v="extag10100"/>
        <s v="extag8976"/>
        <s v="extag10745"/>
        <s v="extag11464"/>
        <s v="extag10311"/>
        <s v="extag11640"/>
        <s v="extag10548"/>
        <s v="extag11529"/>
        <s v="extag9072"/>
        <s v="extag11616"/>
        <s v="extag11467"/>
        <s v="extag10306"/>
        <s v="extag9767"/>
        <s v="extag9744"/>
        <s v="extag11589"/>
        <s v="extag11593"/>
        <s v="extag11459"/>
        <s v="extag10478"/>
        <s v="extag10907"/>
        <s v="extag11373"/>
        <s v="extag10982"/>
        <s v="extag11642"/>
        <s v="extag10724"/>
        <s v="extag10869"/>
        <s v="R14466"/>
        <s v="srvcwbg67"/>
        <s v="Netjet34914"/>
        <s v="bvt18091"/>
        <s v="bvtcli"/>
        <s v="voroscli2"/>
        <s v="EbtMplsConta5DDD27"/>
        <s v="EbtMplsConta5DDD49"/>
        <s v="EbtMplsConta5DDD77"/>
        <s v="EbtMplsConta5DDD96"/>
        <s v="EbtMplsConta5DDD13"/>
        <s v="EbtMplsConta5DDD14"/>
        <s v="EbtMplsConta5DDD48"/>
        <s v="EbtMplsConta5DDD65"/>
        <s v="EbtMplsConta5DDD66"/>
        <s v="EbtMplsConta5DDD43"/>
        <s v="EbtMplsConta5DDD44"/>
        <s v="EbtMplsConta5DDD82"/>
        <s v="EbtMplsConta5DDD91"/>
        <s v="srvcwbg71"/>
        <s v="EbtMplsConta5DDD34"/>
        <s v="EbtMplsConta5DDD35"/>
        <s v="EbtMplsConta5DDD45"/>
        <s v="EbtMplsConta5DDD46"/>
        <s v="EbtMplsConta5DDD12"/>
        <s v="EbtMplsConta5DDD68"/>
        <s v="EbtMplsConta5DDD69"/>
        <s v="EbtMplsConta5DDD63"/>
        <s v="EbtMplsConta5DDD71"/>
        <s v="EbtMplsConta5DDD85"/>
        <s v="EbtMplsConta5DDD86"/>
        <s v="EbtMplsConta5DDD41"/>
        <s v="EbtMplsConta5DDD17"/>
        <s v="EbtMplsConta5DDD21"/>
        <s v="EbtMplsConta5DDD18"/>
        <s v="EbtMplsConta5DDD19"/>
        <s v="EbtMplsConta5DDD42"/>
        <s v="EbtMplsConta5DDD64"/>
        <s v="EbtMplsConta5DDD22"/>
        <s v="EbtMplsConta5DDD81"/>
        <s v="EbtMplsConta5DDD47"/>
        <s v="EbtMplsConta5DDD38"/>
        <s v="EbtMplsConta5DDD33"/>
        <s v="EbtMplsConta5DDD95"/>
        <s v="EbtMplsConta5DDD94"/>
        <s v="EbtMplsConta5DDD93"/>
        <s v="EbtMplsConta5DDD28"/>
        <s v="netjetg69"/>
        <s v="netjetcli3"/>
        <s v="srvcwbg45"/>
        <s v="srvcwbg43"/>
        <s v="srvcwbg37"/>
        <s v="algarsip"/>
        <s v="netjet"/>
        <s v="extag7299"/>
        <s v="extag9254"/>
        <s v="extag9294"/>
        <s v="extag9128"/>
        <s v="extag9175"/>
        <s v="extag11393"/>
        <s v="extag9231"/>
        <s v="extag11391"/>
        <s v="extag10421"/>
        <s v="extag10727"/>
        <s v="extag11291"/>
        <s v="extag10427"/>
        <s v="extag7371"/>
        <s v="extag11240"/>
        <s v="6011@robos"/>
        <s v="extag9190"/>
        <s v="extag9206"/>
        <s v="extag8864"/>
        <s v="extag6747"/>
        <s v="extag8853"/>
        <s v="extag7090"/>
        <s v="extag8978"/>
        <s v="extag11339"/>
        <s v="extag10214"/>
        <s v="17357@robos"/>
        <s v="17336@robos"/>
        <s v="extag9202"/>
        <s v="extag9249"/>
        <s v="extag8849"/>
        <s v="timsipsub6g61"/>
        <s v="extag10762"/>
        <s v="extag8494"/>
        <s v="extag8850"/>
        <s v="extag9164"/>
        <s v="extag9169"/>
        <s v="extag10318"/>
        <s v="extag8060"/>
        <s v="extag11289"/>
        <s v="extag11692"/>
        <s v="extag9031"/>
        <s v="pontaltdm"/>
        <s v="extag9259"/>
        <s v="extag9264"/>
        <s v="extag9211"/>
        <s v="extag8999"/>
        <s v="6111@robos"/>
        <s v="extag9246"/>
        <s v="extag9248"/>
        <s v="extag9295"/>
        <s v="extag11644"/>
        <s v="extag9213"/>
        <s v="srvcwbg20"/>
        <s v="srvcwbg41"/>
        <s v="srvcwbg7"/>
        <s v="srvcwbg19"/>
        <s v="srvcwbg16"/>
        <s v="srvcwbg30"/>
        <s v="srvcwbg32"/>
        <s v="srvmrcg3"/>
        <s v="srvcwbg28"/>
        <s v="srvcwbg11"/>
        <s v="srvcwbg17"/>
        <s v="Netjet41418"/>
        <s v="srvcwbg21"/>
        <s v="extag9843"/>
        <s v="extag11235"/>
        <s v="extag10959"/>
        <s v="extag10736"/>
        <s v="extag8255"/>
        <s v="extag11317"/>
        <s v="extag11194"/>
        <s v="extag9187"/>
        <s v="extag10147"/>
        <s v="extag10498"/>
        <s v="extag11320"/>
        <s v="extag11154"/>
        <s v="extag11249"/>
        <s v="extag9398"/>
        <s v="extag11366"/>
        <s v="extag8497"/>
        <s v="extag11480"/>
        <s v="extag11648"/>
        <s v="extag11544"/>
        <s v="extag11657"/>
        <s v="extag11658"/>
        <s v="extag11605"/>
        <s v="extag11659"/>
        <s v="extag10429"/>
        <s v="extag9803"/>
        <s v="extag9541"/>
        <s v="extag11526"/>
        <s v="extag11158"/>
        <s v="extag10319"/>
        <s v="extag11259"/>
        <s v="extag11630"/>
        <s v="extag11293"/>
        <s v="extag10817"/>
        <s v="extag10874"/>
        <s v="extag10812"/>
        <s v="extag10850"/>
        <s v="extag11594"/>
        <s v="extag10197"/>
        <s v="extag11299"/>
        <s v="extag10925"/>
        <s v="extag11429"/>
        <s v="extag9446"/>
        <s v="extag9595"/>
        <s v="extag10130"/>
        <s v="extag10546"/>
        <s v="extag10525"/>
        <s v="srvcwbg34"/>
        <s v="extag9875"/>
        <s v="extag11645"/>
        <s v="extag11615"/>
        <s v="extag10079"/>
        <s v="extag11629"/>
        <s v="extag10227"/>
        <s v="extag11479"/>
        <s v="srvctag2"/>
        <s v="extag9153"/>
        <s v="extag7288"/>
        <s v="extag8789"/>
        <s v="extag9100"/>
        <s v="srvcwbg29"/>
        <s v="extag9214"/>
        <s v="extag9204"/>
        <s v="extag9178"/>
        <s v="extag9185"/>
        <s v="extag8974"/>
        <s v="extag9182"/>
        <s v="19926@robos"/>
        <s v="F"/>
        <s v="extag10527"/>
        <s v="extag11012"/>
        <s v="extag10129"/>
        <s v="extag11636"/>
        <s v="extag10878"/>
        <s v="extag11020"/>
        <s v="extag8800"/>
        <s v="9860@robos"/>
        <s v="extag9203"/>
        <s v="extag9040"/>
        <s v="extag9192"/>
        <s v="extag9186"/>
        <s v="extag6020"/>
        <s v="19934@robos"/>
        <s v="extag10543"/>
        <s v="extag11618"/>
        <s v="extag11057"/>
        <s v="extag11431"/>
        <s v="extag9787"/>
        <s v="extag10528"/>
        <s v="extag9991"/>
        <s v="extag11405"/>
        <s v="extag8445"/>
        <s v="6159@robos"/>
        <s v="extag9194"/>
        <s v="extag9042"/>
        <s v="11192@robos"/>
        <s v="extag8337"/>
        <s v="6265@robos"/>
        <s v="11061@robos"/>
        <s v="6016@robos"/>
        <s v="6058@robos"/>
        <s v="extag9216"/>
        <s v="extag9209"/>
        <s v="extag9217"/>
        <s v="6363@robos"/>
        <s v="extag11374"/>
        <s v="srvcwbg35"/>
        <s v="extag9222"/>
        <s v="extag7145"/>
        <s v="extag11081"/>
        <s v="extag10014"/>
        <s v="extag11400"/>
        <s v="11122@robos"/>
        <s v="extag11362"/>
        <s v="11064@robos"/>
        <s v="embratelsub3"/>
        <s v="Pontaltdm2"/>
        <s v="netjetg13"/>
        <s v="netjetg18"/>
        <s v="extag11233"/>
        <s v="srvctag4"/>
        <s v="telvoxclaro1"/>
        <s v="17663@robos"/>
        <s v="20008@robos"/>
        <s v="813@from"/>
        <s v="vivo7001"/>
        <s v="timsipsub9B"/>
        <s v="sub8"/>
        <s v="srvmrcg10"/>
        <s v="extag10226"/>
        <s v="6139@robos"/>
        <s v="6172@robos"/>
        <s v="netjetg14"/>
        <s v="6134@robos"/>
        <s v="extag6000"/>
        <s v="6055@robos"/>
        <s v="9961@robos"/>
        <s v="extag10753"/>
        <s v="srvmcka1"/>
        <s v="9869@robos"/>
        <s v="20007@robos"/>
        <s v="timsipsub3B"/>
        <s v="extag10948"/>
        <s v="9770@robos"/>
        <s v="timsipsub3"/>
        <s v="extag6046"/>
        <s v="timsipsub9"/>
        <s v="6110@robos"/>
        <s v="srvctag1" u="1"/>
        <s v="srvmrcg5" u="1"/>
        <s v="srvctag5" u="1"/>
        <s v="srvmrcg8" u="1"/>
        <s v="srvcwbg40" u="1"/>
        <s v="srvcwbg31" u="1"/>
        <s v="srvcwbg22" u="1"/>
        <s v="extag9719" u="1"/>
        <s v="extag10606" u="1"/>
        <s v="extag10040" u="1"/>
        <s v="extag10675" u="1"/>
        <s v="extag10011" u="1"/>
        <s v="extag8335" u="1"/>
        <s v="extag9392" u="1"/>
        <s v="extag10594" u="1"/>
        <s v="extag10784" u="1"/>
        <s v="extag7668" u="1"/>
        <s v="extag10558" u="1"/>
        <s v="extag10588" u="1"/>
        <s v="extag9268" u="1"/>
        <s v="extag7227" u="1"/>
        <s v="extag10942" u="1"/>
        <s v="extag10686" u="1"/>
        <s v="extag11019" u="1"/>
        <s v="extag10616" u="1"/>
        <s v="extag8923" u="1"/>
        <s v="extag10356" u="1"/>
        <s v="extag10136" u="1"/>
        <s v="extag8913" u="1"/>
        <s v="extag10116" u="1"/>
        <s v="extag9956" u="1"/>
        <s v="extag9097" u="1"/>
        <s v="extag10614" u="1"/>
        <s v="extag10824" u="1"/>
        <s v="extag10886" u="1"/>
        <s v="extag10881" u="1"/>
        <s v="extag10877" u="1"/>
        <s v="extag10331" u="1"/>
        <s v="extag9746" u="1"/>
        <s v="extag9994" u="1"/>
        <s v="extag10775" u="1"/>
        <s v="extag10820" u="1"/>
        <s v="extag10625" u="1"/>
        <s v="extag10286" u="1"/>
        <s v="extag10552" u="1"/>
        <s v="extag9889" u="1"/>
        <s v="extag10761" u="1"/>
        <s v="extag9727" u="1"/>
        <s v="extag10388" u="1"/>
        <s v="extag10885" u="1"/>
        <s v="extag10872" u="1"/>
        <s v="extag10823" u="1"/>
        <s v="extag10789" u="1"/>
        <s v="extag10003" u="1"/>
        <s v="extag8583" u="1"/>
        <s v="extag9621" u="1"/>
        <s v="extag10638" u="1"/>
        <s v="extag10397" u="1"/>
        <s v="extag8229" u="1"/>
        <s v="extag10642" u="1"/>
        <s v="extag10267" u="1"/>
        <s v="extag9769" u="1"/>
        <s v="extag10842" u="1"/>
        <s v="extag10261" u="1"/>
        <s v="extag10751" u="1"/>
        <s v="extag10649" u="1"/>
        <s v="extag10651" u="1"/>
        <s v="extag10631" u="1"/>
        <s v="extag8189" u="1"/>
        <s v="extag10633" u="1"/>
        <s v="extag10629" u="1"/>
        <s v="extag10637" u="1"/>
        <s v="extag10641" u="1"/>
        <s v="extag10738" u="1"/>
        <s v="extag11136" u="1"/>
        <s v="extag11049" u="1"/>
        <s v="extag10623" u="1"/>
        <s v="extag11129" u="1"/>
        <s v="extag11087" u="1"/>
        <s v="extag9172" u="1"/>
        <s v="extag9946" u="1"/>
        <s v="extag11040" u="1"/>
        <s v="extag8187" u="1"/>
        <s v="extag11083" u="1"/>
        <s v="extag11112" u="1"/>
        <s v="extag11016" u="1"/>
        <s v="extag11073" u="1"/>
        <s v="extag11153" u="1"/>
        <s v="extag11157" u="1"/>
        <s v="extag11151" u="1"/>
        <s v="extag11143" u="1"/>
        <s v="extag11145" u="1"/>
        <s v="extag11141" u="1"/>
        <s v="extag11164" u="1"/>
        <s v="extag10928" u="1"/>
        <s v="extag11124" u="1"/>
        <s v="extag9364" u="1"/>
        <s v="extag11056" u="1"/>
        <s v="extag9874" u="1"/>
        <s v="extag11229" u="1"/>
        <s v="extag11218" u="1"/>
        <s v="extag11266" u="1"/>
        <s v="extag11278" u="1"/>
        <s v="extag11215" u="1"/>
        <s v="extag11271" u="1"/>
        <s v="extag11268" u="1"/>
        <s v="extag11201" u="1"/>
        <s v="extag11210" u="1"/>
        <s v="extag11212" u="1"/>
        <s v="extag11213" u="1"/>
        <s v="extag11222" u="1"/>
        <s v="extag11099" u="1"/>
        <s v="extag11084" u="1"/>
        <s v="extag11123" u="1"/>
        <s v="extag11089" u="1"/>
        <s v="extag11077" u="1"/>
        <s v="extag11167" u="1"/>
        <s v="extag11113" u="1"/>
        <s v="extag11088" u="1"/>
        <s v="extag11072" u="1"/>
        <s v="extag11061" u="1"/>
        <s v="extag10622" u="1"/>
        <s v="extag10831" u="1"/>
        <s v="extag11082" u="1"/>
        <s v="extag11144" u="1"/>
        <s v="extag11142" u="1"/>
        <s v="extag11149" u="1"/>
        <s v="extag11160" u="1"/>
        <s v="extag11103" u="1"/>
        <s v="extag11146" u="1"/>
        <s v="extag11148" u="1"/>
        <s v="extag11156" u="1"/>
        <s v="extag11120" u="1"/>
        <s v="extag11162" u="1"/>
        <s v="extag11165" u="1"/>
        <s v="extag11140" u="1"/>
        <s v="extag11054" u="1"/>
        <s v="extag11107" u="1"/>
        <s v="extag10908" u="1"/>
        <s v="extag10729" u="1"/>
        <s v="extag10838" u="1"/>
        <s v="extag11237" u="1"/>
        <s v="extag11236" u="1"/>
        <s v="extag11241" u="1"/>
        <s v="extag11138" u="1"/>
        <s v="extag10968" u="1"/>
        <s v="extag11033" u="1"/>
        <s v="extag11166" u="1"/>
        <s v="extag10734" u="1"/>
        <s v="extag10640" u="1"/>
        <s v="extag6025" u="1"/>
        <s v="extag10718" u="1"/>
        <s v="extag10822" u="1"/>
        <s v="extag10827" u="1"/>
        <s v="extag10720" u="1"/>
        <s v="extag10829" u="1"/>
        <s v="extag10737" u="1"/>
        <s v="extag11048" u="1"/>
        <s v="extag10825" u="1"/>
        <s v="extag10726" u="1"/>
        <s v="extag11066" u="1"/>
        <s v="extag10728" u="1"/>
        <s v="extag10735" u="1"/>
        <s v="extag10952" u="1"/>
        <s v="extag10765" u="1"/>
        <s v="extag9693" u="1"/>
        <s v="extag10746" u="1"/>
        <s v="extag10970" u="1"/>
        <s v="extag8835" u="1"/>
        <s v="extag10326" u="1"/>
        <s v="extag10185" u="1"/>
        <s v="extag7007" u="1"/>
        <s v="extag10448" u="1"/>
        <s v="extag8194" u="1"/>
        <s v="extag9951" u="1"/>
        <s v="extag10694" u="1"/>
        <s v="extag11085" u="1"/>
        <s v="extag11050" u="1"/>
        <s v="extag11110" u="1"/>
        <s v="extag9855" u="1"/>
        <s v="extag9762" u="1"/>
        <s v="extag11209" u="1"/>
        <s v="extag11242" u="1"/>
        <s v="extag11196" u="1"/>
        <s v="extag9974" u="1"/>
        <s v="extag10879" u="1"/>
        <s v="extag10864" u="1"/>
        <s v="extag10419" u="1"/>
        <s v="extag10174" u="1"/>
        <s v="extag10805" u="1"/>
        <s v="extag8530" u="1"/>
        <s v="extag10639" u="1"/>
        <s v="extag9785" u="1"/>
        <s v="extag8897" u="1"/>
        <s v="extag8293" u="1"/>
        <s v="extag10553" u="1"/>
        <s v="extag10000" u="1"/>
        <s v="extag8184" u="1"/>
        <s v="extag8508" u="1"/>
        <s v="extag10776" u="1"/>
        <s v="extag10172" u="1"/>
        <s v="extag10554" u="1"/>
        <s v="extag10666" u="1"/>
        <s v="extag10859" u="1"/>
        <s v="extag10787" u="1"/>
        <s v="extag10371" u="1"/>
        <s v="extag10417" u="1"/>
        <s v="extag8697" u="1"/>
        <s v="extag10537" u="1"/>
        <s v="extag10132" u="1"/>
        <s v="extag10839" u="1"/>
        <s v="extag10544" u="1"/>
        <s v="extag10814" u="1"/>
        <s v="extag10893" u="1"/>
        <s v="extag10757" u="1"/>
        <s v="extag10832" u="1"/>
        <s v="extag11000" u="1"/>
        <s v="extag10996" u="1"/>
        <s v="extag10985" u="1"/>
        <s v="extag9990" u="1"/>
        <s v="extag10627" u="1"/>
        <s v="extag10993" u="1"/>
        <s v="extag10891" u="1"/>
        <s v="extag10570" u="1"/>
        <s v="extag10562" u="1"/>
        <s v="extag10997" u="1"/>
        <s v="extag10988" u="1"/>
        <s v="extag10957" u="1"/>
        <s v="extag11038" u="1"/>
        <s v="extag10987" u="1"/>
        <s v="extag10983" u="1"/>
        <s v="extag11025" u="1"/>
        <s v="extag11037" u="1"/>
        <s v="extag11139" u="1"/>
        <s v="extag10566" u="1"/>
        <s v="extag10712" u="1"/>
        <s v="extag10703" u="1"/>
        <s v="extag10990" u="1"/>
        <s v="extag10871" u="1"/>
        <s v="extag10819" u="1"/>
        <s v="extag10432" u="1"/>
        <s v="extag10852" u="1"/>
        <s v="extag17379" u="1"/>
        <s v="extag17366" u="1"/>
        <s v="extag17371" u="1"/>
        <s v="extag17439" u="1"/>
        <s v="extag17405" u="1"/>
        <s v="extag17426" u="1"/>
        <s v="extag17441" u="1"/>
        <s v="extag17445" u="1"/>
        <s v="extag17368" u="1"/>
        <s v="extag17013" u="1"/>
        <s v="extag17399" u="1"/>
        <s v="extag17443" u="1"/>
        <s v="extag17430" u="1"/>
        <s v="extag17386" u="1"/>
        <s v="extag17362" u="1"/>
        <s v="extag9703" u="1"/>
        <s v="extag10857" u="1"/>
        <s v="extag9188" u="1"/>
        <s v="extag11116" u="1"/>
        <s v="extag11092" u="1"/>
        <s v="extag10656" u="1"/>
        <s v="extag11152" u="1"/>
        <s v="extag11147" u="1"/>
        <s v="extag11118" u="1"/>
        <s v="extag10063" u="1"/>
        <s v="extag11067" u="1"/>
        <s v="extag10386" u="1"/>
        <s v="extag11106" u="1"/>
        <s v="extag11003" u="1"/>
        <s v="extag11080" u="1"/>
        <s v="extag17388" u="1"/>
        <s v="extag17374" u="1"/>
        <s v="extag17459" u="1"/>
        <s v="extag17444" u="1"/>
        <s v="extag17360" u="1"/>
        <s v="extag17440" u="1"/>
        <s v="extag17452" u="1"/>
        <s v="extag17413" u="1"/>
        <s v="extag17395" u="1"/>
        <s v="extag17434" u="1"/>
        <s v="extag17415" u="1"/>
        <s v="extag8847" u="1"/>
        <s v="extag10507" u="1"/>
        <s v="extag11001" u="1"/>
        <s v="extag11059" u="1"/>
        <s v="extag10424" u="1"/>
        <s v="extag11074" u="1"/>
        <s v="extag10975" u="1"/>
        <s v="extag11183" u="1"/>
        <s v="extag6242" u="1"/>
        <s v="extag17385" u="1"/>
        <s v="extag17403" u="1"/>
        <s v="extag17416" u="1"/>
        <s v="extag9628" u="1"/>
        <s v="extag17411" u="1"/>
        <s v="extag17431" u="1"/>
        <s v="extag8980" u="1"/>
        <s v="extag10774" u="1"/>
        <s v="extag17363" u="1"/>
        <s v="extag9039" u="1"/>
        <s v="extag11041" u="1"/>
        <s v="extag11008" u="1"/>
        <s v="extag7334" u="1"/>
        <s v="extag17380" u="1"/>
        <s v="extag17409" u="1"/>
        <s v="extag10107" u="1"/>
        <s v="extag10950" u="1"/>
        <s v="extag10646" u="1"/>
        <s v="extag9573" u="1"/>
        <s v="extag10760" u="1"/>
        <s v="extag11273" u="1"/>
        <s v="extag11260" u="1"/>
        <s v="extag9997" u="1"/>
        <s v="extag9571" u="1"/>
        <s v="extag11200" u="1"/>
        <s v="extag11272" u="1"/>
        <s v="extag11010" u="1"/>
        <s v="extag11017" u="1"/>
        <s v="extag11009" u="1"/>
        <s v="extag10626" u="1"/>
        <s v="extag10405" u="1"/>
        <s v="extag10835" u="1"/>
        <s v="extag10889" u="1"/>
        <s v="extag9948" u="1"/>
        <s v="extag10601" u="1"/>
        <s v="extag10305" u="1"/>
        <s v="srvmrcg9" u="1"/>
        <s v="extag17396" u="1"/>
        <s v="extag10927" u="1"/>
        <s v="extag8133" u="1"/>
        <s v="extag10621" u="1"/>
        <s v="extag9529" u="1"/>
        <s v="extag10890" u="1"/>
        <s v="extag6001" u="1"/>
        <s v="SrvCwbG4" u="1"/>
        <s v="extag16356" u="1"/>
        <s v="extag17387" u="1"/>
        <s v="extag17455" u="1"/>
        <s v="extag10069" u="1"/>
        <s v="extag10768" u="1"/>
        <s v="extag10203" u="1"/>
        <s v="extag10834" u="1"/>
        <s v="extag10756" u="1"/>
        <s v="extag10986" u="1"/>
        <s v="extag10483" u="1"/>
        <s v="extag10894" u="1"/>
        <s v="srvu16a6" u="1"/>
        <s v="6045@robos" u="1"/>
        <s v="6054@robos" u="1"/>
        <s v="15095@robos" u="1"/>
        <s v="6122@robos" u="1"/>
        <s v="6079@robos" u="1"/>
        <s v="srvtima4" u="1"/>
        <s v="extag15825" u="1"/>
        <s v="6572@robos" u="1"/>
        <s v="6508@robos" u="1"/>
        <s v="6425@robos" u="1"/>
        <s v="6775@robos" u="1"/>
        <s v="7201@robos" u="1"/>
        <s v="6783@robos" u="1"/>
        <s v="SrvCwbG23" u="1"/>
        <s v="srvtima9" u="1"/>
        <s v="6458@robos" u="1"/>
        <s v="7682@robos" u="1"/>
        <s v="7706@robos" u="1"/>
        <s v="7747@robos" u="1"/>
        <s v="6513@robos" u="1"/>
        <s v="6554@robos" u="1"/>
        <s v="6021@robos" u="1"/>
        <s v="6022@robos" u="1"/>
        <s v="6064@robos" u="1"/>
        <s v="6576@robos" u="1"/>
        <s v="7367@robos" u="1"/>
        <s v="8845@robos" u="1"/>
        <s v="6057@robos" u="1"/>
        <s v="7373@robos" u="1"/>
        <s v="7680@robos" u="1"/>
        <s v="6636@robos" u="1"/>
        <s v="6388@robos" u="1"/>
        <s v="6035@robos" u="1"/>
        <s v="6613@robos" u="1"/>
        <s v="6580@robos" u="1"/>
        <s v="6618@robos" u="1"/>
        <s v="6778@robos" u="1"/>
        <s v="10223@robos" u="1"/>
        <s v="7672@robos" u="1"/>
        <s v="7740@robos" u="1"/>
        <s v="8842@robos" u="1"/>
        <s v="6163@robos" u="1"/>
        <s v="6025@robos" u="1"/>
        <s v="6041@robos" u="1"/>
        <s v="6637@robos" u="1"/>
        <s v="6505@robos" u="1"/>
        <s v="6070@robos" u="1"/>
        <s v="6623@robos" u="1"/>
        <s v="6567@robos" u="1"/>
        <s v="6557@robos" u="1"/>
        <s v="6622@robos" u="1"/>
        <s v="6462@robos" u="1"/>
        <s v="6460@robos" u="1"/>
        <s v="8834@robos" u="1"/>
        <s v="6019@robos" u="1"/>
        <s v="6684@robos" u="1"/>
        <s v="6546@robos" u="1"/>
        <s v="6077@robos" u="1"/>
        <s v="6630@robos" u="1"/>
        <s v="6581@robos" u="1"/>
        <s v="6619@robos" u="1"/>
        <s v="srvtima7" u="1"/>
        <s v="15703@robos" u="1"/>
        <s v="15783@robos" u="1"/>
        <s v="15798@robos" u="1"/>
        <s v="15799@robos" u="1"/>
        <s v="6612@robos" u="1"/>
        <s v="extag15750" u="1"/>
        <s v="6440@robos" u="1"/>
        <s v="6036@robos" u="1"/>
        <s v="15711@robos" u="1"/>
        <s v="15800@robos" u="1"/>
        <s v="15692@robos" u="1"/>
        <s v="6377@robos" u="1"/>
        <s v="15779@robos" u="1"/>
        <s v="6375@robos" u="1"/>
        <s v="6645@robos" u="1"/>
        <s v="15702@robos" u="1"/>
        <s v="15704@robos" u="1"/>
        <s v="15706@robos" u="1"/>
        <s v="15782@robos" u="1"/>
        <s v="15780@robos" u="1"/>
        <m u="1"/>
        <s v="6114@robos" u="1"/>
        <s v="7745@robos" u="1"/>
        <s v="srvvi1a3" u="1"/>
        <s v="6194@robos" u="1"/>
        <s v="6471@robos" u="1"/>
        <s v="96565886@from" u="1"/>
        <s v="6487@robos" u="1"/>
        <s v="8838@robos" u="1"/>
        <s v="srvclva3" u="1"/>
        <s v="6024@robos" u="1"/>
        <s v="6885@robos" u="1"/>
        <s v="7378@robos" u="1"/>
        <s v="6230@robos" u="1"/>
        <s v="6074@robos" u="1"/>
        <s v="srvve5a1" u="1"/>
        <s v="6155@robos" u="1"/>
        <s v="7675@robos" u="1"/>
        <s v="7736@robos" u="1"/>
        <s v="srvve5a4" u="1"/>
        <s v="6553@robos" u="1"/>
        <s v="6573@robos" u="1"/>
        <s v="6120@robos" u="1"/>
        <s v="6116@robos" u="1"/>
        <s v="6065@robos" u="1"/>
        <s v="6176@robos" u="1"/>
        <s v="7041@robos" u="1"/>
        <s v="srvclva1" u="1"/>
        <s v="26253@from" u="1"/>
        <s v="6776@robos" u="1"/>
        <s v="6101@robos" u="1"/>
        <s v="26251@from" u="1"/>
        <s v="6202@robos" u="1"/>
        <s v="6151@robos" u="1"/>
        <s v="6107@robos" u="1"/>
        <s v="2070@robos" u="1"/>
        <s v="6056@robos" u="1"/>
        <s v="7681@robos" u="1"/>
        <s v="srvve5a2" u="1"/>
        <s v="6248@robos" u="1"/>
        <s v="6197@robos" u="1"/>
        <s v="srvve5a5" u="1"/>
        <s v="7048@robos" u="1"/>
        <s v="6767@robos" u="1"/>
        <s v="7365@robos" u="1"/>
        <s v="7199@robos" u="1"/>
        <s v="6102@robos" u="1"/>
        <s v="6203@robos" u="1"/>
        <s v="6108@robos" u="1"/>
        <s v="7733@robos" u="1"/>
        <s v="6067@robos" u="1"/>
        <s v="8341@robos" u="1"/>
        <s v="6138@robos" u="1"/>
        <s v="7678@robos" u="1"/>
        <s v="8377@robos" u="1"/>
        <s v="8850@robos" u="1"/>
        <s v="7380@robos" u="1"/>
        <s v="srvclva2" u="1"/>
        <s v="6113@robos" u="1"/>
        <s v="6062@robos" u="1"/>
        <s v="6109@robos" u="1"/>
        <s v="7683@robos" u="1"/>
        <s v="6193@robos" u="1"/>
        <s v="6149@robos" u="1"/>
        <s v="6169@robos" u="1"/>
        <s v="6189@robos" u="1"/>
        <s v="srvu16a1" u="1"/>
        <s v="srvve5a6" u="1"/>
        <s v="srvmrcg4" u="1"/>
        <s v="bigtelecomitx2" u="1"/>
        <s v="6466@robos" u="1"/>
        <s v="srvmrcg7" u="1"/>
      </sharedItems>
    </cacheField>
    <cacheField name="disparos_outro" numFmtId="0">
      <sharedItems containsSemiMixedTypes="0" containsString="0" containsNumber="1" containsInteger="1" minValue="1" maxValue="348948"/>
    </cacheField>
    <cacheField name="OK_total" numFmtId="0">
      <sharedItems containsSemiMixedTypes="0" containsString="0" containsNumber="1" containsInteger="1" minValue="0" maxValue="123304"/>
    </cacheField>
    <cacheField name="bloqueio_ddd" numFmtId="0">
      <sharedItems containsString="0" containsBlank="1" count="1">
        <m/>
      </sharedItems>
    </cacheField>
    <cacheField name="Host" numFmtId="0">
      <sharedItems count="1">
        <s v=""/>
      </sharedItems>
    </cacheField>
    <cacheField name="Qtd_logados" numFmtId="0">
      <sharedItems containsString="0" containsBlank="1" containsNumber="1" containsInteger="1" minValue="1" maxValue="510"/>
    </cacheField>
    <cacheField name="Qtd_PA" numFmtId="0">
      <sharedItems containsString="0" containsBlank="1" containsNumber="1" containsInteger="1" minValue="0" maxValue="510"/>
    </cacheField>
    <cacheField name="-TENTATIVAS TOTAIS" numFmtId="0">
      <sharedItems containsSemiMixedTypes="0" containsString="0" containsNumber="1" containsInteger="1" minValue="0" maxValue="142221"/>
    </cacheField>
    <cacheField name="-DISPAROS" numFmtId="0">
      <sharedItems containsSemiMixedTypes="0" containsString="0" containsNumber="1" containsInteger="1" minValue="0" maxValue="142221"/>
    </cacheField>
    <cacheField name="-ATENDIDO TOTAL" numFmtId="0">
      <sharedItems containsSemiMixedTypes="0" containsString="0" containsNumber="1" containsInteger="1" minValue="0" maxValue="61821"/>
    </cacheField>
    <cacheField name="-ABANDONO" numFmtId="0">
      <sharedItems containsSemiMixedTypes="0" containsString="0" containsNumber="1" containsInteger="1" minValue="0" maxValue="4278"/>
    </cacheField>
    <cacheField name="-MENSAGEM" numFmtId="0">
      <sharedItems containsSemiMixedTypes="0" containsString="0" containsNumber="1" containsInteger="1" minValue="0" maxValue="60514"/>
    </cacheField>
    <cacheField name="-ALÔ" numFmtId="0">
      <sharedItems containsSemiMixedTypes="0" containsString="0" containsNumber="1" containsInteger="1" minValue="0" maxValue="6639"/>
    </cacheField>
    <cacheField name="-MSG_N_ATENDIDA" numFmtId="0">
      <sharedItems containsSemiMixedTypes="0" containsString="0" containsNumber="1" containsInteger="1" minValue="0" maxValue="110185"/>
    </cacheField>
    <cacheField name="-NÃO ATENDEU REAL" numFmtId="0">
      <sharedItems containsSemiMixedTypes="0" containsString="0" containsNumber="1" containsInteger="1" minValue="0" maxValue="43554"/>
    </cacheField>
    <cacheField name="-REJEITADO" numFmtId="0">
      <sharedItems containsSemiMixedTypes="0" containsString="0" containsNumber="1" containsInteger="1" minValue="0" maxValue="59432"/>
    </cacheField>
    <cacheField name="-TEMP. INDISPONÍVEL" numFmtId="0">
      <sharedItems containsSemiMixedTypes="0" containsString="0" containsNumber="1" containsInteger="1" minValue="0" maxValue="43624"/>
    </cacheField>
    <cacheField name="B_OCUPADO" numFmtId="0">
      <sharedItems containsSemiMixedTypes="0" containsString="0" containsNumber="1" containsInteger="1" minValue="0" maxValue="0" count="1">
        <n v="0"/>
      </sharedItems>
    </cacheField>
    <cacheField name="OCUPADO_REAL" numFmtId="0">
      <sharedItems containsSemiMixedTypes="0" containsString="0" containsNumber="1" containsInteger="1" minValue="0" maxValue="6422"/>
    </cacheField>
    <cacheField name="OCUPADO_GATEWAY" numFmtId="0">
      <sharedItems containsSemiMixedTypes="0" containsString="0" containsNumber="1" containsInteger="1" minValue="0" maxValue="0" count="1">
        <n v="0"/>
      </sharedItems>
    </cacheField>
    <cacheField name="Falha_Tecnica_Ou_Temporizacao_Na_Troca_De_Sinalizacao" numFmtId="0">
      <sharedItems containsSemiMixedTypes="0" containsString="0" containsNumber="1" containsInteger="1" minValue="0" maxValue="0" count="1">
        <n v="0"/>
      </sharedItems>
    </cacheField>
    <cacheField name="Falha_Tecnica_Central_Referencia" numFmtId="0">
      <sharedItems containsSemiMixedTypes="0" containsString="0" containsNumber="1" containsInteger="1" minValue="0" maxValue="33736"/>
    </cacheField>
    <cacheField name="Falha_Tecnica_Rede_Frente_Central_Referencia" numFmtId="0">
      <sharedItems containsSemiMixedTypes="0" containsString="0" containsNumber="1" containsInteger="1" minValue="0" maxValue="4897"/>
    </cacheField>
    <cacheField name="Outros" numFmtId="0">
      <sharedItems containsSemiMixedTypes="0" containsString="0" containsNumber="1" containsInteger="1" minValue="0" maxValue="411"/>
    </cacheField>
    <cacheField name="Numero_Mudado" numFmtId="0">
      <sharedItems containsSemiMixedTypes="0" containsString="0" containsNumber="1" containsInteger="1" minValue="0" maxValue="210"/>
    </cacheField>
    <cacheField name="Destino_Fora_Servico" numFmtId="0">
      <sharedItems containsSemiMixedTypes="0" containsString="0" containsNumber="1" containsInteger="1" minValue="0" maxValue="8321"/>
    </cacheField>
    <cacheField name="Desconexao_em_A" numFmtId="0">
      <sharedItems containsSemiMixedTypes="0" containsString="0" containsNumber="1" containsInteger="1" minValue="0" maxValue="19194"/>
    </cacheField>
    <cacheField name="Congestionamento_Fora_Central_Frente" numFmtId="0">
      <sharedItems containsSemiMixedTypes="0" containsString="0" containsNumber="1" containsInteger="1" minValue="0" maxValue="52978"/>
    </cacheField>
    <cacheField name="Congestionamento_Fora_da_Central" numFmtId="0">
      <sharedItems containsSemiMixedTypes="0" containsString="0" containsNumber="1" containsInteger="1" minValue="0" maxValue="724"/>
    </cacheField>
    <cacheField name="Sem_canal_config_rota" numFmtId="0">
      <sharedItems containsSemiMixedTypes="0" containsString="0" containsNumber="1" containsInteger="1" minValue="0" maxValue="1305"/>
    </cacheField>
    <cacheField name="Bloqueio_DDD2" numFmtId="0">
      <sharedItems containsSemiMixedTypes="0" containsString="0" containsNumber="1" containsInteger="1" minValue="0" maxValue="5729"/>
    </cacheField>
    <cacheField name="Bloqueio_blacklist" numFmtId="0">
      <sharedItems containsSemiMixedTypes="0" containsString="0" containsNumber="1" containsInteger="1" minValue="0" maxValue="12986"/>
    </cacheField>
    <cacheField name="-INEXISTENTE" numFmtId="0">
      <sharedItems containsSemiMixedTypes="0" containsString="0" containsNumber="1" containsInteger="1" minValue="0" maxValue="38844"/>
    </cacheField>
    <cacheField name="-FALHAS CALLFLEX" numFmtId="0">
      <sharedItems containsSemiMixedTypes="0" containsString="0" containsNumber="1" containsInteger="1" minValue="0" maxValue="24453"/>
    </cacheField>
    <cacheField name="-CONVERSADO" numFmtId="0">
      <sharedItems containsSemiMixedTypes="0" containsString="0" containsNumber="1" containsInteger="1" minValue="0" maxValue="166814"/>
    </cacheField>
    <cacheField name="-BILHETADO" numFmtId="0">
      <sharedItems containsSemiMixedTypes="0" containsString="0" containsNumber="1" containsInteger="1" minValue="0" maxValue="1815480"/>
    </cacheField>
    <cacheField name="ANATEL_MENOR_IGUAL_3" numFmtId="0">
      <sharedItems containsSemiMixedTypes="0" containsString="0" containsNumber="1" containsInteger="1" minValue="0" maxValue="348948"/>
    </cacheField>
    <cacheField name="ANATEL_MAIOR_3" numFmtId="0">
      <sharedItems containsSemiMixedTypes="0" containsString="0" containsNumber="1" containsInteger="1" minValue="0" maxValue="60113"/>
    </cacheField>
    <cacheField name="BillSec_Menor_Igual_3" numFmtId="0">
      <sharedItems containsSemiMixedTypes="0" containsString="0" containsNumber="1" containsInteger="1" minValue="0" maxValue="348948"/>
    </cacheField>
    <cacheField name="BillSec_Maior_3" numFmtId="0">
      <sharedItems containsSemiMixedTypes="0" containsString="0" containsNumber="1" containsInteger="1" minValue="0" maxValue="60505"/>
    </cacheField>
    <cacheField name="-OCUPADO TOTAL" numFmtId="0" formula="B_OCUPADO+OCUPADO_REAL+OCUPADO_GATEWAY" databaseField="0"/>
    <cacheField name="-FALHAS GERAIS" numFmtId="0" formula="Falha_Tecnica_Ou_Temporizacao_Na_Troca_De_Sinalizacao+Falha_Tecnica_Central_Referencia+Falha_Tecnica_Rede_Frente_Central_Referencia+Outros+Numero_Mudado+Destino_Fora_Servico+Desconexao_em_A" databaseField="0"/>
    <cacheField name="-FALTA DE CANAL" numFmtId="0" formula="Congestionamento_Fora_Central_Frente+Congestionamento_Fora_da_Central+Sem_canal_config_rota" databaseField="0"/>
    <cacheField name="-%TEMP. INDISPONÍVEL" numFmtId="0" formula="IFERROR('-TEMP. INDISPONÍVEL'/'-TENTATIVAS TOTAIS',0)" databaseField="0"/>
    <cacheField name="-%REJEITADO" numFmtId="0" formula="IFERROR('-REJEITADO'/'-DISPAROS',0)" databaseField="0"/>
    <cacheField name="-%OCUPADO TOTAL" numFmtId="0" formula="IFERROR('-OCUPADO TOTAL'/'-DISPAROS',0)" databaseField="0"/>
    <cacheField name="-%FALHAS GERAIS" numFmtId="0" formula="IFERROR('-FALHAS GERAIS'/'-DISPAROS',0)" databaseField="0"/>
    <cacheField name="-%INEXISTENTE" numFmtId="0" formula="IFERROR('-INEXISTENTE'/'-DISPAROS',0)" databaseField="0"/>
    <cacheField name="-%FALHAS CALLFLEX" numFmtId="0" formula="IFERROR('-FALHAS CALLFLEX'/'-DISPAROS',0)" databaseField="0"/>
    <cacheField name="-%ATENDIDO TOTAL" numFmtId="0" formula="IFERROR('-ATENDIDO TOTAL'/'-DISPAROS',0)" databaseField="0"/>
    <cacheField name="-%ABANDONO" numFmtId="0" formula="IFERROR('-ABANDONO'/'-ATENDIDO TOTAL',0)" databaseField="0"/>
    <cacheField name="-%ALÔ" numFmtId="0" formula="IFERROR('-ALÔ'/'-ATENDIDO TOTAL',0)" databaseField="0"/>
    <cacheField name="-%MENSAGEM" numFmtId="0" formula="IFERROR('-MENSAGEM'/'-ATENDIDO TOTAL',0)" databaseField="0"/>
    <cacheField name="-%FALTA DE CANAL" numFmtId="0" formula="IFERROR('-FALTA DE CANAL'/'-DISPAROS',0)" databaseField="0"/>
    <cacheField name="-CONVERSADO_F" numFmtId="0" formula="IFERROR('-CONVERSADO'/86400,0)" databaseField="0"/>
    <cacheField name="-BILHETADO_F" numFmtId="0" formula="IFERROR('-BILHETADO'/86400,0)" databaseField="0"/>
    <cacheField name="-BLOQUEIO DDD" numFmtId="0" formula="Bloqueio_DDD2" databaseField="0"/>
    <cacheField name="-BLACKLIST" numFmtId="0" formula="Bloqueio_blacklist" databaseField="0"/>
    <cacheField name="-%BLOQUEIO DDD" numFmtId="0" formula="IFERROR('-BLOQUEIO DDD'/'-DISPAROS',0)" databaseField="0"/>
    <cacheField name="-%BLACKLIST" numFmtId="0" formula="IFERROR('-BLACKLIST'/'-DISPAROS',0)" databaseField="0"/>
    <cacheField name="-NÃO ATENDEU (MSG)" numFmtId="0" formula="'-MSG_N_ATENDIDA'" databaseField="0"/>
    <cacheField name="-%NÃO ATENDEU (MSG)" numFmtId="0" formula="IFERROR('-NÃO ATENDEU (MSG)'/'-NÃO ATENDEU',0)" databaseField="0"/>
    <cacheField name="-NÃO ATENDEU (REAL)" numFmtId="0" formula="'-NÃO ATENDEU REAL'" databaseField="0"/>
    <cacheField name="-%NÃO ATENDEU (REAL)" numFmtId="0" formula=" IFERROR('-NÃO ATENDEU REAL'/'-NÃO ATENDEU',0)" databaseField="0"/>
    <cacheField name="-NÃO ATENDEU" numFmtId="0" formula="'-NÃO ATENDEU REAL'+'-NÃO ATENDEU (MSG)'" databaseField="0"/>
    <cacheField name="-%NÃO ATENDEU" numFmtId="0" formula=" IFERROR('-NÃO ATENDEU'/'-DISPAROS',0)" databaseField="0"/>
  </cacheFields>
  <extLst>
    <ext xmlns:x14="http://schemas.microsoft.com/office/spreadsheetml/2009/9/main" uri="{725AE2AE-9491-48be-B2B4-4EB974FC3084}">
      <x14:pivotCacheDefinition pivotCacheId="93373465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lan Guilherme N Rodrigues" refreshedDate="45949.579602777776" createdVersion="7" refreshedVersion="8" minRefreshableVersion="3" recordCount="4170" xr:uid="{2E814C6B-0A02-440A-AEC7-4921D87EAE84}">
  <cacheSource type="worksheet">
    <worksheetSource name="Tabela_TELECOM"/>
  </cacheSource>
  <cacheFields count="7">
    <cacheField name="Data" numFmtId="14">
      <sharedItems containsSemiMixedTypes="0" containsNonDate="0" containsDate="1" containsString="0" minDate="2021-05-07T00:00:00" maxDate="2025-05-15T00:00:00" count="89">
        <d v="2025-05-11T00:00:00"/>
        <d v="2025-05-12T00:00:00"/>
        <d v="2025-05-13T00:00:00"/>
        <d v="2025-05-14T00:00:00"/>
        <d v="2025-05-03T00:00:00" u="1"/>
        <d v="2025-05-05T00:00:00" u="1"/>
        <d v="2025-05-06T00:00:00" u="1"/>
        <d v="2025-04-24T00:00:00" u="1"/>
        <d v="2025-04-25T00:00:00" u="1"/>
        <d v="2025-04-26T00:00:00" u="1"/>
        <d v="2025-04-27T00:00:00" u="1"/>
        <d v="2025-01-13T00:00:00" u="1"/>
        <d v="2025-01-14T00:00:00" u="1"/>
        <d v="2025-01-15T00:00:00" u="1"/>
        <d v="2025-01-16T00:00:00" u="1"/>
        <d v="2024-03-11T00:00:00" u="1"/>
        <d v="2024-03-12T00:00:00" u="1"/>
        <d v="2024-03-13T00:00:00" u="1"/>
        <d v="2024-03-14T00:00:00" u="1"/>
        <d v="2024-02-26T00:00:00" u="1"/>
        <d v="2024-02-27T00:00:00" u="1"/>
        <d v="2024-02-28T00:00:00" u="1"/>
        <d v="2024-02-29T00:00:00" u="1"/>
        <d v="2023-02-03T00:00:00" u="1"/>
        <d v="2023-02-04T00:00:00" u="1"/>
        <d v="2023-02-05T00:00:00" u="1"/>
        <d v="2023-02-06T00:00:00" u="1"/>
        <d v="2022-10-18T00:00:00" u="1"/>
        <d v="2022-10-19T00:00:00" u="1"/>
        <d v="2022-10-20T00:00:00" u="1"/>
        <d v="2022-10-21T00:00:00" u="1"/>
        <d v="2022-05-01T00:00:00" u="1"/>
        <d v="2022-04-12T00:00:00" u="1"/>
        <d v="2022-06-29T00:00:00" u="1"/>
        <d v="2022-07-10T00:00:00" u="1"/>
        <d v="2022-03-23T00:00:00" u="1"/>
        <d v="2021-06-21T00:00:00" u="1"/>
        <d v="2022-07-02T00:00:00" u="1"/>
        <d v="2022-05-24T00:00:00" u="1"/>
        <d v="2021-06-05T00:00:00" u="1"/>
        <d v="2021-06-01T00:00:00" u="1"/>
        <d v="2021-05-16T00:00:00" u="1"/>
        <d v="2021-05-12T00:00:00" u="1"/>
        <d v="2021-12-01T00:00:00" u="1"/>
        <d v="2021-05-08T00:00:00" u="1"/>
        <d v="2022-04-11T00:00:00" u="1"/>
        <d v="2022-06-28T00:00:00" u="1"/>
        <d v="2022-07-09T00:00:00" u="1"/>
        <d v="2022-03-22T00:00:00" u="1"/>
        <d v="2021-06-20T00:00:00" u="1"/>
        <d v="2022-07-01T00:00:00" u="1"/>
        <d v="2021-05-31T00:00:00" u="1"/>
        <d v="2021-06-08T00:00:00" u="1"/>
        <d v="2022-05-23T00:00:00" u="1"/>
        <d v="2021-06-04T00:00:00" u="1"/>
        <d v="2021-05-15T00:00:00" u="1"/>
        <d v="2022-04-30T00:00:00" u="1"/>
        <d v="2021-05-11T00:00:00" u="1"/>
        <d v="2021-05-07T00:00:00" u="1"/>
        <d v="2022-05-03T00:00:00" u="1"/>
        <d v="2022-04-14T00:00:00" u="1"/>
        <d v="2022-07-08T00:00:00" u="1"/>
        <d v="2022-03-21T00:00:00" u="1"/>
        <d v="2021-06-23T00:00:00" u="1"/>
        <d v="2022-07-04T00:00:00" u="1"/>
        <d v="2021-05-30T00:00:00" u="1"/>
        <d v="2021-06-07T00:00:00" u="1"/>
        <d v="2021-11-30T00:00:00" u="1"/>
        <d v="2022-05-22T00:00:00" u="1"/>
        <d v="2021-06-03T00:00:00" u="1"/>
        <d v="2021-05-18T00:00:00" u="1"/>
        <d v="2021-12-03T00:00:00" u="1"/>
        <d v="2021-05-10T00:00:00" u="1"/>
        <d v="2022-05-02T00:00:00" u="1"/>
        <d v="2022-04-13T00:00:00" u="1"/>
        <d v="2022-10-17T00:00:00" u="1"/>
        <d v="2022-06-30T00:00:00" u="1"/>
        <d v="2022-07-11T00:00:00" u="1"/>
        <d v="2022-03-20T00:00:00" u="1"/>
        <d v="2021-06-22T00:00:00" u="1"/>
        <d v="2022-07-03T00:00:00" u="1"/>
        <d v="2021-05-29T00:00:00" u="1"/>
        <d v="2021-06-06T00:00:00" u="1"/>
        <d v="2021-11-29T00:00:00" u="1"/>
        <d v="2022-05-21T00:00:00" u="1"/>
        <d v="2021-06-02T00:00:00" u="1"/>
        <d v="2021-05-17T00:00:00" u="1"/>
        <d v="2021-12-02T00:00:00" u="1"/>
        <d v="2021-05-09T00:00:00" u="1"/>
      </sharedItems>
    </cacheField>
    <cacheField name="HORA" numFmtId="0">
      <sharedItems containsSemiMixedTypes="0" containsString="0" containsNumber="1" containsInteger="1" minValue="0" maxValue="23" count="22">
        <n v="10"/>
        <n v="11"/>
        <n v="16"/>
        <n v="15"/>
        <n v="17"/>
        <n v="12"/>
        <n v="8"/>
        <n v="9"/>
        <n v="13"/>
        <n v="14"/>
        <n v="18"/>
        <n v="19"/>
        <n v="20"/>
        <n v="21"/>
        <n v="22"/>
        <n v="23"/>
        <n v="0" u="1"/>
        <n v="7" u="1"/>
        <n v="6" u="1"/>
        <n v="5" u="1"/>
        <n v="1" u="1"/>
        <n v="2" u="1"/>
      </sharedItems>
    </cacheField>
    <cacheField name="OPERADORA" numFmtId="0">
      <sharedItems count="188">
        <s v=""/>
        <s v="BVT 18091"/>
        <s v="TelsimGW16"/>
        <s v="BVT 18092"/>
        <s v="Claro Digital E1 G37"/>
        <s v="Embratel MPLS3M"/>
        <s v="Embratel Sub 10"/>
        <s v="Embratel SUB 52 M"/>
        <s v="Embratel Sub 8"/>
        <s v="Netjet CLI4B"/>
        <s v="SercomLigga1"/>
        <s v="Telsim2CTAG3"/>
        <s v="Tim Sub 3 Especiais"/>
        <s v="Voros ITX B"/>
        <s v="Claro Vendas G42"/>
        <s v="Embratel MPLS2"/>
        <s v="Netjet4747B"/>
        <s v="TelvoxxJL"/>
        <s v="Tim Sub 4 B"/>
        <s v="Claro Digital"/>
        <s v="Embratel MPLS1"/>
        <s v="Netjet 51556"/>
        <s v="Pontal32944"/>
        <s v="R1 4466"/>
        <s v="vonex355688"/>
        <s v="Embratel MPLS5M"/>
        <s v="Netjet CLI"/>
        <s v="Netjet34914"/>
        <s v="Netjet CLI3"/>
        <s v="Tim Sip Sub 9"/>
        <s v="Embratel Sub 6"/>
        <s v="Tim Sub 4"/>
        <s v="voros2831"/>
        <s v="Embratel Sub 9"/>
        <s v="Netjet51554"/>
        <s v="Tim Sub 3"/>
        <s v="Vonex355687"/>
        <s v="Algar Sip"/>
        <s v="Claro Humano"/>
        <s v="Embratel MPLS4M"/>
        <s v="Pontalinter"/>
        <s v="Claro Vendas G40M"/>
        <s v="Embratel Sub 7"/>
        <s v="Tim Sub 6"/>
        <s v="Tim Sub 7"/>
        <s v="Netjet 51557"/>
        <s v="Netjet 51558"/>
        <s v="Tim Sub 5"/>
        <s v="Claro Digital E1 G36"/>
        <s v="Claro Vendas G41"/>
        <s v="Embratel Smile Venda"/>
        <s v="Tim Sub 3 Especiais2"/>
        <s v="Embratel SUB 53 M"/>
        <s v="Tim Sip Sub 10"/>
        <s v="Tim Sub 8 B"/>
        <s v="Claro Digital E1 G38"/>
        <s v="Embratel Sub 5"/>
        <s v="MPLS CIRCUITO 6M"/>
        <s v="MPLS CIRCUITO 7M"/>
        <s v="Embratel Sub 4"/>
        <s v="NetjetInter2"/>
        <s v="BVT 18091v2"/>
        <s v="Netjet 51557 B"/>
        <s v="Netjet61618"/>
        <s v="Tim Sip Sub 9 B"/>
        <s v="Netjet 51556 B"/>
        <s v="Tim Sub 3 B"/>
        <s v="SercomLigga2" u="1"/>
        <s v="Netjet51555" u="1"/>
        <s v="R1 4466 B" u="1"/>
        <s v="Vonex JLV3" u="1"/>
        <s v="BVT CLI" u="1"/>
        <s v="VONEX CSF JLV2" u="1"/>
        <s v="NetJet" u="1"/>
        <s v="Netjet 0303M" u="1"/>
        <s v="vorosinter" u="1"/>
        <s v="VONEX CSF JL" u="1"/>
        <s v="VOROS CLI2" u="1"/>
        <s v="Embratel Sub 3" u="1"/>
        <s v="Vivo 7001" u="1"/>
        <s v="Embratel MPLS4" u="1"/>
        <s v="Telsim" u="1"/>
        <s v="Vivo Sip CtaG1" u="1"/>
        <s v="Embratel SUB 52" u="1"/>
        <s v="Pontal33438" u="1"/>
        <s v="Embratel MPLS5" u="1"/>
        <s v="Netjet4747" u="1"/>
        <s v="Pontalplay33230" u="1"/>
        <s v="Claro Vendas G40" u="1"/>
        <s v="MPLS CIRCUITO 6" u="1"/>
        <s v="Embratel SIP" u="1"/>
        <s v="Embratel SUB 53" u="1"/>
        <s v="Voros ITX" u="1"/>
        <s v="Embratel MPLS3" u="1"/>
        <s v="MPLS CIRCUITO 7" u="1"/>
        <s v="ApolloSmiles" u="1"/>
        <s v="Vonex CSF MRC" u="1"/>
        <s v="Pontal33439" u="1"/>
        <s v="Netjet CLI4" u="1"/>
        <s v="VONEX CSF ML" u="1"/>
        <s v="Algar Sip CtaG2" u="1"/>
        <s v="Big Telecom ITX3" u="1"/>
        <s v="Big Telecom ITX4" u="1"/>
        <s v="Vonex Vendas" u="1"/>
        <s v="Apollo" u="1"/>
        <s v="Alestra" u="1"/>
        <s v="MPLS6 TESTE" u="1"/>
        <s v="NETJETCli2" u="1"/>
        <s v="R1 TDM" u="1"/>
        <s v="Telsim TTS" u="1"/>
        <s v="Telsim5" u="1"/>
        <s v="VIVO E1-0800" u="1"/>
        <s v="Voros CLI GW23" u="1"/>
        <s v="Voros Movel" u="1"/>
        <s v="MPLS4 TESTE" u="1"/>
        <s v="Oi Khomp G1 2" u="1"/>
        <s v="OI GW4" u="1"/>
        <s v="Vonex CSF" u="1"/>
        <s v="MPLS1 TESTE" u="1"/>
        <s v="MPLS5 TESTE" u="1"/>
        <s v="Netjet43292" u="1"/>
        <s v="MPLS7 TESTE" u="1"/>
        <s v="MPLS2 TESTE" u="1"/>
        <s v="MPLS3 TESTE" u="1"/>
        <s v="voroscontingencia" u="1"/>
        <s v="Baldussi Fixo" u="1"/>
        <s v="Embratel_SIP" u="1"/>
        <s v="AlgarVendas" u="1"/>
        <s v="Netjet Smiles" u="1"/>
        <s v="Vivo sip reaval 3810" u="1"/>
        <s v="Ebtmplsconta2ddd" u="1"/>
        <s v="TELEFONICA G3-CWB" u="1"/>
        <s v="MAVEN CLI" u="1"/>
        <s v="SIP200 ITX" u="1"/>
        <s v="Telsim Smile" u="1"/>
        <s v="Telsim3" u="1"/>
        <s v="Telsim4" u="1"/>
        <s v="Telsim6" u="1"/>
        <s v="Vivo Sip" u="1"/>
        <s v="Big Telecom ITX" u="1"/>
        <s v="Claro Digital E1 G39" u="1"/>
        <s v="Telsim7" u="1"/>
        <s v="Netjet TDM 2" u="1"/>
        <s v="Baldussi" u="1"/>
        <s v="Vivosipreaspog2" u="1"/>
        <s v="TELEFONICA REAVAL G4" u="1"/>
        <s v="Netjet TDM3" u="1"/>
        <s v="Netjet TDM4" u="1"/>
        <s v="Baldussi Fixo3" u="1"/>
        <s v="Vivo_Reaval_6310" u="1"/>
        <s v="MAVEN TDM" u="1"/>
        <s v="Tim Sub 8" u="1"/>
        <s v="Vivo Sip Reaval" u="1"/>
        <s v="Pontal TTS" u="1"/>
        <s v="EmbratelContiCSF" u="1"/>
        <s v="Voros Coxa" u="1"/>
        <s v="Big Telecom ITX2" u="1"/>
        <s v="TELEFONICA REAVALG10" u="1"/>
        <s v="PontalTDM GW4" u="1"/>
        <s v="Apollo Cli" u="1"/>
        <s v="Big Telecom TTS" u="1"/>
        <s v="TELEFONICA REAVAL G3" u="1"/>
        <s v="Baldussi Fixo2" u="1"/>
        <s v="Big Te96837508" u="1"/>
        <s v="Claro Digital Test" u="1"/>
        <s v="BRASILFONE cli" u="1"/>
        <s v="Vivo sip reaval 9420" u="1"/>
        <s v="Pontal TDM G23" u="1"/>
        <s v="GVT_VIVOMovel_GW5" u="1"/>
        <s v="PontalG22" u="1"/>
        <s v="Vivorajada" u="1"/>
        <s v="Oi Khomp G1" u="1"/>
        <s v="Big Telecom ITX CTA4" u="1"/>
        <s v="OI GW6" u="1"/>
        <s v="BRASILFONE TDM" u="1"/>
        <s v="Voroscli3" u="1"/>
        <s v="Voros CLI" u="1"/>
        <s v="TELEFONICA REAVAL G6" u="1"/>
        <s v="VivoSIP4950" u="1"/>
        <s v="Vivo SR" u="1"/>
        <s v="OI GW6 CWB" u="1"/>
        <s v="TELEFONICA-OUT" u="1"/>
        <s v="AttusITX2" u="1"/>
        <s v="Pontal TDM MRC G6" u="1"/>
        <s v="Primacom CLI" u="1"/>
        <s v="MAVEN TDM GW15" u="1"/>
        <s v="Pontal Telecom" u="1"/>
        <s v="Attus ITX" u="1"/>
      </sharedItems>
    </cacheField>
    <cacheField name="-ATENDIDO TOTAL" numFmtId="0">
      <sharedItems containsSemiMixedTypes="0" containsString="0" containsNumber="1" containsInteger="1" minValue="0" maxValue="116155"/>
    </cacheField>
    <cacheField name="-ALÔ" numFmtId="0">
      <sharedItems containsSemiMixedTypes="0" containsString="0" containsNumber="1" containsInteger="1" minValue="0" maxValue="10738"/>
    </cacheField>
    <cacheField name="CARTEIRA" numFmtId="0">
      <sharedItems containsBlank="1" count="73">
        <s v="TRIBANCO"/>
        <s v="TESTE"/>
        <s v="GCB"/>
        <s v="OI"/>
        <s v="CLARO"/>
        <s v="BRB"/>
        <s v="LIGGA"/>
        <s v="SANTANDER"/>
        <s v="ATACADÃO TELE"/>
        <s v="ITAU"/>
        <s v="TIM"/>
        <s v="SASCAR"/>
        <s v="EUDORA"/>
        <s v="VERO"/>
        <s v="TESTE TELECOM"/>
        <s v="NATURA"/>
        <s v="CARREFOUR TELE"/>
        <s v="MERCADO PAGO"/>
        <s v="ZERO"/>
        <s v="BOTICARIO"/>
        <m/>
        <s v="BOTICARIO COLOMBIA"/>
        <s v="CLARO EMPRESAS"/>
        <s v="BANCO INTER"/>
        <s v="ESTACIO"/>
        <s v="OUZE COBRANÇA"/>
        <s v="VIASAT"/>
        <s v="SMILES"/>
        <s v="OUZE VENDAS"/>
        <s v="BMG"/>
        <s v="RENNER"/>
        <s v="SAMSCLUB" u="1"/>
        <s v="COPA" u="1"/>
        <s v="CALCARD VENDAS" u="1"/>
        <s v="CALCARD COBRANÇA" u="1"/>
        <s v="MADEIRA MADEIRA" u="1"/>
        <s v="METRALHADORA" u="1"/>
        <s v="FILAS TESTE" u="1"/>
        <s v="CARREFOUR" u="1"/>
        <s v="TESTES" u="1"/>
        <s v="MAGALU" u="1"/>
        <s v="SKY" u="1"/>
        <s v="VIA VAREJO" u="1"/>
        <s v="CALCARD" u="1"/>
        <s v="GRUPO AVENIDA" u="1"/>
        <s v="QUINTO ANDAR" u="1"/>
        <s v="VIAVAREJO" u="1"/>
        <s v="VIAVAR" u="1"/>
        <s v="NUBANK" u="1"/>
        <s v="PAYGO" u="1"/>
        <s v="AVON" u="1"/>
        <s v="CIELO" u="1"/>
        <s v="CARREFOUR ESCOB" u="1"/>
        <s v="NET" u="1"/>
        <s v="SERCOMTEL" u="1"/>
        <s v="ALGAR" u="1"/>
        <s v="CLARO VENDAS" u="1"/>
        <s v="BANCO PAN" u="1"/>
        <s v="OI PJ" u="1"/>
        <s v="CARREFOUR SAC" u="1"/>
        <s v="VIVO VENDAS" u="1"/>
        <s v="VIVO" u="1"/>
        <s v="ATACADÃO" u="1"/>
        <s v="-" u="1"/>
        <s v="DONUS" u="1"/>
        <s v="RECOVERY" u="1"/>
        <s v="COPEL" u="1"/>
        <s v="BRASILSEG" u="1"/>
        <s v="CREDSYSTEM" u="1"/>
        <s v="ATACADÃO ESCOB" u="1"/>
        <s v="BTG" u="1"/>
        <s v="PORTO SEGURO" u="1"/>
        <s v="WO" u="1"/>
      </sharedItems>
    </cacheField>
    <cacheField name="%ALÔ" numFmtId="0" formula="IFERROR('-ALÔ'/'-ATENDIDO TOTAL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an Guilherme N Rodrigues" refreshedDate="45949.57960740741" backgroundQuery="1" createdVersion="8" refreshedVersion="8" minRefreshableVersion="3" recordCount="7971" xr:uid="{2DB70CE7-965D-409E-8489-EFA373C0C0A2}">
  <cacheSource type="external" connectionId="1"/>
  <cacheFields count="20">
    <cacheField name="Ano" numFmtId="0">
      <sharedItems containsSemiMixedTypes="0" containsString="0" containsNumber="1" containsInteger="1" minValue="2025" maxValue="2025" count="1">
        <n v="2025"/>
      </sharedItems>
    </cacheField>
    <cacheField name="Mes" numFmtId="0">
      <sharedItems containsSemiMixedTypes="0" containsString="0" containsNumber="1" containsInteger="1" minValue="10" maxValue="10" count="1">
        <n v="10"/>
      </sharedItems>
    </cacheField>
    <cacheField name="Dia" numFmtId="0">
      <sharedItems containsSemiMixedTypes="0" containsString="0" containsNumber="1" containsInteger="1" minValue="13" maxValue="18" count="2">
        <n v="18"/>
        <n v="13" u="1"/>
      </sharedItems>
    </cacheField>
    <cacheField name="HORA" numFmtId="0">
      <sharedItems containsSemiMixedTypes="0" containsString="0" containsNumber="1" containsInteger="1" minValue="5" maxValue="21" count="17"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 u="1"/>
      </sharedItems>
    </cacheField>
    <cacheField name="DATA" numFmtId="0">
      <sharedItems containsSemiMixedTypes="0" containsNonDate="0" containsDate="1" containsString="0" minDate="2025-10-13T00:00:00" maxDate="2025-10-19T00:00:00" count="2">
        <d v="2025-10-18T00:00:00"/>
        <d v="2025-10-13T00:00:00" u="1"/>
      </sharedItems>
    </cacheField>
    <cacheField name="SERVIDOR" numFmtId="0">
      <sharedItems count="40">
        <s v="ura"/>
        <s v="01a"/>
        <s v="03a"/>
        <s v="21a"/>
        <s v="cw2"/>
        <s v="cwb"/>
        <s v="dia"/>
        <s v="ita"/>
        <s v="mc2"/>
        <s v="mck"/>
        <s v="mv3"/>
        <s v="pan"/>
        <s v="rec"/>
        <s v="sk1"/>
        <s v="sky"/>
        <s v="ti2"/>
        <s v="tim"/>
        <s v="u17"/>
        <s v="u18"/>
        <s v="u19"/>
        <s v="u22"/>
        <s v="ur10"/>
        <s v="ur12"/>
        <s v="ur13"/>
        <s v="ur14"/>
        <s v="ur2"/>
        <s v="ur8"/>
        <s v="ve4"/>
        <s v="ve5"/>
        <s v="02a"/>
        <s v="ur11"/>
        <s v="ur4"/>
        <s v="vte"/>
        <s v="clv"/>
        <s v="ur3"/>
        <s v="sk2" u="1"/>
        <s v="u20" u="1"/>
        <s v="005" u="1"/>
        <s v="vi1" u="1"/>
        <s v="u21" u="1"/>
      </sharedItems>
    </cacheField>
    <cacheField name="FILA" numFmtId="0">
      <sharedItems containsSemiMixedTypes="0" containsString="0" containsNumber="1" containsInteger="1" minValue="0" maxValue="9807" count="389">
        <n v="4610"/>
        <n v="5012"/>
        <n v="9133"/>
        <n v="4625"/>
        <n v="5011"/>
        <n v="9096"/>
        <n v="9184"/>
        <n v="5191"/>
        <n v="9168"/>
        <n v="4216"/>
        <n v="4036"/>
        <n v="6404"/>
        <n v="8702"/>
        <n v="6670"/>
        <n v="8032"/>
        <n v="8045"/>
        <n v="8068"/>
        <n v="1141"/>
        <n v="8213"/>
        <n v="8230"/>
        <n v="1424"/>
        <n v="4005"/>
        <n v="4202"/>
        <n v="8064"/>
        <n v="4504"/>
        <n v="4510"/>
        <n v="8017"/>
        <n v="8021"/>
        <n v="5901"/>
        <n v="5903"/>
        <n v="5906"/>
        <n v="8057"/>
        <n v="8092"/>
        <n v="8093"/>
        <n v="1216"/>
        <n v="8009"/>
        <n v="8300"/>
        <n v="8518"/>
        <n v="3094"/>
        <n v="6403"/>
        <n v="7075"/>
        <n v="7076"/>
        <n v="3010"/>
        <n v="3082"/>
        <n v="3052"/>
        <n v="3053"/>
        <n v="3054"/>
        <n v="1161"/>
        <n v="1183"/>
        <n v="1185"/>
        <n v="1191"/>
        <n v="8001"/>
        <n v="8002"/>
        <n v="8027"/>
        <n v="8055"/>
        <n v="8071"/>
        <n v="8129"/>
        <n v="8016"/>
        <n v="7058"/>
        <n v="6707"/>
        <n v="7221"/>
        <n v="1015"/>
        <n v="1169"/>
        <n v="1178"/>
        <n v="3024"/>
        <n v="5080"/>
        <n v="3088"/>
        <n v="1036"/>
        <n v="1135"/>
        <n v="1151"/>
        <n v="1165"/>
        <n v="1193"/>
        <n v="1032"/>
        <n v="3306"/>
        <n v="8026"/>
        <n v="8029"/>
        <n v="8047"/>
        <n v="8082"/>
        <n v="1072"/>
        <n v="1073"/>
        <n v="1079"/>
        <n v="1091"/>
        <n v="2752"/>
        <n v="2753"/>
        <n v="6024"/>
        <n v="6501"/>
        <n v="4016"/>
        <n v="4203"/>
        <n v="9044"/>
        <n v="9003"/>
        <n v="6020"/>
        <n v="6411"/>
        <n v="8742"/>
        <n v="9807"/>
        <n v="2204"/>
        <n v="6652"/>
        <n v="8033"/>
        <n v="8052"/>
        <n v="1155"/>
        <n v="6080"/>
        <n v="8555"/>
        <n v="8063"/>
        <n v="8077"/>
        <n v="9034"/>
        <n v="9043"/>
        <n v="9065"/>
        <n v="8028"/>
        <n v="5904"/>
        <n v="5905"/>
        <n v="5907"/>
        <n v="8095"/>
        <n v="7180"/>
        <n v="8707"/>
        <n v="3050"/>
        <n v="3246"/>
        <n v="1167"/>
        <n v="1175"/>
        <n v="1190"/>
        <n v="8056"/>
        <n v="8005"/>
        <n v="8013"/>
        <n v="8130"/>
        <n v="3087"/>
        <n v="9206"/>
        <n v="1301"/>
        <n v="1327"/>
        <n v="1330"/>
        <n v="3022"/>
        <n v="6005"/>
        <n v="3085"/>
        <n v="3086"/>
        <n v="6709"/>
        <n v="4000"/>
        <n v="1086"/>
        <n v="1142"/>
        <n v="1152"/>
        <n v="5000"/>
        <n v="9178"/>
        <n v="9183"/>
        <n v="8059"/>
        <n v="8080"/>
        <n v="8081"/>
        <n v="8086"/>
        <n v="1070"/>
        <n v="1075"/>
        <n v="1083"/>
        <n v="6021"/>
        <n v="6022"/>
        <n v="6504"/>
        <n v="9040"/>
        <n v="9052"/>
        <n v="1123"/>
        <n v="3005"/>
        <n v="4006"/>
        <n v="4204"/>
        <n v="8061"/>
        <n v="9075"/>
        <n v="8022"/>
        <n v="8030"/>
        <n v="5902"/>
        <n v="1034"/>
        <n v="1212"/>
        <n v="3305"/>
        <n v="8216"/>
        <n v="7209"/>
        <n v="3245"/>
        <n v="3055"/>
        <n v="3923"/>
        <n v="3926"/>
        <n v="4001"/>
        <n v="5802"/>
        <n v="6734"/>
        <n v="1325"/>
        <n v="1172"/>
        <n v="6004"/>
        <n v="3309"/>
        <n v="1130"/>
        <n v="4624"/>
        <n v="9033"/>
        <n v="8083"/>
        <n v="1071"/>
        <n v="1081"/>
        <n v="1084"/>
        <n v="6507"/>
        <n v="6509"/>
        <n v="7005"/>
        <n v="9046"/>
        <n v="7480"/>
        <n v="8198"/>
        <n v="9068"/>
        <n v="8085"/>
        <n v="1219"/>
        <n v="1323"/>
        <n v="7082"/>
        <n v="7199"/>
        <n v="8018"/>
        <n v="8035"/>
        <n v="9205"/>
        <n v="1031"/>
        <n v="1235"/>
        <n v="8065"/>
        <n v="9028"/>
        <n v="7089"/>
        <n v="5703"/>
        <n v="8010"/>
        <n v="8521"/>
        <n v="3096"/>
        <n v="3063"/>
        <n v="3095"/>
        <n v="1159"/>
        <n v="1828"/>
        <n v="8038"/>
        <n v="7316"/>
        <n v="1035"/>
        <n v="1166"/>
        <n v="1807"/>
        <n v="5008"/>
        <n v="9002"/>
        <n v="8051"/>
        <n v="1214"/>
        <n v="3311"/>
        <n v="1806"/>
        <n v="1838"/>
        <n v="5007"/>
        <n v="4018"/>
        <n v="3091"/>
        <n v="8036"/>
        <n v="3079"/>
        <n v="1826"/>
        <n v="4031"/>
        <n v="3099"/>
        <n v="1182"/>
        <n v="8007"/>
        <n v="7482"/>
        <n v="8516"/>
        <n v="8090"/>
        <n v="5100"/>
        <n v="8003"/>
        <n v="4635"/>
        <n v="8351"/>
        <n v="6701"/>
        <n v="6724"/>
        <n v="1230"/>
        <n v="1181"/>
        <n v="8070"/>
        <n v="8350"/>
        <n v="1184"/>
        <n v="7151"/>
        <n v="8121"/>
        <n v="3004"/>
        <n v="7402"/>
        <n v="8726"/>
        <n v="3089"/>
        <n v="1176"/>
        <n v="7182"/>
        <n v="5391"/>
        <n v="9038"/>
        <n v="1120"/>
        <n v="8006"/>
        <n v="1033"/>
        <n v="8301"/>
        <n v="4011"/>
        <n v="6705"/>
        <n v="8729"/>
        <n v="1303"/>
        <n v="1149"/>
        <n v="8120"/>
        <n v="8127"/>
        <n v="1005"/>
        <n v="1425"/>
        <n v="1805"/>
        <n v="5900"/>
        <n v="8049"/>
        <n v="2092"/>
        <n v="7207"/>
        <n v="6706"/>
        <n v="3210"/>
        <n v="6409"/>
        <n v="8704"/>
        <n v="4098"/>
        <n v="5805"/>
        <n v="6408"/>
        <n v="1324"/>
        <n v="9026"/>
        <n v="9179"/>
        <n v="1019"/>
        <n v="6026"/>
        <n v="8008"/>
        <n v="5800"/>
        <n v="9049"/>
        <n v="1030"/>
        <n v="9051"/>
        <n v="1318"/>
        <n v="3023"/>
        <n v="1314"/>
        <n v="9019"/>
        <n v="1263"/>
        <n v="8074"/>
        <n v="8078"/>
        <n v="1811"/>
        <n v="3920"/>
        <n v="8073"/>
        <n v="1194"/>
        <n v="9050"/>
        <n v="8072"/>
        <n v="0"/>
        <n v="1446" u="1"/>
        <n v="1808" u="1"/>
        <n v="5908" u="1"/>
        <n v="3020" u="1"/>
        <n v="1520" u="1"/>
        <n v="7189" u="1"/>
        <n v="1315" u="1"/>
        <n v="1080" u="1"/>
        <n v="1082" u="1"/>
        <n v="6023" u="1"/>
        <n v="5216" u="1"/>
        <n v="8042" u="1"/>
        <n v="8084" u="1"/>
        <n v="2061" u="1"/>
        <n v="3921" u="1"/>
        <n v="1329" u="1"/>
        <n v="1076" u="1"/>
        <n v="1013" u="1"/>
        <n v="1016" u="1"/>
        <n v="2050" u="1"/>
        <n v="2052" u="1"/>
        <n v="2058" u="1"/>
        <n v="2069" u="1"/>
        <n v="2070" u="1"/>
        <n v="2077" u="1"/>
        <n v="2079" u="1"/>
        <n v="3308" u="1"/>
        <n v="5210" u="1"/>
        <n v="5212" u="1"/>
        <n v="5217" u="1"/>
        <n v="7015" u="1"/>
        <n v="7016" u="1"/>
        <n v="7029" u="1"/>
        <n v="7040" u="1"/>
        <n v="2057" u="1"/>
        <n v="2200" u="1"/>
        <n v="7489" u="1"/>
        <n v="3252" u="1"/>
        <n v="1180" u="1"/>
        <n v="1524" u="1"/>
        <n v="9614" u="1"/>
        <n v="8011" u="1"/>
        <n v="1300" u="1"/>
        <n v="1302" u="1"/>
        <n v="1009" u="1"/>
        <n v="5211" u="1"/>
        <n v="5218" u="1"/>
        <n v="7106" u="1"/>
        <n v="8557" u="1"/>
        <n v="1074" u="1"/>
        <n v="7000" u="1"/>
        <n v="9020" u="1"/>
        <n v="9053" u="1"/>
        <n v="8197" u="1"/>
        <n v="8290" u="1"/>
        <n v="2066" u="1"/>
        <n v="1189" u="1"/>
        <n v="7184" u="1"/>
        <n v="1121" u="1"/>
        <n v="2096" u="1"/>
        <n v="3302" u="1"/>
        <n v="7006" u="1"/>
        <n v="7008" u="1"/>
        <n v="2055" u="1"/>
        <n v="2062" u="1"/>
        <n v="3307" u="1"/>
        <n v="9057" u="1"/>
        <n v="3092" u="1"/>
        <n v="4004" u="1"/>
        <n v="7220" u="1"/>
        <n v="7039" u="1"/>
        <n v="8075" u="1"/>
        <n v="3019" u="1"/>
        <n v="7070" u="1"/>
        <n v="2053" u="1"/>
        <n v="1187" u="1"/>
        <n v="8133" u="1"/>
        <n v="1022" u="1"/>
        <n v="5213" u="1"/>
        <n v="8076" u="1"/>
        <n v="4017" u="1"/>
        <n v="1809" u="1"/>
        <n v="1522" u="1"/>
      </sharedItems>
    </cacheField>
    <cacheField name="TECNOLOGIA" numFmtId="0">
      <sharedItems count="2">
        <s v="ROBO"/>
        <s v="HUMANO"/>
      </sharedItems>
    </cacheField>
    <cacheField name="CLIENTE" numFmtId="0">
      <sharedItems count="32">
        <s v="GCB"/>
        <s v="ATACADÃO TELE"/>
        <s v="CLARO"/>
        <s v="BRB"/>
        <s v="NATURA"/>
        <s v="CARREFOUR TELE"/>
        <s v="ITAU"/>
        <s v="ESTACIO"/>
        <s v="TIM"/>
        <s v="OI"/>
        <s v="NIO"/>
        <s v="OUZE COBRANÇA"/>
        <s v="VERO"/>
        <s v="LIGGA"/>
        <s v="BOTICARIO"/>
        <s v="MERCADO PAGO"/>
        <s v="TRIBANCO"/>
        <s v="VIASAT"/>
        <s v="BANCO INTER"/>
        <s v="BOTICARIO COLOMBIA"/>
        <s v="SANTANDER"/>
        <s v="BMG"/>
        <s v="CLARO EMPRESAS"/>
        <s v="SASCAR"/>
        <s v="NET"/>
        <s v="EUDORA"/>
        <s v="ERRO CALLFLEX"/>
        <s v="SAMSCLUB" u="1"/>
        <s v="BRADESCO" u="1"/>
        <s v="SMILES" u="1"/>
        <s v="COPA" u="1"/>
        <s v="OUZE VENDAS" u="1"/>
      </sharedItems>
    </cacheField>
    <cacheField name="mailing" numFmtId="0">
      <sharedItems count="359">
        <s v="GCB_BANQI_06_A_360"/>
        <s v="GCB_BANQI_OVER_360"/>
        <s v="GCB_GA_F1_REPLAN"/>
        <s v="GCB_GA_F1_PMT"/>
        <s v="GCB_GA_ALTO_VALOR"/>
        <s v="GCB_GA_PREVENTIVO"/>
        <s v="ATACADAO_BKT1_ROBO_CNX"/>
        <s v="CLAROMOVEL03A_FPD_41A50_3"/>
        <s v="CLAROMOVELU03A_08A24_3"/>
        <s v="CLAROMOVEL03A_FPD_25A40_6"/>
        <s v="BRB_H01"/>
        <s v=""/>
        <s v="PAGPAY_NATURA_H01"/>
        <s v="NATURA_H02"/>
        <s v="NEW_GEVENUE_ESCOB_PF_HU"/>
        <s v="Escob_movel_pf_ad"/>
        <s v="New_gevenue_escob_ad_2"/>
        <s v="CARREFOUR_BKT1_BESTFIL"/>
        <s v="CARREFOUR_BKT1_ROBO"/>
        <s v="CARREFOUR_BKT1_ROBO_CNX"/>
        <s v="ITAU_NCOR_WO_N1_H"/>
        <s v="ESTACIO_INATIVO_D01"/>
        <s v="TIM_D_D3"/>
        <s v="TIM_ACAO_5_30_D"/>
        <s v="Combo_15a30"/>
        <s v="COMBO_1530_1FAT"/>
        <s v="CLARO_COMBO_61a90"/>
        <s v="TIM_31_60_PILOTO"/>
        <s v="TIM_D_D1"/>
        <s v="Net_8a44"/>
        <s v="Pre_PDD_Preventivo_PF"/>
        <s v="CLARO_U13_61_90"/>
        <s v="Net_8a24_ad"/>
        <s v="CLAROMOVELSKY_QUEBRA_08A24_2"/>
        <s v="CLAROMOVELDIGITALPREV_SKY_1"/>
        <s v="CLAROMOVELSKY_FPD_08A24_3"/>
        <s v="CLAROMOVELSKY_25A40_4"/>
        <s v="TIM_H30"/>
        <s v="TIM_H45"/>
        <s v="TIM_H04"/>
        <s v="TIM_H01"/>
        <s v="TIM_ACAO_61_90_H"/>
        <s v="OI_NIO_121_A_150_D"/>
        <s v="OI_NIO_241_A_270_D"/>
        <s v="NIO_NOVA_FIBRA_H"/>
        <s v="NIO_FIBRA_LEGADO_B2B_H"/>
        <s v="TIM_D42"/>
        <s v="TIM_D_U18_OUTROS_CT"/>
        <s v="TIM_D_VE4_PRG_1"/>
        <s v="TIM_D_U18_CBS1"/>
        <s v="TIM_D12"/>
        <s v="OUZE_D01_SAB"/>
        <s v="CLAROMOVELU10_CHURN"/>
        <s v="CLAROMOVELU10_25A40_1"/>
        <s v="NEW_LD21_ESCOB"/>
        <s v="MPLAY_CLARO_15_60_H"/>
        <s v="NETEMBRATEL10CW2"/>
        <s v="CLAROTV_02"/>
        <s v="MPLAY_CLARO_61_90"/>
        <s v="CLAROMOVELU13_08A24_4"/>
        <s v="NET_BKLG_4"/>
        <s v="NET_BKLG_1"/>
        <s v="NET_BKLG_5"/>
        <s v="CLARO_UR2_BL_H"/>
        <s v="CLARO_UR2_PREV_INCIAIS_H"/>
        <s v="CLARO_UR2_SAIDAS_CHURN_H"/>
        <s v="CLARO_UR2_61_90_1_H"/>
        <s v="Net_churn_prev"/>
        <s v="NET_BKLG_7"/>
        <s v="TIM_D09"/>
        <s v="TIM_PJ_PILOTO_D"/>
        <s v="TIM_WTTX_D1"/>
        <s v="TIM_D_D4"/>
        <s v="VERO_B2B_MENOR_250"/>
        <s v="VERO_NG_B2B_AMERICA"/>
        <s v="VERO_20_A_44_MG_SUL_SAB_H"/>
        <s v="VERO_20_A_44_SPCO_SAB_H"/>
        <s v="VERO_HUMANO_AcaO_CHURN"/>
        <s v="LIGGA_AD_01"/>
        <s v="LIGGA_CAMPANHA_FASE_1"/>
        <s v="LIGGA_CAMPANHA_FASE_2"/>
        <s v="LIGGA_H_PNP"/>
        <s v="VERO_MG_SUL_06_30_D"/>
        <s v="ATACADAO_BKT1_ROBO"/>
        <s v="ATACADAO_BKT1_BESTFIL"/>
        <s v="OBOTI_AGV_D"/>
        <s v="CLAROMOVELU03A_08A24_7"/>
        <s v="CLAROMOVEL03A_25A40_1"/>
        <s v="CLAROMOVEL03A_QUEBRA_41A50"/>
        <s v="NETDIGITAL03A_14116_SCORE"/>
        <s v="NATURA_COSMETICOS_D"/>
        <s v="NATURA_H03"/>
        <s v="PAG_EMANA_OVER151"/>
        <s v="Escob_movel_pf_hu"/>
        <s v="New_gevenue_escob_pme_ad"/>
        <s v="NEW_GEVENUE_ESCOB_AD"/>
        <s v="ITAU_NCOR_ATV_N1_H"/>
        <s v="ITAU_NCOR_LOCGERAL_D"/>
        <s v="ESTACIO_ATIVO_D02"/>
        <s v="Estacio_preventivo"/>
        <s v="ESTACIO_ATIVO_D01"/>
        <s v="TIM_D_D5"/>
        <s v="Combo_churn_con"/>
        <s v="Combo_antichurn"/>
        <s v="CLAROMOVELSKY_PREVENTIVO_1"/>
        <s v="TIM_PILOTO_H01"/>
        <s v="TIM_H51"/>
        <s v="OI_NIO_121_A_180_D"/>
        <s v="OI_NIO_181_A_210_D"/>
        <s v="OI_UNIFICADO_QUEB"/>
        <s v="NIO_FIBRA_LEGADO_B2B_H01"/>
        <s v="TIM_D13"/>
        <s v="TIM_D17"/>
        <s v="TIM_D_U19_CBS2"/>
        <s v="CLAROMOVELU10_08A24_2"/>
        <s v="NETDIGITALU10_08A24_3"/>
        <s v="MP_CONSUMER_WO"/>
        <s v="MP_WO_CONSUMER_AD2"/>
        <s v="Preventivo_TV"/>
        <s v="MPLAY_NET_31_90"/>
        <s v="CLAROMOVELU13_08A24_1"/>
        <s v="CLAROMOVELU13_08A24_3"/>
        <s v="CLAROMOVELU13_25A40_4"/>
        <s v="Claro_propenso_H"/>
        <s v="CLARO_UR2_51_60_H"/>
        <s v="CLARO_UR2_CTL_H"/>
        <s v="GCB_GA_F2_COLCHAO_QUEBRADO"/>
        <s v="GCB_06A30_AGENCIA_93"/>
        <s v="TIM_D21"/>
        <s v="TIM_D_SOTAQUE_PR"/>
        <s v="VERO_76_A_120_SP_CO_SAB_H"/>
        <s v="VERO_NG_H02_B2B"/>
        <s v="VERO_76_A_120_MG_SUL_SAB_H"/>
        <s v="VERO_45_A_75_MG_SUL_SAB_H"/>
        <s v="LIGGA_H_CHURN"/>
        <s v="VERO_SP_CO_06_30_D"/>
        <s v="TRIBANCO_D01"/>
        <s v="OBOTI_COMISSIONADA_D"/>
        <s v="ESCOB_Preventivo_PF"/>
        <s v="CARREFOUR_BKT2_H"/>
        <s v="ITAU_PF_ATV_N1_H"/>
        <s v="ESTACIO_QUEBRAS"/>
        <s v="INATIVO_ALTO_VALOR"/>
        <s v="TIM_D_D2"/>
        <s v="TIM_D07"/>
        <s v="COLCHAO_ACORDO"/>
        <s v="PRE_PDD_PF"/>
        <s v="Net_Quebra_GVN_1"/>
        <s v="Net_prev_ad"/>
        <s v="NETPMEDIGITAL_SKY"/>
        <s v="TIM_H05"/>
        <s v="VIASAT_FORMULARIO_H"/>
        <s v="VIASAT_MUTANTE_H"/>
        <s v="INTER_PRE_CRELI_H"/>
        <s v="INTER_CREDIARIO_D"/>
        <s v="PREVENTIVOMP"/>
        <s v="CLAROTV_01"/>
        <s v="CLARO_MPLAY_PREV"/>
        <s v="Net_bklg_box"/>
        <s v="CLARO_UR2_CONTA_H"/>
        <s v="GCB_03_A_05_GRUPO_A"/>
        <s v="VERO_45_76_SP_CO_H"/>
        <s v="VERO_B2B_CANCELADOS"/>
        <s v="VERO_NG_H03_FPD"/>
        <s v="VERO_61_A_150_DIGITAL"/>
        <s v="TRIBANCO_PILOTO_CAMPANHA_H_D"/>
        <s v="TRIBANCO_OUTRAS_Eps_D"/>
        <s v="TRIBANCO_CONT_PDD2_H"/>
        <s v="CLAROMOVEL03A_41A50_2"/>
        <s v="ITAU_PF_BVNEG_D"/>
        <s v="ESTACIO_CAMPANHAS_H"/>
        <s v="ESTACIO_ALTO_VALOR"/>
        <s v="TIM_D05"/>
        <s v="TIM_PILOTO_SOTAQUE"/>
        <s v="NET_25_44_PF"/>
        <s v="Net_prev_h"/>
        <s v="CLAROMOVELSKY_08A24_4"/>
        <s v="NETDIGITALSKY_08A24_1"/>
        <s v="OUZE_F2_F3_H"/>
        <s v="Net_churn_con_1"/>
        <s v="NET_BKLG_2"/>
        <s v="VERO_20_A_44_MG_SUL_H"/>
        <s v="OBOTICÁRIO_SRCLV_004"/>
        <s v="ESCOB_CLAROTV"/>
        <s v="ESTACIO_INATIVO_D02"/>
        <s v="NET_25_44_AD"/>
        <s v="CLAROMOVELSKY_PREVENTIVO"/>
        <s v="TIM_H09"/>
        <s v="OI_91_A_270_D"/>
        <s v="TIM_D41"/>
        <s v="CLAROMOVELU10_08A24_5"/>
        <s v="Net_bklg"/>
        <s v="CLARO_UR2_PREV_H"/>
        <s v="SAN_PREJ_CF_H"/>
        <s v="GCB_GA_F2_REPLAN"/>
        <s v="TIM_D35_PALIATIVO"/>
        <s v="PRE_PDD_PF_2"/>
        <s v="NET_BKLG_6"/>
        <s v="SANTANDER_AD"/>
        <s v="SAN_90_CF_H"/>
        <s v="ATACADO_BKT2_A"/>
        <s v="CLAROMOVELSKY_08A24_2"/>
        <s v="CLAROMOVELU13_08A24_ALO_D"/>
        <s v="Claro_reconquista_H"/>
        <s v="SANTANDER__QUEBRAS_AD"/>
        <s v="TIM_H24"/>
        <s v="OI_NIO_211_A_240_D"/>
        <s v="MPLAY_MOVEL_CONS_H"/>
        <s v="CLAROTV_03"/>
        <s v="Claromovel03A_quebra_25a40_1"/>
        <s v="NEW_GEVENUE_PDD_AD"/>
        <s v="CLAROMOVELSKY_25A40_2"/>
        <s v="GCB_GA_F2_PMT"/>
        <s v="CLARO_U13_51_60"/>
        <s v="CLAROTVDIGITALU10_01"/>
        <s v="NETDIGITAL_PREVENTIVO"/>
        <s v="NET_BKLG_3"/>
        <s v="OI_NIO_OVER_271_D"/>
        <s v="BMG_D04"/>
        <s v="CLAROMOVELSKY_08A24_3"/>
        <s v="CLAROMOVEL03A_25A40_DDD_D"/>
        <s v="OI_5001_A_6000"/>
        <s v="CLAROMOVELU13_25A40_2"/>
        <s v="GCB_BANQI_TOP_SCORE"/>
        <s v="NATURA_08_A_30"/>
        <s v="Net_Quebra_GVN"/>
        <s v="INTER_ALTO_VALOR_H"/>
        <s v="netprevu10_01"/>
        <s v="CLAROMOVELU10_08A24_7"/>
        <s v="MP_ACAOWO_OVER_720_H"/>
        <s v="SAMS_CLUB_GERAL"/>
        <s v="TIM_61_90_CDT1_D"/>
        <s v="CLARO_PME_D02"/>
        <s v="NETDIGITALSKY_08A24_4"/>
        <s v="EMBRATELU10_LD21_01"/>
        <s v="VERO_20_A_44_SP_CO_H"/>
        <s v="SASCAR_d01"/>
        <s v="CLAROMOVELU03A_08A24_2"/>
        <s v="CLAROMOVEL03A_25A40_4"/>
        <s v="NATURA_H07"/>
        <s v="INTER_CREDIARIO_H"/>
        <s v="INTER_CHEQUE_ESPECIAL_AVI"/>
        <s v="CLAROMOVELU10_08A24_3"/>
        <s v="MP_CONSUMER_WO_02_H"/>
        <s v="GCB_CARNE_DIGITAL"/>
        <s v="NET_Backlog_quebra_h"/>
        <s v="LIGGA_H_COM_DESCONTO"/>
        <s v="CLAROTV_FIXO"/>
        <s v="INTER_PRE_CRELI_D"/>
        <s v="NETDIGITALU10_GERAL_DDD_D"/>
        <s v="ATACADAO_BKT1_HIGHVALUE"/>
        <s v="NATURA_PAY"/>
        <s v="MP_CARTAO_WO"/>
        <s v="MP_30_90_CARTAO_CONSUMER"/>
        <s v="EUD_COMISSIONADA_D"/>
        <s v="ITAU_PF_BVNEG_B_D"/>
        <s v="VIASAT_GOOGLE_H"/>
        <s v="CLAROMOVEL03A_41A50_DDD_D"/>
        <s v="ITAU_PF_WO_N1_H"/>
        <s v="VIASAT_NO_PAY_H"/>
        <s v="CLAROMOVELU10_8A24_DDD_D"/>
        <s v="MP_WO_CARTAO_AD1"/>
        <s v="VIASAT_WHATS_H"/>
        <s v="ITAU_UNIFICADO_H"/>
        <s v="CARREFOUR_BKT3_A" u="1"/>
        <s v="SAMS_CLUB_ALLBKTS_LOC" u="1"/>
        <s v="CLARO_EMP_OVER_5ANOS" u="1"/>
        <s v="OI_4001_A_5000" u="1"/>
        <s v="BRADESCO_LP_H" u="1"/>
        <s v="INTER_CONTA_H" u="1"/>
        <s v="NETDIGITALU10_08A24_ALO" u="1"/>
        <s v="MP_WO_AD_NEGOCIADOR" u="1"/>
        <s v="LIGGA_31_a_60_geral" u="1"/>
        <s v="SMILES_N3_SP_H" u="1"/>
        <s v="Natura_preventivo" u="1"/>
        <s v="ITAU_NCOR_LOCGERAL_B_D" u="1"/>
        <s v="CLARO_EMP_2_A_3ANOS" u="1"/>
        <s v="BRADESCO_LP_UF18H" u="1"/>
        <s v="BRADESCO_ROBO_CPC_D" u="1"/>
        <s v="VIASAT_REFIDELIZACAO_H" u="1"/>
        <s v="MP_WO_CONSUMER_BAIXOS_VALORES" u="1"/>
        <s v="VERO_76_A_120_SP_CO_H" u="1"/>
        <s v="VERO_76_A_120_MG_SUL_H" u="1"/>
        <s v="NET_D10_PME" u="1"/>
        <s v="PRE_PDD_PME" u="1"/>
        <s v="New_gevenue_movel_pme_hu" u="1"/>
        <s v="CLAROPME_06A30" u="1"/>
        <s v="CLAROPME_31A60" u="1"/>
        <s v="CLAROPME_61A90" u="1"/>
        <s v="CLAROPME_CHURN" u="1"/>
        <s v="CLAROPME_PPC" u="1"/>
        <s v="CLAROPME_REATIVACAO" u="1"/>
        <s v="CLAROPME_OVER90" u="1"/>
        <s v="NETPME_OVER120" u="1"/>
        <s v="SMILES_REGULARIZACAO_H" u="1"/>
        <s v="SMILES_UP1_SP_H" u="1"/>
        <s v="SMILES_N1_SP_PROP_H" u="1"/>
        <s v="SMILES_N1_CWB_H" u="1"/>
        <s v="SMILES_N2_CWB_H" u="1"/>
        <s v="SMILES_UP1_CWB_H" u="1"/>
        <s v="SMILES_N1_CWB_PROP_H" u="1"/>
        <s v="ATACADAO_BKT1_SEM_ALO" u="1"/>
        <s v="CLAROMOVEL03A_41A50_1" u="1"/>
        <s v="CLAROMOVEL03A_25A40_DDD" u="1"/>
        <s v="CLARO_EMP_MULTI" u="1"/>
        <s v="TIM_RECUSA_H" u="1"/>
        <s v="FIBRA_LEGADO_30_A_90_D" u="1"/>
        <s v="BRADESCO_AV_H" u="1"/>
        <s v="BRADESCO_LP_UF17H" u="1"/>
        <s v="COPA_COB_H" u="1"/>
        <s v="OUZE_1_A_90_H" u="1"/>
        <s v="MP_WO_ALTOS_VALORES" u="1"/>
        <s v="VERO_45_A_75_MG_SUL_H" u="1"/>
        <s v="SMILES_N1_SP_H" u="1"/>
        <s v="SMILES_N2_SP_H" u="1"/>
        <s v="SMILES_AUD_AEROPORTOS_H" u="1"/>
        <s v="TIM_D01" u="1"/>
        <s v="TIM_PILOTO_FONE_D" u="1"/>
        <s v="VERO_NP_SP_CO_H" u="1"/>
        <s v="TRIBANCO_CONT_PDD1_H" u="1"/>
        <s v="ATACADAO_BKT3_A" u="1"/>
        <s v="CARREFOUR_BKT1_SEM_ALO" u="1"/>
        <s v="CARREFOUR_ATACADAO_SAMS_PREV_H" u="1"/>
        <s v="ITAU_NCOR_NEG_D" u="1"/>
        <s v="CLARO_EMP_0_A_1ANO" u="1"/>
        <s v="CLAROMOVELSKY_08A24_1" u="1"/>
        <s v="NIO_FIBRA_LEGADO_OUTRAS_UFS_H" u="1"/>
        <s v="CLAROMOVELU13_25A40_3" u="1"/>
        <s v="NEW_GEVENUE_ESCOB_PME_HU" u="1"/>
        <s v="NETPME_45_79" u="1"/>
        <s v="TRIBANCO_NEW_CONTENCIOSO_D" u="1"/>
        <s v="ITAU_PF_LOCGERAL_D" u="1"/>
        <s v="CLARO_EMP_PREV" u="1"/>
        <s v="MP_ACAOWO_CONSUMERTC" u="1"/>
        <s v="NETEMBRATEL_SABADO_H" u="1"/>
        <s v="NETPME_80_119" u="1"/>
        <s v="SAMS_CLUB_BKT2_H" u="1"/>
        <s v="CLAROMOVELSKY_QUEBRA_08A24_1" u="1"/>
        <s v="INTER_CHEQUE_ESPECIAL_HUMANO" u="1"/>
        <s v="NETDIGITALU13_08A24_QUEBRA" u="1"/>
        <s v="CARREFOUR_BKT1_HIGHVALUE" u="1"/>
        <s v="CLARO_EMP_4_A_5ANOS" u="1"/>
        <s v="CLARO_EMP_CHURN" u="1"/>
        <s v="TIM_D_PREV" u="1"/>
        <s v="INTER_CRELI_01_H" u="1"/>
        <s v="OUZE_EP_F2_F3_D" u="1"/>
        <s v="CLARO_PME_PREVENTIVO" u="1"/>
        <s v="NIO_NOVA_FIBRA_OVER_50D_H" u="1"/>
        <s v="OUZE_D01" u="1"/>
        <s v="OI_PREVENTIVO" u="1"/>
        <s v="TIM_D_VE4_CBS4" u="1"/>
        <s v="NET_D25_PME" u="1"/>
        <s v="SMILES_RENOVACAO_H" u="1"/>
        <s v="ESCOB_Preventivo_FIXO" u="1"/>
        <s v="ESCOBMANUALFIXO" u="1"/>
        <s v="CLAROTV_FIXO_AD" u="1"/>
        <s v="TIM_D_OVER" u="1"/>
        <s v="MPLAY_QUEBRAS_H" u="1"/>
        <s v="Santanderpreventivo" u="1"/>
      </sharedItems>
    </cacheField>
    <cacheField name="ROTA" numFmtId="0">
      <sharedItems containsBlank="1" count="72">
        <s v="TelsimGW16"/>
        <s v="Netjet4747B"/>
        <s v="Voros CLI"/>
        <s v="Vonex355687"/>
        <s v="Embratel MPLS5M"/>
        <s v="Embratel SUB 53 M"/>
        <s v="Embratel Sub 8"/>
        <s v="Embratel MPLS2"/>
        <s v="Embratel Sub 4"/>
        <m/>
        <s v="TelvoxxJL"/>
        <s v="VOROS CLI2"/>
        <s v="Tim Sip Sub 9"/>
        <s v="Tim Sub 8 B"/>
        <s v="Tim Sub 15"/>
        <s v="Embratel MPLS1"/>
        <s v="Embratel Sub 6"/>
        <s v="Claro Vendas G42"/>
        <s v="Embratel MPLS4M"/>
        <s v="MPLS CIRCUITO 6M"/>
        <s v="Embratel MPLS3M"/>
        <s v="Tim Sub 4"/>
        <s v="Tim Sub 7"/>
        <s v="Tim Sub 3 Especiais"/>
        <s v="Telsim2CTAG3"/>
        <s v="Tim Sub 3"/>
        <s v="Tim Sub 16"/>
        <s v="Tim Sip Sub 10"/>
        <s v="Tim Sub 5"/>
        <s v="MPLS CIRCUITO 7M"/>
        <s v="Embratel Sub 5"/>
        <s v="Embratel SUB 51"/>
        <s v="Embratel SUB 55"/>
        <s v="Claro Digital E1 G36"/>
        <s v="Claro Humano"/>
        <s v="Tim Sub 18"/>
        <s v="Netjet34914"/>
        <s v="SercomLigga2"/>
        <s v="Embratel SUB 50"/>
        <s v="Claro Vendas G41"/>
        <s v="Telvoxx18752"/>
        <s v="TIM SUB 13"/>
        <s v="Netjet CLI3"/>
        <s v="Tim Sub 6"/>
        <s v="Voros 2867"/>
        <s v="Embratel SUB 52 M"/>
        <s v="Embratel SUB 49"/>
        <s v="Embratel Sub 10"/>
        <s v="VOROS ITX B"/>
        <s v="Embratel Sub 9"/>
        <s v="Embratel SUB 48"/>
        <s v="TIM SUB 14"/>
        <s v="Claro Vendas G40M"/>
        <s v="Tim Sub 3 Especiais2"/>
        <s v="Netjet CLI"/>
        <s v="Embratel SUB 54"/>
        <s v="Embratel SUB 56"/>
        <s v="Tim Sub 19"/>
        <s v="Tim Sub 17"/>
        <s v="Tim Sub 12"/>
        <s v="Tim Sub 11"/>
        <s v="Vonex355688"/>
        <s v="Embratel SUB 57"/>
        <s v="vorosinter"/>
        <s v="Netjet 51556" u="1"/>
        <s v="Tim Sub 4 B" u="1"/>
        <s v="Embratel Sub 7" u="1"/>
        <s v="Claro Digital E1 G37" u="1"/>
        <s v="BVT 18091" u="1"/>
        <s v="NETJETCli2" u="1"/>
        <s v="Tim Sip Sub 9 B" u="1"/>
        <s v="Netjet 51558" u="1"/>
      </sharedItems>
    </cacheField>
    <cacheField name="PAG_SUB" numFmtId="0">
      <sharedItems containsBlank="1" count="3">
        <s v="PAGO"/>
        <s v="SUB"/>
        <m/>
      </sharedItems>
    </cacheField>
    <cacheField name="OPERADORA" numFmtId="0">
      <sharedItems containsBlank="1" count="11">
        <s v="Telsim"/>
        <s v="NETJET"/>
        <s v="Voros"/>
        <s v="VONEX CSF"/>
        <s v="Embratel SUB"/>
        <m/>
        <s v="Telvoxx"/>
        <s v="Tim Sub"/>
        <s v="TIM"/>
        <s v="Sercom"/>
        <s v="BVT" u="1"/>
      </sharedItems>
    </cacheField>
    <cacheField name="CLASSE" numFmtId="0">
      <sharedItems count="2">
        <s v="FIXO"/>
        <s v="MOVEL"/>
      </sharedItems>
    </cacheField>
    <cacheField name="TOTAL_DE_DISCAGENS" numFmtId="0">
      <sharedItems containsSemiMixedTypes="0" containsString="0" containsNumber="1" containsInteger="1" minValue="1" maxValue="102500"/>
    </cacheField>
    <cacheField name="TOTAL_DUPLICADAS" numFmtId="0">
      <sharedItems containsSemiMixedTypes="0" containsString="0" containsNumber="1" containsInteger="1" minValue="0" maxValue="65420"/>
    </cacheField>
    <cacheField name="ASTOTAL_DE_NUMEROS_AFETADOS" numFmtId="0">
      <sharedItems containsSemiMixedTypes="0" containsString="0" containsNumber="1" containsInteger="1" minValue="0" maxValue="43799"/>
    </cacheField>
    <cacheField name="DUAS_LIGACOES" numFmtId="0">
      <sharedItems containsSemiMixedTypes="0" containsString="0" containsNumber="1" containsInteger="1" minValue="0" maxValue="41765"/>
    </cacheField>
    <cacheField name="TRES_LIGACOES" numFmtId="0">
      <sharedItems containsSemiMixedTypes="0" containsString="0" containsNumber="1" containsInteger="1" minValue="0" maxValue="13783"/>
    </cacheField>
    <cacheField name="QUATRO_LIGACOES_OU_MAIS" numFmtId="0">
      <sharedItems containsSemiMixedTypes="0" containsString="0" containsNumber="1" containsInteger="1" minValue="0" maxValue="11915"/>
    </cacheField>
  </cacheFields>
  <extLst>
    <ext xmlns:x14="http://schemas.microsoft.com/office/spreadsheetml/2009/9/main" uri="{725AE2AE-9491-48be-B2B4-4EB974FC3084}">
      <x14:pivotCacheDefinition pivotCacheId="113890098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</r>
  <r>
    <x v="1"/>
  </r>
  <r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70">
  <r>
    <x v="0"/>
    <x v="0"/>
    <x v="0"/>
    <n v="0"/>
    <n v="0"/>
    <x v="0"/>
  </r>
  <r>
    <x v="0"/>
    <x v="0"/>
    <x v="1"/>
    <n v="2148"/>
    <n v="479"/>
    <x v="0"/>
  </r>
  <r>
    <x v="0"/>
    <x v="0"/>
    <x v="2"/>
    <n v="217"/>
    <n v="37"/>
    <x v="1"/>
  </r>
  <r>
    <x v="0"/>
    <x v="1"/>
    <x v="1"/>
    <n v="2123"/>
    <n v="438"/>
    <x v="1"/>
  </r>
  <r>
    <x v="0"/>
    <x v="2"/>
    <x v="1"/>
    <n v="2031"/>
    <n v="355"/>
    <x v="0"/>
  </r>
  <r>
    <x v="0"/>
    <x v="2"/>
    <x v="2"/>
    <n v="239"/>
    <n v="24"/>
    <x v="0"/>
  </r>
  <r>
    <x v="0"/>
    <x v="0"/>
    <x v="2"/>
    <n v="216"/>
    <n v="40"/>
    <x v="0"/>
  </r>
  <r>
    <x v="0"/>
    <x v="3"/>
    <x v="0"/>
    <n v="0"/>
    <n v="0"/>
    <x v="1"/>
  </r>
  <r>
    <x v="0"/>
    <x v="4"/>
    <x v="1"/>
    <n v="1"/>
    <n v="0"/>
    <x v="1"/>
  </r>
  <r>
    <x v="0"/>
    <x v="1"/>
    <x v="2"/>
    <n v="239"/>
    <n v="38"/>
    <x v="0"/>
  </r>
  <r>
    <x v="0"/>
    <x v="5"/>
    <x v="2"/>
    <n v="0"/>
    <n v="0"/>
    <x v="1"/>
  </r>
  <r>
    <x v="0"/>
    <x v="3"/>
    <x v="2"/>
    <n v="229"/>
    <n v="23"/>
    <x v="1"/>
  </r>
  <r>
    <x v="0"/>
    <x v="5"/>
    <x v="1"/>
    <n v="4"/>
    <n v="0"/>
    <x v="1"/>
  </r>
  <r>
    <x v="0"/>
    <x v="3"/>
    <x v="1"/>
    <n v="2040"/>
    <n v="353"/>
    <x v="1"/>
  </r>
  <r>
    <x v="0"/>
    <x v="2"/>
    <x v="0"/>
    <n v="0"/>
    <n v="0"/>
    <x v="0"/>
  </r>
  <r>
    <x v="0"/>
    <x v="1"/>
    <x v="0"/>
    <n v="0"/>
    <n v="0"/>
    <x v="1"/>
  </r>
  <r>
    <x v="0"/>
    <x v="4"/>
    <x v="0"/>
    <n v="0"/>
    <n v="0"/>
    <x v="0"/>
  </r>
  <r>
    <x v="0"/>
    <x v="0"/>
    <x v="1"/>
    <n v="2190"/>
    <n v="502"/>
    <x v="1"/>
  </r>
  <r>
    <x v="0"/>
    <x v="1"/>
    <x v="0"/>
    <n v="0"/>
    <n v="0"/>
    <x v="0"/>
  </r>
  <r>
    <x v="0"/>
    <x v="1"/>
    <x v="2"/>
    <n v="254"/>
    <n v="42"/>
    <x v="1"/>
  </r>
  <r>
    <x v="0"/>
    <x v="5"/>
    <x v="1"/>
    <n v="2"/>
    <n v="0"/>
    <x v="0"/>
  </r>
  <r>
    <x v="0"/>
    <x v="3"/>
    <x v="1"/>
    <n v="2132"/>
    <n v="371"/>
    <x v="0"/>
  </r>
  <r>
    <x v="0"/>
    <x v="4"/>
    <x v="2"/>
    <n v="0"/>
    <n v="0"/>
    <x v="1"/>
  </r>
  <r>
    <x v="0"/>
    <x v="4"/>
    <x v="2"/>
    <n v="0"/>
    <n v="0"/>
    <x v="0"/>
  </r>
  <r>
    <x v="0"/>
    <x v="1"/>
    <x v="1"/>
    <n v="2051"/>
    <n v="422"/>
    <x v="0"/>
  </r>
  <r>
    <x v="0"/>
    <x v="5"/>
    <x v="0"/>
    <n v="0"/>
    <n v="0"/>
    <x v="0"/>
  </r>
  <r>
    <x v="0"/>
    <x v="3"/>
    <x v="0"/>
    <n v="0"/>
    <n v="0"/>
    <x v="0"/>
  </r>
  <r>
    <x v="0"/>
    <x v="2"/>
    <x v="0"/>
    <n v="0"/>
    <n v="0"/>
    <x v="1"/>
  </r>
  <r>
    <x v="0"/>
    <x v="2"/>
    <x v="1"/>
    <n v="2047"/>
    <n v="331"/>
    <x v="1"/>
  </r>
  <r>
    <x v="0"/>
    <x v="0"/>
    <x v="0"/>
    <n v="0"/>
    <n v="0"/>
    <x v="1"/>
  </r>
  <r>
    <x v="0"/>
    <x v="3"/>
    <x v="2"/>
    <n v="221"/>
    <n v="28"/>
    <x v="0"/>
  </r>
  <r>
    <x v="0"/>
    <x v="2"/>
    <x v="2"/>
    <n v="242"/>
    <n v="28"/>
    <x v="1"/>
  </r>
  <r>
    <x v="0"/>
    <x v="4"/>
    <x v="1"/>
    <n v="4"/>
    <n v="0"/>
    <x v="0"/>
  </r>
  <r>
    <x v="1"/>
    <x v="6"/>
    <x v="0"/>
    <n v="0"/>
    <n v="0"/>
    <x v="2"/>
  </r>
  <r>
    <x v="1"/>
    <x v="6"/>
    <x v="3"/>
    <n v="10601"/>
    <n v="2129"/>
    <x v="3"/>
  </r>
  <r>
    <x v="1"/>
    <x v="6"/>
    <x v="4"/>
    <n v="15629"/>
    <n v="511"/>
    <x v="4"/>
  </r>
  <r>
    <x v="1"/>
    <x v="6"/>
    <x v="5"/>
    <n v="21213"/>
    <n v="2422"/>
    <x v="4"/>
  </r>
  <r>
    <x v="1"/>
    <x v="6"/>
    <x v="6"/>
    <n v="5309"/>
    <n v="536"/>
    <x v="4"/>
  </r>
  <r>
    <x v="1"/>
    <x v="6"/>
    <x v="7"/>
    <n v="50154"/>
    <n v="5387"/>
    <x v="4"/>
  </r>
  <r>
    <x v="1"/>
    <x v="6"/>
    <x v="8"/>
    <n v="139"/>
    <n v="8"/>
    <x v="4"/>
  </r>
  <r>
    <x v="1"/>
    <x v="6"/>
    <x v="9"/>
    <n v="254"/>
    <n v="16"/>
    <x v="5"/>
  </r>
  <r>
    <x v="1"/>
    <x v="6"/>
    <x v="10"/>
    <n v="19578"/>
    <n v="606"/>
    <x v="6"/>
  </r>
  <r>
    <x v="1"/>
    <x v="6"/>
    <x v="11"/>
    <n v="4050"/>
    <n v="371"/>
    <x v="7"/>
  </r>
  <r>
    <x v="1"/>
    <x v="6"/>
    <x v="2"/>
    <n v="335"/>
    <n v="56"/>
    <x v="8"/>
  </r>
  <r>
    <x v="1"/>
    <x v="6"/>
    <x v="2"/>
    <n v="4356"/>
    <n v="635"/>
    <x v="9"/>
  </r>
  <r>
    <x v="1"/>
    <x v="6"/>
    <x v="12"/>
    <n v="45"/>
    <n v="45"/>
    <x v="10"/>
  </r>
  <r>
    <x v="1"/>
    <x v="6"/>
    <x v="13"/>
    <n v="1033"/>
    <n v="221"/>
    <x v="11"/>
  </r>
  <r>
    <x v="1"/>
    <x v="7"/>
    <x v="0"/>
    <n v="0"/>
    <n v="0"/>
    <x v="12"/>
  </r>
  <r>
    <x v="1"/>
    <x v="7"/>
    <x v="0"/>
    <n v="0"/>
    <n v="0"/>
    <x v="10"/>
  </r>
  <r>
    <x v="1"/>
    <x v="7"/>
    <x v="0"/>
    <n v="0"/>
    <n v="0"/>
    <x v="13"/>
  </r>
  <r>
    <x v="1"/>
    <x v="7"/>
    <x v="14"/>
    <n v="9743"/>
    <n v="646"/>
    <x v="4"/>
  </r>
  <r>
    <x v="1"/>
    <x v="7"/>
    <x v="15"/>
    <n v="62844"/>
    <n v="6406"/>
    <x v="4"/>
  </r>
  <r>
    <x v="1"/>
    <x v="7"/>
    <x v="15"/>
    <n v="0"/>
    <n v="0"/>
    <x v="14"/>
  </r>
  <r>
    <x v="1"/>
    <x v="7"/>
    <x v="16"/>
    <n v="5727"/>
    <n v="743"/>
    <x v="2"/>
  </r>
  <r>
    <x v="1"/>
    <x v="7"/>
    <x v="11"/>
    <n v="988"/>
    <n v="64"/>
    <x v="6"/>
  </r>
  <r>
    <x v="1"/>
    <x v="7"/>
    <x v="2"/>
    <n v="6"/>
    <n v="2"/>
    <x v="15"/>
  </r>
  <r>
    <x v="1"/>
    <x v="7"/>
    <x v="2"/>
    <n v="115"/>
    <n v="22"/>
    <x v="1"/>
  </r>
  <r>
    <x v="1"/>
    <x v="7"/>
    <x v="17"/>
    <n v="6544"/>
    <n v="1015"/>
    <x v="8"/>
  </r>
  <r>
    <x v="1"/>
    <x v="7"/>
    <x v="17"/>
    <n v="11752"/>
    <n v="1327"/>
    <x v="16"/>
  </r>
  <r>
    <x v="1"/>
    <x v="7"/>
    <x v="18"/>
    <n v="18490"/>
    <n v="622"/>
    <x v="10"/>
  </r>
  <r>
    <x v="1"/>
    <x v="0"/>
    <x v="0"/>
    <n v="0"/>
    <n v="0"/>
    <x v="17"/>
  </r>
  <r>
    <x v="1"/>
    <x v="0"/>
    <x v="0"/>
    <n v="1"/>
    <n v="1"/>
    <x v="18"/>
  </r>
  <r>
    <x v="1"/>
    <x v="0"/>
    <x v="1"/>
    <n v="11181"/>
    <n v="1818"/>
    <x v="0"/>
  </r>
  <r>
    <x v="1"/>
    <x v="0"/>
    <x v="19"/>
    <n v="15702"/>
    <n v="800"/>
    <x v="4"/>
  </r>
  <r>
    <x v="1"/>
    <x v="0"/>
    <x v="20"/>
    <n v="24"/>
    <n v="24"/>
    <x v="14"/>
  </r>
  <r>
    <x v="1"/>
    <x v="0"/>
    <x v="21"/>
    <n v="11234"/>
    <n v="916"/>
    <x v="4"/>
  </r>
  <r>
    <x v="1"/>
    <x v="0"/>
    <x v="9"/>
    <n v="3239"/>
    <n v="281"/>
    <x v="19"/>
  </r>
  <r>
    <x v="1"/>
    <x v="0"/>
    <x v="22"/>
    <n v="9606"/>
    <n v="1714"/>
    <x v="12"/>
  </r>
  <r>
    <x v="1"/>
    <x v="0"/>
    <x v="23"/>
    <n v="1"/>
    <n v="0"/>
    <x v="2"/>
  </r>
  <r>
    <x v="1"/>
    <x v="0"/>
    <x v="2"/>
    <n v="370"/>
    <n v="93"/>
    <x v="3"/>
  </r>
  <r>
    <x v="1"/>
    <x v="0"/>
    <x v="24"/>
    <n v="4363"/>
    <n v="861"/>
    <x v="16"/>
  </r>
  <r>
    <x v="1"/>
    <x v="1"/>
    <x v="0"/>
    <n v="0"/>
    <n v="0"/>
    <x v="20"/>
  </r>
  <r>
    <x v="1"/>
    <x v="1"/>
    <x v="0"/>
    <n v="0"/>
    <n v="0"/>
    <x v="21"/>
  </r>
  <r>
    <x v="1"/>
    <x v="1"/>
    <x v="0"/>
    <n v="0"/>
    <n v="0"/>
    <x v="2"/>
  </r>
  <r>
    <x v="1"/>
    <x v="1"/>
    <x v="3"/>
    <n v="12802"/>
    <n v="2165"/>
    <x v="3"/>
  </r>
  <r>
    <x v="1"/>
    <x v="1"/>
    <x v="25"/>
    <n v="775"/>
    <n v="171"/>
    <x v="22"/>
  </r>
  <r>
    <x v="1"/>
    <x v="1"/>
    <x v="6"/>
    <n v="4882"/>
    <n v="435"/>
    <x v="4"/>
  </r>
  <r>
    <x v="1"/>
    <x v="1"/>
    <x v="8"/>
    <n v="542"/>
    <n v="130"/>
    <x v="4"/>
  </r>
  <r>
    <x v="1"/>
    <x v="1"/>
    <x v="9"/>
    <n v="390"/>
    <n v="31"/>
    <x v="5"/>
  </r>
  <r>
    <x v="1"/>
    <x v="1"/>
    <x v="10"/>
    <n v="17178"/>
    <n v="366"/>
    <x v="6"/>
  </r>
  <r>
    <x v="1"/>
    <x v="1"/>
    <x v="11"/>
    <n v="10522"/>
    <n v="1598"/>
    <x v="7"/>
  </r>
  <r>
    <x v="1"/>
    <x v="1"/>
    <x v="2"/>
    <n v="179"/>
    <n v="51"/>
    <x v="16"/>
  </r>
  <r>
    <x v="1"/>
    <x v="1"/>
    <x v="2"/>
    <n v="5208"/>
    <n v="1046"/>
    <x v="9"/>
  </r>
  <r>
    <x v="1"/>
    <x v="1"/>
    <x v="13"/>
    <n v="973"/>
    <n v="194"/>
    <x v="11"/>
  </r>
  <r>
    <x v="1"/>
    <x v="5"/>
    <x v="0"/>
    <n v="0"/>
    <n v="0"/>
    <x v="12"/>
  </r>
  <r>
    <x v="1"/>
    <x v="5"/>
    <x v="0"/>
    <n v="0"/>
    <n v="0"/>
    <x v="10"/>
  </r>
  <r>
    <x v="1"/>
    <x v="5"/>
    <x v="0"/>
    <n v="0"/>
    <n v="0"/>
    <x v="13"/>
  </r>
  <r>
    <x v="1"/>
    <x v="5"/>
    <x v="1"/>
    <n v="2740"/>
    <n v="528"/>
    <x v="1"/>
  </r>
  <r>
    <x v="1"/>
    <x v="5"/>
    <x v="14"/>
    <n v="11131"/>
    <n v="673"/>
    <x v="4"/>
  </r>
  <r>
    <x v="1"/>
    <x v="5"/>
    <x v="15"/>
    <n v="58300"/>
    <n v="4454"/>
    <x v="4"/>
  </r>
  <r>
    <x v="1"/>
    <x v="5"/>
    <x v="26"/>
    <n v="3402"/>
    <n v="391"/>
    <x v="15"/>
  </r>
  <r>
    <x v="1"/>
    <x v="5"/>
    <x v="27"/>
    <n v="14573"/>
    <n v="2228"/>
    <x v="23"/>
  </r>
  <r>
    <x v="1"/>
    <x v="5"/>
    <x v="16"/>
    <n v="5643"/>
    <n v="809"/>
    <x v="2"/>
  </r>
  <r>
    <x v="1"/>
    <x v="5"/>
    <x v="11"/>
    <n v="5"/>
    <n v="0"/>
    <x v="6"/>
  </r>
  <r>
    <x v="1"/>
    <x v="5"/>
    <x v="2"/>
    <n v="18"/>
    <n v="4"/>
    <x v="1"/>
  </r>
  <r>
    <x v="1"/>
    <x v="5"/>
    <x v="17"/>
    <n v="8861"/>
    <n v="1408"/>
    <x v="8"/>
  </r>
  <r>
    <x v="1"/>
    <x v="5"/>
    <x v="17"/>
    <n v="11421"/>
    <n v="1176"/>
    <x v="16"/>
  </r>
  <r>
    <x v="1"/>
    <x v="5"/>
    <x v="18"/>
    <n v="19536"/>
    <n v="641"/>
    <x v="10"/>
  </r>
  <r>
    <x v="1"/>
    <x v="8"/>
    <x v="0"/>
    <n v="1"/>
    <n v="1"/>
    <x v="18"/>
  </r>
  <r>
    <x v="1"/>
    <x v="8"/>
    <x v="19"/>
    <n v="17301"/>
    <n v="866"/>
    <x v="4"/>
  </r>
  <r>
    <x v="1"/>
    <x v="8"/>
    <x v="20"/>
    <n v="29"/>
    <n v="29"/>
    <x v="14"/>
  </r>
  <r>
    <x v="1"/>
    <x v="8"/>
    <x v="28"/>
    <n v="8677"/>
    <n v="2820"/>
    <x v="24"/>
  </r>
  <r>
    <x v="1"/>
    <x v="8"/>
    <x v="22"/>
    <n v="8341"/>
    <n v="1519"/>
    <x v="12"/>
  </r>
  <r>
    <x v="1"/>
    <x v="8"/>
    <x v="11"/>
    <n v="6264"/>
    <n v="1050"/>
    <x v="25"/>
  </r>
  <r>
    <x v="1"/>
    <x v="8"/>
    <x v="2"/>
    <n v="7724"/>
    <n v="709"/>
    <x v="17"/>
  </r>
  <r>
    <x v="1"/>
    <x v="8"/>
    <x v="2"/>
    <n v="308"/>
    <n v="71"/>
    <x v="3"/>
  </r>
  <r>
    <x v="1"/>
    <x v="8"/>
    <x v="29"/>
    <n v="112626"/>
    <n v="6468"/>
    <x v="10"/>
  </r>
  <r>
    <x v="1"/>
    <x v="9"/>
    <x v="3"/>
    <n v="11139"/>
    <n v="2172"/>
    <x v="3"/>
  </r>
  <r>
    <x v="1"/>
    <x v="9"/>
    <x v="25"/>
    <n v="781"/>
    <n v="169"/>
    <x v="22"/>
  </r>
  <r>
    <x v="1"/>
    <x v="9"/>
    <x v="6"/>
    <n v="5170"/>
    <n v="320"/>
    <x v="4"/>
  </r>
  <r>
    <x v="1"/>
    <x v="9"/>
    <x v="30"/>
    <n v="2156"/>
    <n v="76"/>
    <x v="4"/>
  </r>
  <r>
    <x v="1"/>
    <x v="9"/>
    <x v="8"/>
    <n v="453"/>
    <n v="102"/>
    <x v="4"/>
  </r>
  <r>
    <x v="1"/>
    <x v="9"/>
    <x v="9"/>
    <n v="516"/>
    <n v="55"/>
    <x v="5"/>
  </r>
  <r>
    <x v="1"/>
    <x v="9"/>
    <x v="10"/>
    <n v="19278"/>
    <n v="389"/>
    <x v="6"/>
  </r>
  <r>
    <x v="1"/>
    <x v="9"/>
    <x v="2"/>
    <n v="3813"/>
    <n v="489"/>
    <x v="2"/>
  </r>
  <r>
    <x v="1"/>
    <x v="9"/>
    <x v="31"/>
    <n v="70848"/>
    <n v="2643"/>
    <x v="10"/>
  </r>
  <r>
    <x v="1"/>
    <x v="9"/>
    <x v="32"/>
    <n v="4450"/>
    <n v="570"/>
    <x v="2"/>
  </r>
  <r>
    <x v="1"/>
    <x v="3"/>
    <x v="0"/>
    <n v="0"/>
    <n v="0"/>
    <x v="12"/>
  </r>
  <r>
    <x v="1"/>
    <x v="3"/>
    <x v="0"/>
    <n v="1"/>
    <n v="1"/>
    <x v="10"/>
  </r>
  <r>
    <x v="1"/>
    <x v="3"/>
    <x v="1"/>
    <n v="1372"/>
    <n v="196"/>
    <x v="1"/>
  </r>
  <r>
    <x v="1"/>
    <x v="3"/>
    <x v="14"/>
    <n v="11152"/>
    <n v="554"/>
    <x v="4"/>
  </r>
  <r>
    <x v="1"/>
    <x v="3"/>
    <x v="15"/>
    <n v="57226"/>
    <n v="3322"/>
    <x v="4"/>
  </r>
  <r>
    <x v="1"/>
    <x v="3"/>
    <x v="33"/>
    <n v="381"/>
    <n v="77"/>
    <x v="4"/>
  </r>
  <r>
    <x v="1"/>
    <x v="3"/>
    <x v="26"/>
    <n v="6042"/>
    <n v="505"/>
    <x v="15"/>
  </r>
  <r>
    <x v="1"/>
    <x v="3"/>
    <x v="27"/>
    <n v="15443"/>
    <n v="2313"/>
    <x v="23"/>
  </r>
  <r>
    <x v="1"/>
    <x v="3"/>
    <x v="16"/>
    <n v="5826"/>
    <n v="730"/>
    <x v="2"/>
  </r>
  <r>
    <x v="1"/>
    <x v="3"/>
    <x v="34"/>
    <n v="17018"/>
    <n v="1839"/>
    <x v="4"/>
  </r>
  <r>
    <x v="1"/>
    <x v="3"/>
    <x v="11"/>
    <n v="1115"/>
    <n v="164"/>
    <x v="6"/>
  </r>
  <r>
    <x v="1"/>
    <x v="3"/>
    <x v="11"/>
    <n v="316"/>
    <n v="79"/>
    <x v="26"/>
  </r>
  <r>
    <x v="1"/>
    <x v="3"/>
    <x v="17"/>
    <n v="12035"/>
    <n v="1615"/>
    <x v="8"/>
  </r>
  <r>
    <x v="1"/>
    <x v="3"/>
    <x v="17"/>
    <n v="11038"/>
    <n v="1006"/>
    <x v="16"/>
  </r>
  <r>
    <x v="1"/>
    <x v="3"/>
    <x v="35"/>
    <n v="558"/>
    <n v="113"/>
    <x v="10"/>
  </r>
  <r>
    <x v="1"/>
    <x v="3"/>
    <x v="18"/>
    <n v="18239"/>
    <n v="534"/>
    <x v="10"/>
  </r>
  <r>
    <x v="1"/>
    <x v="3"/>
    <x v="13"/>
    <n v="8346"/>
    <n v="861"/>
    <x v="17"/>
  </r>
  <r>
    <x v="1"/>
    <x v="2"/>
    <x v="0"/>
    <n v="0"/>
    <n v="0"/>
    <x v="19"/>
  </r>
  <r>
    <x v="1"/>
    <x v="2"/>
    <x v="0"/>
    <n v="0"/>
    <n v="0"/>
    <x v="27"/>
  </r>
  <r>
    <x v="1"/>
    <x v="2"/>
    <x v="0"/>
    <n v="0"/>
    <n v="0"/>
    <x v="0"/>
  </r>
  <r>
    <x v="1"/>
    <x v="2"/>
    <x v="3"/>
    <n v="2"/>
    <n v="2"/>
    <x v="18"/>
  </r>
  <r>
    <x v="1"/>
    <x v="2"/>
    <x v="19"/>
    <n v="5722"/>
    <n v="232"/>
    <x v="4"/>
  </r>
  <r>
    <x v="1"/>
    <x v="2"/>
    <x v="20"/>
    <n v="35319"/>
    <n v="1434"/>
    <x v="4"/>
  </r>
  <r>
    <x v="1"/>
    <x v="2"/>
    <x v="20"/>
    <n v="34"/>
    <n v="34"/>
    <x v="14"/>
  </r>
  <r>
    <x v="1"/>
    <x v="2"/>
    <x v="28"/>
    <n v="6175"/>
    <n v="940"/>
    <x v="24"/>
  </r>
  <r>
    <x v="1"/>
    <x v="2"/>
    <x v="28"/>
    <n v="18852"/>
    <n v="2709"/>
    <x v="7"/>
  </r>
  <r>
    <x v="1"/>
    <x v="2"/>
    <x v="22"/>
    <n v="8913"/>
    <n v="1589"/>
    <x v="12"/>
  </r>
  <r>
    <x v="1"/>
    <x v="2"/>
    <x v="23"/>
    <n v="22"/>
    <n v="12"/>
    <x v="24"/>
  </r>
  <r>
    <x v="1"/>
    <x v="2"/>
    <x v="11"/>
    <n v="6752"/>
    <n v="995"/>
    <x v="25"/>
  </r>
  <r>
    <x v="1"/>
    <x v="2"/>
    <x v="2"/>
    <n v="14219"/>
    <n v="1609"/>
    <x v="17"/>
  </r>
  <r>
    <x v="1"/>
    <x v="2"/>
    <x v="2"/>
    <n v="383"/>
    <n v="84"/>
    <x v="3"/>
  </r>
  <r>
    <x v="1"/>
    <x v="2"/>
    <x v="29"/>
    <n v="110692"/>
    <n v="5989"/>
    <x v="10"/>
  </r>
  <r>
    <x v="1"/>
    <x v="2"/>
    <x v="36"/>
    <n v="953"/>
    <n v="231"/>
    <x v="8"/>
  </r>
  <r>
    <x v="1"/>
    <x v="2"/>
    <x v="13"/>
    <n v="2898"/>
    <n v="372"/>
    <x v="2"/>
  </r>
  <r>
    <x v="1"/>
    <x v="4"/>
    <x v="0"/>
    <n v="0"/>
    <n v="0"/>
    <x v="11"/>
  </r>
  <r>
    <x v="1"/>
    <x v="4"/>
    <x v="37"/>
    <n v="1956"/>
    <n v="71"/>
    <x v="28"/>
  </r>
  <r>
    <x v="1"/>
    <x v="4"/>
    <x v="38"/>
    <n v="5702"/>
    <n v="566"/>
    <x v="4"/>
  </r>
  <r>
    <x v="1"/>
    <x v="4"/>
    <x v="25"/>
    <n v="218"/>
    <n v="27"/>
    <x v="22"/>
  </r>
  <r>
    <x v="1"/>
    <x v="4"/>
    <x v="30"/>
    <n v="2385"/>
    <n v="96"/>
    <x v="4"/>
  </r>
  <r>
    <x v="1"/>
    <x v="4"/>
    <x v="8"/>
    <n v="146"/>
    <n v="34"/>
    <x v="4"/>
  </r>
  <r>
    <x v="1"/>
    <x v="4"/>
    <x v="21"/>
    <n v="70"/>
    <n v="9"/>
    <x v="22"/>
  </r>
  <r>
    <x v="1"/>
    <x v="4"/>
    <x v="11"/>
    <n v="155"/>
    <n v="31"/>
    <x v="23"/>
  </r>
  <r>
    <x v="1"/>
    <x v="4"/>
    <x v="11"/>
    <n v="558"/>
    <n v="88"/>
    <x v="13"/>
  </r>
  <r>
    <x v="1"/>
    <x v="4"/>
    <x v="2"/>
    <n v="4737"/>
    <n v="951"/>
    <x v="2"/>
  </r>
  <r>
    <x v="1"/>
    <x v="4"/>
    <x v="31"/>
    <n v="52580"/>
    <n v="1656"/>
    <x v="10"/>
  </r>
  <r>
    <x v="1"/>
    <x v="4"/>
    <x v="13"/>
    <n v="13041"/>
    <n v="1958"/>
    <x v="13"/>
  </r>
  <r>
    <x v="1"/>
    <x v="4"/>
    <x v="32"/>
    <n v="6594"/>
    <n v="813"/>
    <x v="2"/>
  </r>
  <r>
    <x v="1"/>
    <x v="10"/>
    <x v="0"/>
    <n v="0"/>
    <n v="0"/>
    <x v="12"/>
  </r>
  <r>
    <x v="1"/>
    <x v="10"/>
    <x v="1"/>
    <n v="1493"/>
    <n v="246"/>
    <x v="1"/>
  </r>
  <r>
    <x v="1"/>
    <x v="10"/>
    <x v="14"/>
    <n v="45582"/>
    <n v="2015"/>
    <x v="4"/>
  </r>
  <r>
    <x v="1"/>
    <x v="10"/>
    <x v="39"/>
    <n v="87036"/>
    <n v="6252"/>
    <x v="4"/>
  </r>
  <r>
    <x v="1"/>
    <x v="10"/>
    <x v="33"/>
    <n v="262"/>
    <n v="67"/>
    <x v="4"/>
  </r>
  <r>
    <x v="1"/>
    <x v="10"/>
    <x v="26"/>
    <n v="2211"/>
    <n v="266"/>
    <x v="15"/>
  </r>
  <r>
    <x v="1"/>
    <x v="10"/>
    <x v="27"/>
    <n v="9074"/>
    <n v="1600"/>
    <x v="23"/>
  </r>
  <r>
    <x v="1"/>
    <x v="10"/>
    <x v="22"/>
    <n v="13620"/>
    <n v="1889"/>
    <x v="19"/>
  </r>
  <r>
    <x v="1"/>
    <x v="10"/>
    <x v="40"/>
    <n v="12930"/>
    <n v="220"/>
    <x v="21"/>
  </r>
  <r>
    <x v="1"/>
    <x v="10"/>
    <x v="11"/>
    <n v="1"/>
    <n v="1"/>
    <x v="6"/>
  </r>
  <r>
    <x v="1"/>
    <x v="10"/>
    <x v="11"/>
    <n v="344"/>
    <n v="56"/>
    <x v="26"/>
  </r>
  <r>
    <x v="1"/>
    <x v="10"/>
    <x v="2"/>
    <n v="359"/>
    <n v="58"/>
    <x v="12"/>
  </r>
  <r>
    <x v="1"/>
    <x v="10"/>
    <x v="17"/>
    <n v="4623"/>
    <n v="197"/>
    <x v="16"/>
  </r>
  <r>
    <x v="1"/>
    <x v="10"/>
    <x v="35"/>
    <n v="17282"/>
    <n v="634"/>
    <x v="10"/>
  </r>
  <r>
    <x v="1"/>
    <x v="10"/>
    <x v="13"/>
    <n v="7969"/>
    <n v="775"/>
    <x v="17"/>
  </r>
  <r>
    <x v="1"/>
    <x v="11"/>
    <x v="0"/>
    <n v="0"/>
    <n v="0"/>
    <x v="19"/>
  </r>
  <r>
    <x v="1"/>
    <x v="11"/>
    <x v="0"/>
    <n v="0"/>
    <n v="0"/>
    <x v="0"/>
  </r>
  <r>
    <x v="1"/>
    <x v="11"/>
    <x v="1"/>
    <n v="10836"/>
    <n v="1220"/>
    <x v="3"/>
  </r>
  <r>
    <x v="1"/>
    <x v="11"/>
    <x v="3"/>
    <n v="637"/>
    <n v="63"/>
    <x v="0"/>
  </r>
  <r>
    <x v="1"/>
    <x v="11"/>
    <x v="20"/>
    <n v="38675"/>
    <n v="1333"/>
    <x v="4"/>
  </r>
  <r>
    <x v="1"/>
    <x v="11"/>
    <x v="28"/>
    <n v="1152"/>
    <n v="140"/>
    <x v="24"/>
  </r>
  <r>
    <x v="1"/>
    <x v="11"/>
    <x v="28"/>
    <n v="7999"/>
    <n v="1065"/>
    <x v="7"/>
  </r>
  <r>
    <x v="1"/>
    <x v="11"/>
    <x v="27"/>
    <n v="991"/>
    <n v="162"/>
    <x v="29"/>
  </r>
  <r>
    <x v="1"/>
    <x v="11"/>
    <x v="23"/>
    <n v="2"/>
    <n v="0"/>
    <x v="24"/>
  </r>
  <r>
    <x v="1"/>
    <x v="11"/>
    <x v="11"/>
    <n v="3930"/>
    <n v="633"/>
    <x v="25"/>
  </r>
  <r>
    <x v="1"/>
    <x v="11"/>
    <x v="2"/>
    <n v="66"/>
    <n v="13"/>
    <x v="17"/>
  </r>
  <r>
    <x v="1"/>
    <x v="11"/>
    <x v="2"/>
    <n v="248"/>
    <n v="40"/>
    <x v="3"/>
  </r>
  <r>
    <x v="1"/>
    <x v="11"/>
    <x v="29"/>
    <n v="108443"/>
    <n v="4661"/>
    <x v="10"/>
  </r>
  <r>
    <x v="1"/>
    <x v="11"/>
    <x v="36"/>
    <n v="1073"/>
    <n v="236"/>
    <x v="8"/>
  </r>
  <r>
    <x v="1"/>
    <x v="11"/>
    <x v="13"/>
    <n v="1982"/>
    <n v="152"/>
    <x v="2"/>
  </r>
  <r>
    <x v="1"/>
    <x v="12"/>
    <x v="0"/>
    <n v="0"/>
    <n v="0"/>
    <x v="4"/>
  </r>
  <r>
    <x v="1"/>
    <x v="12"/>
    <x v="0"/>
    <n v="0"/>
    <n v="0"/>
    <x v="11"/>
  </r>
  <r>
    <x v="1"/>
    <x v="12"/>
    <x v="38"/>
    <n v="35742"/>
    <n v="1126"/>
    <x v="4"/>
  </r>
  <r>
    <x v="1"/>
    <x v="12"/>
    <x v="11"/>
    <n v="31"/>
    <n v="11"/>
    <x v="23"/>
  </r>
  <r>
    <x v="1"/>
    <x v="12"/>
    <x v="11"/>
    <n v="53"/>
    <n v="4"/>
    <x v="13"/>
  </r>
  <r>
    <x v="1"/>
    <x v="12"/>
    <x v="2"/>
    <n v="2045"/>
    <n v="65"/>
    <x v="2"/>
  </r>
  <r>
    <x v="1"/>
    <x v="12"/>
    <x v="31"/>
    <n v="25864"/>
    <n v="811"/>
    <x v="10"/>
  </r>
  <r>
    <x v="1"/>
    <x v="12"/>
    <x v="13"/>
    <n v="2719"/>
    <n v="338"/>
    <x v="13"/>
  </r>
  <r>
    <x v="1"/>
    <x v="12"/>
    <x v="32"/>
    <n v="1268"/>
    <n v="148"/>
    <x v="2"/>
  </r>
  <r>
    <x v="1"/>
    <x v="6"/>
    <x v="0"/>
    <n v="0"/>
    <n v="0"/>
    <x v="20"/>
  </r>
  <r>
    <x v="1"/>
    <x v="6"/>
    <x v="0"/>
    <n v="0"/>
    <n v="0"/>
    <x v="9"/>
  </r>
  <r>
    <x v="1"/>
    <x v="6"/>
    <x v="0"/>
    <n v="0"/>
    <n v="0"/>
    <x v="11"/>
  </r>
  <r>
    <x v="1"/>
    <x v="6"/>
    <x v="3"/>
    <n v="212"/>
    <n v="35"/>
    <x v="0"/>
  </r>
  <r>
    <x v="1"/>
    <x v="6"/>
    <x v="38"/>
    <n v="19537"/>
    <n v="2277"/>
    <x v="4"/>
  </r>
  <r>
    <x v="1"/>
    <x v="6"/>
    <x v="41"/>
    <n v="22207"/>
    <n v="2454"/>
    <x v="4"/>
  </r>
  <r>
    <x v="1"/>
    <x v="6"/>
    <x v="30"/>
    <n v="3835"/>
    <n v="206"/>
    <x v="4"/>
  </r>
  <r>
    <x v="1"/>
    <x v="6"/>
    <x v="42"/>
    <n v="23353"/>
    <n v="685"/>
    <x v="4"/>
  </r>
  <r>
    <x v="1"/>
    <x v="6"/>
    <x v="27"/>
    <n v="2478"/>
    <n v="515"/>
    <x v="29"/>
  </r>
  <r>
    <x v="1"/>
    <x v="6"/>
    <x v="11"/>
    <n v="109"/>
    <n v="20"/>
    <x v="23"/>
  </r>
  <r>
    <x v="1"/>
    <x v="6"/>
    <x v="2"/>
    <n v="1041"/>
    <n v="197"/>
    <x v="19"/>
  </r>
  <r>
    <x v="1"/>
    <x v="6"/>
    <x v="2"/>
    <n v="5779"/>
    <n v="854"/>
    <x v="2"/>
  </r>
  <r>
    <x v="1"/>
    <x v="6"/>
    <x v="43"/>
    <n v="96251"/>
    <n v="5549"/>
    <x v="10"/>
  </r>
  <r>
    <x v="1"/>
    <x v="6"/>
    <x v="44"/>
    <n v="72851"/>
    <n v="3698"/>
    <x v="10"/>
  </r>
  <r>
    <x v="1"/>
    <x v="6"/>
    <x v="13"/>
    <n v="16374"/>
    <n v="2189"/>
    <x v="13"/>
  </r>
  <r>
    <x v="1"/>
    <x v="6"/>
    <x v="32"/>
    <n v="8968"/>
    <n v="828"/>
    <x v="2"/>
  </r>
  <r>
    <x v="1"/>
    <x v="7"/>
    <x v="0"/>
    <n v="5"/>
    <n v="5"/>
    <x v="4"/>
  </r>
  <r>
    <x v="1"/>
    <x v="7"/>
    <x v="1"/>
    <n v="5961"/>
    <n v="696"/>
    <x v="2"/>
  </r>
  <r>
    <x v="1"/>
    <x v="7"/>
    <x v="1"/>
    <n v="78"/>
    <n v="5"/>
    <x v="30"/>
  </r>
  <r>
    <x v="1"/>
    <x v="7"/>
    <x v="14"/>
    <n v="28774"/>
    <n v="869"/>
    <x v="22"/>
  </r>
  <r>
    <x v="1"/>
    <x v="7"/>
    <x v="6"/>
    <n v="85"/>
    <n v="10"/>
    <x v="22"/>
  </r>
  <r>
    <x v="1"/>
    <x v="7"/>
    <x v="33"/>
    <n v="713"/>
    <n v="220"/>
    <x v="4"/>
  </r>
  <r>
    <x v="1"/>
    <x v="7"/>
    <x v="45"/>
    <n v="9865"/>
    <n v="1314"/>
    <x v="4"/>
  </r>
  <r>
    <x v="1"/>
    <x v="7"/>
    <x v="46"/>
    <n v="14844"/>
    <n v="2104"/>
    <x v="4"/>
  </r>
  <r>
    <x v="1"/>
    <x v="7"/>
    <x v="26"/>
    <n v="3605"/>
    <n v="466"/>
    <x v="15"/>
  </r>
  <r>
    <x v="1"/>
    <x v="7"/>
    <x v="9"/>
    <n v="5471"/>
    <n v="353"/>
    <x v="12"/>
  </r>
  <r>
    <x v="1"/>
    <x v="7"/>
    <x v="9"/>
    <n v="17435"/>
    <n v="2925"/>
    <x v="2"/>
  </r>
  <r>
    <x v="1"/>
    <x v="7"/>
    <x v="27"/>
    <n v="15266"/>
    <n v="2214"/>
    <x v="23"/>
  </r>
  <r>
    <x v="1"/>
    <x v="7"/>
    <x v="34"/>
    <n v="19789"/>
    <n v="2337"/>
    <x v="4"/>
  </r>
  <r>
    <x v="1"/>
    <x v="7"/>
    <x v="11"/>
    <n v="129"/>
    <n v="14"/>
    <x v="12"/>
  </r>
  <r>
    <x v="1"/>
    <x v="7"/>
    <x v="11"/>
    <n v="138"/>
    <n v="22"/>
    <x v="26"/>
  </r>
  <r>
    <x v="1"/>
    <x v="7"/>
    <x v="2"/>
    <n v="405"/>
    <n v="93"/>
    <x v="24"/>
  </r>
  <r>
    <x v="1"/>
    <x v="7"/>
    <x v="2"/>
    <n v="494"/>
    <n v="90"/>
    <x v="12"/>
  </r>
  <r>
    <x v="1"/>
    <x v="7"/>
    <x v="47"/>
    <n v="86383"/>
    <n v="5512"/>
    <x v="10"/>
  </r>
  <r>
    <x v="1"/>
    <x v="0"/>
    <x v="0"/>
    <n v="0"/>
    <n v="0"/>
    <x v="6"/>
  </r>
  <r>
    <x v="1"/>
    <x v="0"/>
    <x v="0"/>
    <n v="0"/>
    <n v="0"/>
    <x v="3"/>
  </r>
  <r>
    <x v="1"/>
    <x v="0"/>
    <x v="0"/>
    <n v="0"/>
    <n v="0"/>
    <x v="0"/>
  </r>
  <r>
    <x v="1"/>
    <x v="0"/>
    <x v="1"/>
    <n v="8386"/>
    <n v="1766"/>
    <x v="3"/>
  </r>
  <r>
    <x v="1"/>
    <x v="0"/>
    <x v="3"/>
    <n v="23880"/>
    <n v="3469"/>
    <x v="9"/>
  </r>
  <r>
    <x v="1"/>
    <x v="0"/>
    <x v="3"/>
    <n v="166"/>
    <n v="35"/>
    <x v="1"/>
  </r>
  <r>
    <x v="1"/>
    <x v="0"/>
    <x v="48"/>
    <n v="32740"/>
    <n v="1650"/>
    <x v="4"/>
  </r>
  <r>
    <x v="1"/>
    <x v="0"/>
    <x v="49"/>
    <n v="17059"/>
    <n v="4464"/>
    <x v="4"/>
  </r>
  <r>
    <x v="1"/>
    <x v="0"/>
    <x v="50"/>
    <n v="31131"/>
    <n v="954"/>
    <x v="27"/>
  </r>
  <r>
    <x v="1"/>
    <x v="0"/>
    <x v="16"/>
    <n v="17459"/>
    <n v="1642"/>
    <x v="24"/>
  </r>
  <r>
    <x v="1"/>
    <x v="0"/>
    <x v="22"/>
    <n v="13451"/>
    <n v="1965"/>
    <x v="19"/>
  </r>
  <r>
    <x v="1"/>
    <x v="0"/>
    <x v="23"/>
    <n v="98"/>
    <n v="66"/>
    <x v="24"/>
  </r>
  <r>
    <x v="1"/>
    <x v="0"/>
    <x v="23"/>
    <n v="0"/>
    <n v="0"/>
    <x v="30"/>
  </r>
  <r>
    <x v="1"/>
    <x v="0"/>
    <x v="11"/>
    <n v="23"/>
    <n v="4"/>
    <x v="29"/>
  </r>
  <r>
    <x v="1"/>
    <x v="0"/>
    <x v="11"/>
    <n v="6966"/>
    <n v="1014"/>
    <x v="25"/>
  </r>
  <r>
    <x v="1"/>
    <x v="0"/>
    <x v="51"/>
    <n v="6"/>
    <n v="6"/>
    <x v="10"/>
  </r>
  <r>
    <x v="1"/>
    <x v="0"/>
    <x v="43"/>
    <n v="5580"/>
    <n v="537"/>
    <x v="20"/>
  </r>
  <r>
    <x v="1"/>
    <x v="0"/>
    <x v="24"/>
    <n v="2768"/>
    <n v="278"/>
    <x v="8"/>
  </r>
  <r>
    <x v="1"/>
    <x v="0"/>
    <x v="13"/>
    <n v="2430"/>
    <n v="304"/>
    <x v="2"/>
  </r>
  <r>
    <x v="1"/>
    <x v="1"/>
    <x v="0"/>
    <n v="0"/>
    <n v="0"/>
    <x v="9"/>
  </r>
  <r>
    <x v="1"/>
    <x v="1"/>
    <x v="0"/>
    <n v="0"/>
    <n v="0"/>
    <x v="11"/>
  </r>
  <r>
    <x v="1"/>
    <x v="1"/>
    <x v="0"/>
    <n v="0"/>
    <n v="0"/>
    <x v="1"/>
  </r>
  <r>
    <x v="1"/>
    <x v="1"/>
    <x v="38"/>
    <n v="19248"/>
    <n v="2324"/>
    <x v="4"/>
  </r>
  <r>
    <x v="1"/>
    <x v="1"/>
    <x v="41"/>
    <n v="31555"/>
    <n v="3284"/>
    <x v="4"/>
  </r>
  <r>
    <x v="1"/>
    <x v="1"/>
    <x v="7"/>
    <n v="47970"/>
    <n v="5731"/>
    <x v="4"/>
  </r>
  <r>
    <x v="1"/>
    <x v="1"/>
    <x v="30"/>
    <n v="2042"/>
    <n v="76"/>
    <x v="4"/>
  </r>
  <r>
    <x v="1"/>
    <x v="1"/>
    <x v="26"/>
    <n v="7363"/>
    <n v="828"/>
    <x v="25"/>
  </r>
  <r>
    <x v="1"/>
    <x v="1"/>
    <x v="16"/>
    <n v="8718"/>
    <n v="1053"/>
    <x v="8"/>
  </r>
  <r>
    <x v="1"/>
    <x v="1"/>
    <x v="11"/>
    <n v="94"/>
    <n v="22"/>
    <x v="23"/>
  </r>
  <r>
    <x v="1"/>
    <x v="1"/>
    <x v="2"/>
    <n v="1165"/>
    <n v="218"/>
    <x v="19"/>
  </r>
  <r>
    <x v="1"/>
    <x v="1"/>
    <x v="2"/>
    <n v="3137"/>
    <n v="457"/>
    <x v="2"/>
  </r>
  <r>
    <x v="1"/>
    <x v="1"/>
    <x v="12"/>
    <n v="45"/>
    <n v="45"/>
    <x v="10"/>
  </r>
  <r>
    <x v="1"/>
    <x v="1"/>
    <x v="43"/>
    <n v="99804"/>
    <n v="6133"/>
    <x v="10"/>
  </r>
  <r>
    <x v="1"/>
    <x v="1"/>
    <x v="44"/>
    <n v="94795"/>
    <n v="4730"/>
    <x v="10"/>
  </r>
  <r>
    <x v="1"/>
    <x v="1"/>
    <x v="13"/>
    <n v="17544"/>
    <n v="3038"/>
    <x v="13"/>
  </r>
  <r>
    <x v="1"/>
    <x v="1"/>
    <x v="32"/>
    <n v="4950"/>
    <n v="811"/>
    <x v="2"/>
  </r>
  <r>
    <x v="1"/>
    <x v="5"/>
    <x v="1"/>
    <n v="7576"/>
    <n v="816"/>
    <x v="2"/>
  </r>
  <r>
    <x v="1"/>
    <x v="5"/>
    <x v="14"/>
    <n v="28249"/>
    <n v="644"/>
    <x v="22"/>
  </r>
  <r>
    <x v="1"/>
    <x v="5"/>
    <x v="25"/>
    <n v="64277"/>
    <n v="6982"/>
    <x v="4"/>
  </r>
  <r>
    <x v="1"/>
    <x v="5"/>
    <x v="6"/>
    <n v="81"/>
    <n v="7"/>
    <x v="22"/>
  </r>
  <r>
    <x v="1"/>
    <x v="5"/>
    <x v="52"/>
    <n v="18085"/>
    <n v="2223"/>
    <x v="4"/>
  </r>
  <r>
    <x v="1"/>
    <x v="5"/>
    <x v="33"/>
    <n v="484"/>
    <n v="104"/>
    <x v="4"/>
  </r>
  <r>
    <x v="1"/>
    <x v="5"/>
    <x v="45"/>
    <n v="10411"/>
    <n v="1392"/>
    <x v="4"/>
  </r>
  <r>
    <x v="1"/>
    <x v="5"/>
    <x v="46"/>
    <n v="14354"/>
    <n v="2012"/>
    <x v="4"/>
  </r>
  <r>
    <x v="1"/>
    <x v="5"/>
    <x v="9"/>
    <n v="7006"/>
    <n v="642"/>
    <x v="12"/>
  </r>
  <r>
    <x v="1"/>
    <x v="5"/>
    <x v="9"/>
    <n v="22085"/>
    <n v="3878"/>
    <x v="2"/>
  </r>
  <r>
    <x v="1"/>
    <x v="5"/>
    <x v="34"/>
    <n v="21699"/>
    <n v="2893"/>
    <x v="4"/>
  </r>
  <r>
    <x v="1"/>
    <x v="5"/>
    <x v="40"/>
    <n v="12298"/>
    <n v="262"/>
    <x v="21"/>
  </r>
  <r>
    <x v="1"/>
    <x v="5"/>
    <x v="11"/>
    <n v="100"/>
    <n v="7"/>
    <x v="12"/>
  </r>
  <r>
    <x v="1"/>
    <x v="5"/>
    <x v="11"/>
    <n v="322"/>
    <n v="57"/>
    <x v="26"/>
  </r>
  <r>
    <x v="1"/>
    <x v="5"/>
    <x v="2"/>
    <n v="264"/>
    <n v="67"/>
    <x v="24"/>
  </r>
  <r>
    <x v="1"/>
    <x v="5"/>
    <x v="2"/>
    <n v="366"/>
    <n v="62"/>
    <x v="12"/>
  </r>
  <r>
    <x v="1"/>
    <x v="5"/>
    <x v="2"/>
    <n v="66"/>
    <n v="11"/>
    <x v="15"/>
  </r>
  <r>
    <x v="1"/>
    <x v="5"/>
    <x v="53"/>
    <n v="85156"/>
    <n v="4663"/>
    <x v="10"/>
  </r>
  <r>
    <x v="1"/>
    <x v="5"/>
    <x v="47"/>
    <n v="86746"/>
    <n v="4868"/>
    <x v="10"/>
  </r>
  <r>
    <x v="1"/>
    <x v="8"/>
    <x v="0"/>
    <n v="0"/>
    <n v="0"/>
    <x v="6"/>
  </r>
  <r>
    <x v="1"/>
    <x v="8"/>
    <x v="0"/>
    <n v="0"/>
    <n v="0"/>
    <x v="17"/>
  </r>
  <r>
    <x v="1"/>
    <x v="8"/>
    <x v="0"/>
    <n v="0"/>
    <n v="0"/>
    <x v="3"/>
  </r>
  <r>
    <x v="1"/>
    <x v="8"/>
    <x v="0"/>
    <n v="0"/>
    <n v="0"/>
    <x v="0"/>
  </r>
  <r>
    <x v="1"/>
    <x v="8"/>
    <x v="1"/>
    <n v="10835"/>
    <n v="1870"/>
    <x v="3"/>
  </r>
  <r>
    <x v="1"/>
    <x v="8"/>
    <x v="1"/>
    <n v="12552"/>
    <n v="1692"/>
    <x v="0"/>
  </r>
  <r>
    <x v="1"/>
    <x v="8"/>
    <x v="3"/>
    <n v="21912"/>
    <n v="2775"/>
    <x v="9"/>
  </r>
  <r>
    <x v="1"/>
    <x v="8"/>
    <x v="3"/>
    <n v="158"/>
    <n v="33"/>
    <x v="1"/>
  </r>
  <r>
    <x v="1"/>
    <x v="8"/>
    <x v="48"/>
    <n v="29850"/>
    <n v="1379"/>
    <x v="4"/>
  </r>
  <r>
    <x v="1"/>
    <x v="8"/>
    <x v="49"/>
    <n v="16569"/>
    <n v="4351"/>
    <x v="4"/>
  </r>
  <r>
    <x v="1"/>
    <x v="8"/>
    <x v="50"/>
    <n v="17088"/>
    <n v="430"/>
    <x v="27"/>
  </r>
  <r>
    <x v="1"/>
    <x v="8"/>
    <x v="21"/>
    <n v="10490"/>
    <n v="955"/>
    <x v="4"/>
  </r>
  <r>
    <x v="1"/>
    <x v="8"/>
    <x v="27"/>
    <n v="6431"/>
    <n v="581"/>
    <x v="19"/>
  </r>
  <r>
    <x v="1"/>
    <x v="8"/>
    <x v="23"/>
    <n v="81"/>
    <n v="47"/>
    <x v="24"/>
  </r>
  <r>
    <x v="1"/>
    <x v="8"/>
    <x v="11"/>
    <n v="32"/>
    <n v="5"/>
    <x v="29"/>
  </r>
  <r>
    <x v="1"/>
    <x v="8"/>
    <x v="2"/>
    <n v="1"/>
    <n v="1"/>
    <x v="18"/>
  </r>
  <r>
    <x v="1"/>
    <x v="8"/>
    <x v="51"/>
    <n v="7"/>
    <n v="7"/>
    <x v="10"/>
  </r>
  <r>
    <x v="1"/>
    <x v="8"/>
    <x v="54"/>
    <n v="89238"/>
    <n v="3937"/>
    <x v="10"/>
  </r>
  <r>
    <x v="1"/>
    <x v="8"/>
    <x v="24"/>
    <n v="2957"/>
    <n v="223"/>
    <x v="8"/>
  </r>
  <r>
    <x v="1"/>
    <x v="8"/>
    <x v="24"/>
    <n v="4774"/>
    <n v="691"/>
    <x v="16"/>
  </r>
  <r>
    <x v="1"/>
    <x v="8"/>
    <x v="13"/>
    <n v="2139"/>
    <n v="222"/>
    <x v="2"/>
  </r>
  <r>
    <x v="1"/>
    <x v="9"/>
    <x v="0"/>
    <n v="0"/>
    <n v="0"/>
    <x v="21"/>
  </r>
  <r>
    <x v="1"/>
    <x v="9"/>
    <x v="0"/>
    <n v="0"/>
    <n v="0"/>
    <x v="11"/>
  </r>
  <r>
    <x v="1"/>
    <x v="9"/>
    <x v="0"/>
    <n v="0"/>
    <n v="0"/>
    <x v="1"/>
  </r>
  <r>
    <x v="1"/>
    <x v="9"/>
    <x v="19"/>
    <n v="3042"/>
    <n v="106"/>
    <x v="22"/>
  </r>
  <r>
    <x v="1"/>
    <x v="9"/>
    <x v="55"/>
    <n v="10960"/>
    <n v="710"/>
    <x v="4"/>
  </r>
  <r>
    <x v="1"/>
    <x v="9"/>
    <x v="38"/>
    <n v="15586"/>
    <n v="1425"/>
    <x v="4"/>
  </r>
  <r>
    <x v="1"/>
    <x v="9"/>
    <x v="7"/>
    <n v="47058"/>
    <n v="4405"/>
    <x v="4"/>
  </r>
  <r>
    <x v="1"/>
    <x v="9"/>
    <x v="26"/>
    <n v="9624"/>
    <n v="1116"/>
    <x v="25"/>
  </r>
  <r>
    <x v="1"/>
    <x v="9"/>
    <x v="16"/>
    <n v="8318"/>
    <n v="1044"/>
    <x v="8"/>
  </r>
  <r>
    <x v="1"/>
    <x v="9"/>
    <x v="16"/>
    <n v="2324"/>
    <n v="310"/>
    <x v="16"/>
  </r>
  <r>
    <x v="1"/>
    <x v="9"/>
    <x v="11"/>
    <n v="137"/>
    <n v="26"/>
    <x v="23"/>
  </r>
  <r>
    <x v="1"/>
    <x v="9"/>
    <x v="2"/>
    <n v="1159"/>
    <n v="191"/>
    <x v="19"/>
  </r>
  <r>
    <x v="1"/>
    <x v="9"/>
    <x v="2"/>
    <n v="5399"/>
    <n v="991"/>
    <x v="9"/>
  </r>
  <r>
    <x v="1"/>
    <x v="9"/>
    <x v="12"/>
    <n v="35"/>
    <n v="35"/>
    <x v="10"/>
  </r>
  <r>
    <x v="1"/>
    <x v="9"/>
    <x v="43"/>
    <n v="108586"/>
    <n v="5716"/>
    <x v="10"/>
  </r>
  <r>
    <x v="1"/>
    <x v="9"/>
    <x v="44"/>
    <n v="87299"/>
    <n v="3889"/>
    <x v="10"/>
  </r>
  <r>
    <x v="1"/>
    <x v="9"/>
    <x v="13"/>
    <n v="14607"/>
    <n v="2516"/>
    <x v="13"/>
  </r>
  <r>
    <x v="1"/>
    <x v="3"/>
    <x v="14"/>
    <n v="22105"/>
    <n v="560"/>
    <x v="22"/>
  </r>
  <r>
    <x v="1"/>
    <x v="3"/>
    <x v="25"/>
    <n v="52063"/>
    <n v="5516"/>
    <x v="4"/>
  </r>
  <r>
    <x v="1"/>
    <x v="3"/>
    <x v="6"/>
    <n v="98"/>
    <n v="11"/>
    <x v="22"/>
  </r>
  <r>
    <x v="1"/>
    <x v="3"/>
    <x v="56"/>
    <n v="112"/>
    <n v="19"/>
    <x v="4"/>
  </r>
  <r>
    <x v="1"/>
    <x v="3"/>
    <x v="52"/>
    <n v="16454"/>
    <n v="2023"/>
    <x v="4"/>
  </r>
  <r>
    <x v="1"/>
    <x v="3"/>
    <x v="42"/>
    <n v="16159"/>
    <n v="1484"/>
    <x v="22"/>
  </r>
  <r>
    <x v="1"/>
    <x v="3"/>
    <x v="57"/>
    <n v="70555"/>
    <n v="9391"/>
    <x v="4"/>
  </r>
  <r>
    <x v="1"/>
    <x v="3"/>
    <x v="46"/>
    <n v="9601"/>
    <n v="1085"/>
    <x v="4"/>
  </r>
  <r>
    <x v="1"/>
    <x v="3"/>
    <x v="9"/>
    <n v="3718"/>
    <n v="208"/>
    <x v="12"/>
  </r>
  <r>
    <x v="1"/>
    <x v="3"/>
    <x v="40"/>
    <n v="11463"/>
    <n v="206"/>
    <x v="21"/>
  </r>
  <r>
    <x v="1"/>
    <x v="3"/>
    <x v="2"/>
    <n v="240"/>
    <n v="48"/>
    <x v="24"/>
  </r>
  <r>
    <x v="1"/>
    <x v="3"/>
    <x v="2"/>
    <n v="314"/>
    <n v="65"/>
    <x v="12"/>
  </r>
  <r>
    <x v="1"/>
    <x v="3"/>
    <x v="2"/>
    <n v="53"/>
    <n v="6"/>
    <x v="15"/>
  </r>
  <r>
    <x v="1"/>
    <x v="3"/>
    <x v="53"/>
    <n v="73574"/>
    <n v="3435"/>
    <x v="10"/>
  </r>
  <r>
    <x v="1"/>
    <x v="3"/>
    <x v="47"/>
    <n v="95212"/>
    <n v="4383"/>
    <x v="10"/>
  </r>
  <r>
    <x v="1"/>
    <x v="2"/>
    <x v="0"/>
    <n v="0"/>
    <n v="0"/>
    <x v="6"/>
  </r>
  <r>
    <x v="1"/>
    <x v="2"/>
    <x v="0"/>
    <n v="0"/>
    <n v="0"/>
    <x v="17"/>
  </r>
  <r>
    <x v="1"/>
    <x v="2"/>
    <x v="0"/>
    <n v="0"/>
    <n v="0"/>
    <x v="3"/>
  </r>
  <r>
    <x v="1"/>
    <x v="2"/>
    <x v="1"/>
    <n v="11788"/>
    <n v="1878"/>
    <x v="3"/>
  </r>
  <r>
    <x v="1"/>
    <x v="2"/>
    <x v="1"/>
    <n v="11899"/>
    <n v="1359"/>
    <x v="0"/>
  </r>
  <r>
    <x v="1"/>
    <x v="2"/>
    <x v="3"/>
    <n v="24475"/>
    <n v="3159"/>
    <x v="9"/>
  </r>
  <r>
    <x v="1"/>
    <x v="2"/>
    <x v="3"/>
    <n v="101"/>
    <n v="23"/>
    <x v="1"/>
  </r>
  <r>
    <x v="1"/>
    <x v="2"/>
    <x v="48"/>
    <n v="22304"/>
    <n v="855"/>
    <x v="4"/>
  </r>
  <r>
    <x v="1"/>
    <x v="2"/>
    <x v="49"/>
    <n v="14375"/>
    <n v="3996"/>
    <x v="4"/>
  </r>
  <r>
    <x v="1"/>
    <x v="2"/>
    <x v="50"/>
    <n v="28105"/>
    <n v="945"/>
    <x v="27"/>
  </r>
  <r>
    <x v="1"/>
    <x v="2"/>
    <x v="58"/>
    <n v="51392"/>
    <n v="6422"/>
    <x v="4"/>
  </r>
  <r>
    <x v="1"/>
    <x v="2"/>
    <x v="21"/>
    <n v="11892"/>
    <n v="1083"/>
    <x v="4"/>
  </r>
  <r>
    <x v="1"/>
    <x v="2"/>
    <x v="27"/>
    <n v="4602"/>
    <n v="434"/>
    <x v="19"/>
  </r>
  <r>
    <x v="1"/>
    <x v="2"/>
    <x v="23"/>
    <n v="238"/>
    <n v="81"/>
    <x v="2"/>
  </r>
  <r>
    <x v="1"/>
    <x v="2"/>
    <x v="2"/>
    <n v="133"/>
    <n v="31"/>
    <x v="0"/>
  </r>
  <r>
    <x v="1"/>
    <x v="2"/>
    <x v="54"/>
    <n v="85395"/>
    <n v="3300"/>
    <x v="10"/>
  </r>
  <r>
    <x v="1"/>
    <x v="2"/>
    <x v="24"/>
    <n v="2780"/>
    <n v="265"/>
    <x v="8"/>
  </r>
  <r>
    <x v="1"/>
    <x v="2"/>
    <x v="24"/>
    <n v="3646"/>
    <n v="511"/>
    <x v="16"/>
  </r>
  <r>
    <x v="1"/>
    <x v="4"/>
    <x v="0"/>
    <n v="0"/>
    <n v="0"/>
    <x v="21"/>
  </r>
  <r>
    <x v="1"/>
    <x v="4"/>
    <x v="0"/>
    <n v="0"/>
    <n v="0"/>
    <x v="1"/>
  </r>
  <r>
    <x v="1"/>
    <x v="4"/>
    <x v="19"/>
    <n v="1200"/>
    <n v="35"/>
    <x v="22"/>
  </r>
  <r>
    <x v="1"/>
    <x v="4"/>
    <x v="55"/>
    <n v="5951"/>
    <n v="412"/>
    <x v="4"/>
  </r>
  <r>
    <x v="1"/>
    <x v="4"/>
    <x v="7"/>
    <n v="45776"/>
    <n v="4210"/>
    <x v="4"/>
  </r>
  <r>
    <x v="1"/>
    <x v="4"/>
    <x v="26"/>
    <n v="5835"/>
    <n v="872"/>
    <x v="25"/>
  </r>
  <r>
    <x v="1"/>
    <x v="4"/>
    <x v="9"/>
    <n v="197"/>
    <n v="11"/>
    <x v="5"/>
  </r>
  <r>
    <x v="1"/>
    <x v="4"/>
    <x v="16"/>
    <n v="8470"/>
    <n v="1153"/>
    <x v="8"/>
  </r>
  <r>
    <x v="1"/>
    <x v="4"/>
    <x v="16"/>
    <n v="2727"/>
    <n v="384"/>
    <x v="16"/>
  </r>
  <r>
    <x v="1"/>
    <x v="4"/>
    <x v="2"/>
    <n v="987"/>
    <n v="202"/>
    <x v="19"/>
  </r>
  <r>
    <x v="1"/>
    <x v="4"/>
    <x v="2"/>
    <n v="1"/>
    <n v="0"/>
    <x v="5"/>
  </r>
  <r>
    <x v="1"/>
    <x v="4"/>
    <x v="2"/>
    <n v="3556"/>
    <n v="698"/>
    <x v="9"/>
  </r>
  <r>
    <x v="1"/>
    <x v="4"/>
    <x v="2"/>
    <n v="78"/>
    <n v="6"/>
    <x v="11"/>
  </r>
  <r>
    <x v="1"/>
    <x v="4"/>
    <x v="12"/>
    <n v="8"/>
    <n v="8"/>
    <x v="10"/>
  </r>
  <r>
    <x v="1"/>
    <x v="10"/>
    <x v="14"/>
    <n v="818"/>
    <n v="13"/>
    <x v="22"/>
  </r>
  <r>
    <x v="1"/>
    <x v="10"/>
    <x v="15"/>
    <n v="59625"/>
    <n v="3490"/>
    <x v="4"/>
  </r>
  <r>
    <x v="1"/>
    <x v="10"/>
    <x v="25"/>
    <n v="48775"/>
    <n v="4734"/>
    <x v="4"/>
  </r>
  <r>
    <x v="1"/>
    <x v="10"/>
    <x v="59"/>
    <n v="1602"/>
    <n v="87"/>
    <x v="4"/>
  </r>
  <r>
    <x v="1"/>
    <x v="10"/>
    <x v="56"/>
    <n v="167"/>
    <n v="31"/>
    <x v="4"/>
  </r>
  <r>
    <x v="1"/>
    <x v="10"/>
    <x v="52"/>
    <n v="1943"/>
    <n v="133"/>
    <x v="4"/>
  </r>
  <r>
    <x v="1"/>
    <x v="10"/>
    <x v="42"/>
    <n v="172"/>
    <n v="11"/>
    <x v="22"/>
  </r>
  <r>
    <x v="1"/>
    <x v="10"/>
    <x v="57"/>
    <n v="61232"/>
    <n v="7808"/>
    <x v="4"/>
  </r>
  <r>
    <x v="1"/>
    <x v="10"/>
    <x v="2"/>
    <n v="166"/>
    <n v="32"/>
    <x v="24"/>
  </r>
  <r>
    <x v="1"/>
    <x v="10"/>
    <x v="2"/>
    <n v="40"/>
    <n v="13"/>
    <x v="15"/>
  </r>
  <r>
    <x v="1"/>
    <x v="10"/>
    <x v="17"/>
    <n v="2837"/>
    <n v="446"/>
    <x v="8"/>
  </r>
  <r>
    <x v="1"/>
    <x v="10"/>
    <x v="53"/>
    <n v="66634"/>
    <n v="2557"/>
    <x v="10"/>
  </r>
  <r>
    <x v="1"/>
    <x v="10"/>
    <x v="47"/>
    <n v="85482"/>
    <n v="3358"/>
    <x v="10"/>
  </r>
  <r>
    <x v="1"/>
    <x v="11"/>
    <x v="0"/>
    <n v="0"/>
    <n v="0"/>
    <x v="17"/>
  </r>
  <r>
    <x v="1"/>
    <x v="11"/>
    <x v="0"/>
    <n v="0"/>
    <n v="0"/>
    <x v="3"/>
  </r>
  <r>
    <x v="1"/>
    <x v="11"/>
    <x v="1"/>
    <n v="7165"/>
    <n v="779"/>
    <x v="0"/>
  </r>
  <r>
    <x v="1"/>
    <x v="11"/>
    <x v="3"/>
    <n v="23377"/>
    <n v="2299"/>
    <x v="9"/>
  </r>
  <r>
    <x v="1"/>
    <x v="11"/>
    <x v="48"/>
    <n v="17937"/>
    <n v="469"/>
    <x v="4"/>
  </r>
  <r>
    <x v="1"/>
    <x v="11"/>
    <x v="4"/>
    <n v="6627"/>
    <n v="262"/>
    <x v="4"/>
  </r>
  <r>
    <x v="1"/>
    <x v="11"/>
    <x v="5"/>
    <n v="40900"/>
    <n v="3598"/>
    <x v="4"/>
  </r>
  <r>
    <x v="1"/>
    <x v="11"/>
    <x v="58"/>
    <n v="34691"/>
    <n v="3736"/>
    <x v="4"/>
  </r>
  <r>
    <x v="1"/>
    <x v="11"/>
    <x v="27"/>
    <n v="3445"/>
    <n v="302"/>
    <x v="19"/>
  </r>
  <r>
    <x v="1"/>
    <x v="11"/>
    <x v="11"/>
    <n v="1264"/>
    <n v="125"/>
    <x v="7"/>
  </r>
  <r>
    <x v="1"/>
    <x v="11"/>
    <x v="2"/>
    <n v="468"/>
    <n v="99"/>
    <x v="8"/>
  </r>
  <r>
    <x v="1"/>
    <x v="11"/>
    <x v="2"/>
    <n v="368"/>
    <n v="85"/>
    <x v="0"/>
  </r>
  <r>
    <x v="1"/>
    <x v="11"/>
    <x v="54"/>
    <n v="83950"/>
    <n v="2957"/>
    <x v="10"/>
  </r>
  <r>
    <x v="1"/>
    <x v="11"/>
    <x v="13"/>
    <n v="326"/>
    <n v="34"/>
    <x v="11"/>
  </r>
  <r>
    <x v="1"/>
    <x v="12"/>
    <x v="0"/>
    <n v="0"/>
    <n v="0"/>
    <x v="21"/>
  </r>
  <r>
    <x v="1"/>
    <x v="12"/>
    <x v="0"/>
    <n v="0"/>
    <n v="0"/>
    <x v="1"/>
  </r>
  <r>
    <x v="1"/>
    <x v="12"/>
    <x v="55"/>
    <n v="2585"/>
    <n v="125"/>
    <x v="4"/>
  </r>
  <r>
    <x v="1"/>
    <x v="12"/>
    <x v="15"/>
    <n v="0"/>
    <n v="0"/>
    <x v="14"/>
  </r>
  <r>
    <x v="1"/>
    <x v="12"/>
    <x v="7"/>
    <n v="4289"/>
    <n v="288"/>
    <x v="4"/>
  </r>
  <r>
    <x v="1"/>
    <x v="12"/>
    <x v="26"/>
    <n v="616"/>
    <n v="95"/>
    <x v="25"/>
  </r>
  <r>
    <x v="1"/>
    <x v="12"/>
    <x v="9"/>
    <n v="91"/>
    <n v="5"/>
    <x v="5"/>
  </r>
  <r>
    <x v="1"/>
    <x v="12"/>
    <x v="16"/>
    <n v="2835"/>
    <n v="359"/>
    <x v="8"/>
  </r>
  <r>
    <x v="1"/>
    <x v="12"/>
    <x v="2"/>
    <n v="0"/>
    <n v="0"/>
    <x v="5"/>
  </r>
  <r>
    <x v="1"/>
    <x v="12"/>
    <x v="2"/>
    <n v="559"/>
    <n v="71"/>
    <x v="9"/>
  </r>
  <r>
    <x v="1"/>
    <x v="12"/>
    <x v="2"/>
    <n v="24"/>
    <n v="2"/>
    <x v="1"/>
  </r>
  <r>
    <x v="1"/>
    <x v="12"/>
    <x v="12"/>
    <n v="7"/>
    <n v="7"/>
    <x v="10"/>
  </r>
  <r>
    <x v="1"/>
    <x v="13"/>
    <x v="14"/>
    <n v="3"/>
    <n v="0"/>
    <x v="4"/>
  </r>
  <r>
    <x v="1"/>
    <x v="13"/>
    <x v="57"/>
    <n v="8"/>
    <n v="1"/>
    <x v="4"/>
  </r>
  <r>
    <x v="1"/>
    <x v="13"/>
    <x v="17"/>
    <n v="1"/>
    <n v="0"/>
    <x v="8"/>
  </r>
  <r>
    <x v="1"/>
    <x v="6"/>
    <x v="0"/>
    <n v="0"/>
    <n v="0"/>
    <x v="19"/>
  </r>
  <r>
    <x v="1"/>
    <x v="6"/>
    <x v="55"/>
    <n v="10110"/>
    <n v="530"/>
    <x v="4"/>
  </r>
  <r>
    <x v="1"/>
    <x v="6"/>
    <x v="20"/>
    <n v="34429"/>
    <n v="1389"/>
    <x v="4"/>
  </r>
  <r>
    <x v="1"/>
    <x v="6"/>
    <x v="20"/>
    <n v="28"/>
    <n v="28"/>
    <x v="14"/>
  </r>
  <r>
    <x v="1"/>
    <x v="6"/>
    <x v="26"/>
    <n v="4868"/>
    <n v="670"/>
    <x v="25"/>
  </r>
  <r>
    <x v="1"/>
    <x v="6"/>
    <x v="9"/>
    <n v="4256"/>
    <n v="294"/>
    <x v="12"/>
  </r>
  <r>
    <x v="1"/>
    <x v="6"/>
    <x v="9"/>
    <n v="18305"/>
    <n v="3023"/>
    <x v="2"/>
  </r>
  <r>
    <x v="1"/>
    <x v="6"/>
    <x v="11"/>
    <n v="5077"/>
    <n v="808"/>
    <x v="25"/>
  </r>
  <r>
    <x v="1"/>
    <x v="6"/>
    <x v="2"/>
    <n v="249"/>
    <n v="53"/>
    <x v="24"/>
  </r>
  <r>
    <x v="1"/>
    <x v="6"/>
    <x v="2"/>
    <n v="226"/>
    <n v="77"/>
    <x v="17"/>
  </r>
  <r>
    <x v="1"/>
    <x v="6"/>
    <x v="2"/>
    <n v="417"/>
    <n v="79"/>
    <x v="3"/>
  </r>
  <r>
    <x v="1"/>
    <x v="6"/>
    <x v="29"/>
    <n v="104262"/>
    <n v="7063"/>
    <x v="10"/>
  </r>
  <r>
    <x v="1"/>
    <x v="7"/>
    <x v="0"/>
    <n v="0"/>
    <n v="0"/>
    <x v="6"/>
  </r>
  <r>
    <x v="1"/>
    <x v="7"/>
    <x v="0"/>
    <n v="0"/>
    <n v="0"/>
    <x v="11"/>
  </r>
  <r>
    <x v="1"/>
    <x v="7"/>
    <x v="37"/>
    <n v="5705"/>
    <n v="241"/>
    <x v="28"/>
  </r>
  <r>
    <x v="1"/>
    <x v="7"/>
    <x v="1"/>
    <n v="9407"/>
    <n v="1559"/>
    <x v="0"/>
  </r>
  <r>
    <x v="1"/>
    <x v="7"/>
    <x v="49"/>
    <n v="18160"/>
    <n v="4684"/>
    <x v="4"/>
  </r>
  <r>
    <x v="1"/>
    <x v="7"/>
    <x v="25"/>
    <n v="43065"/>
    <n v="4991"/>
    <x v="4"/>
  </r>
  <r>
    <x v="1"/>
    <x v="7"/>
    <x v="25"/>
    <n v="799"/>
    <n v="156"/>
    <x v="22"/>
  </r>
  <r>
    <x v="1"/>
    <x v="7"/>
    <x v="59"/>
    <n v="3103"/>
    <n v="286"/>
    <x v="4"/>
  </r>
  <r>
    <x v="1"/>
    <x v="7"/>
    <x v="56"/>
    <n v="287"/>
    <n v="80"/>
    <x v="4"/>
  </r>
  <r>
    <x v="1"/>
    <x v="7"/>
    <x v="52"/>
    <n v="21580"/>
    <n v="2884"/>
    <x v="4"/>
  </r>
  <r>
    <x v="1"/>
    <x v="7"/>
    <x v="11"/>
    <n v="127"/>
    <n v="24"/>
    <x v="23"/>
  </r>
  <r>
    <x v="1"/>
    <x v="7"/>
    <x v="2"/>
    <n v="4185"/>
    <n v="727"/>
    <x v="2"/>
  </r>
  <r>
    <x v="1"/>
    <x v="7"/>
    <x v="31"/>
    <n v="66432"/>
    <n v="3107"/>
    <x v="10"/>
  </r>
  <r>
    <x v="1"/>
    <x v="7"/>
    <x v="43"/>
    <n v="4219"/>
    <n v="382"/>
    <x v="20"/>
  </r>
  <r>
    <x v="1"/>
    <x v="7"/>
    <x v="24"/>
    <n v="2544"/>
    <n v="350"/>
    <x v="8"/>
  </r>
  <r>
    <x v="1"/>
    <x v="0"/>
    <x v="0"/>
    <n v="0"/>
    <n v="0"/>
    <x v="12"/>
  </r>
  <r>
    <x v="1"/>
    <x v="0"/>
    <x v="1"/>
    <n v="2486"/>
    <n v="565"/>
    <x v="1"/>
  </r>
  <r>
    <x v="1"/>
    <x v="0"/>
    <x v="4"/>
    <n v="14803"/>
    <n v="779"/>
    <x v="4"/>
  </r>
  <r>
    <x v="1"/>
    <x v="0"/>
    <x v="41"/>
    <n v="28021"/>
    <n v="2671"/>
    <x v="4"/>
  </r>
  <r>
    <x v="1"/>
    <x v="0"/>
    <x v="26"/>
    <n v="3764"/>
    <n v="463"/>
    <x v="15"/>
  </r>
  <r>
    <x v="1"/>
    <x v="0"/>
    <x v="34"/>
    <n v="23790"/>
    <n v="2564"/>
    <x v="4"/>
  </r>
  <r>
    <x v="1"/>
    <x v="0"/>
    <x v="60"/>
    <n v="550"/>
    <n v="168"/>
    <x v="21"/>
  </r>
  <r>
    <x v="1"/>
    <x v="0"/>
    <x v="40"/>
    <n v="474"/>
    <n v="19"/>
    <x v="21"/>
  </r>
  <r>
    <x v="1"/>
    <x v="0"/>
    <x v="11"/>
    <n v="705"/>
    <n v="58"/>
    <x v="6"/>
  </r>
  <r>
    <x v="1"/>
    <x v="0"/>
    <x v="11"/>
    <n v="119"/>
    <n v="23"/>
    <x v="26"/>
  </r>
  <r>
    <x v="1"/>
    <x v="0"/>
    <x v="2"/>
    <n v="666"/>
    <n v="127"/>
    <x v="8"/>
  </r>
  <r>
    <x v="1"/>
    <x v="0"/>
    <x v="2"/>
    <n v="421"/>
    <n v="79"/>
    <x v="12"/>
  </r>
  <r>
    <x v="1"/>
    <x v="0"/>
    <x v="2"/>
    <n v="206"/>
    <n v="42"/>
    <x v="0"/>
  </r>
  <r>
    <x v="1"/>
    <x v="0"/>
    <x v="17"/>
    <n v="12375"/>
    <n v="1388"/>
    <x v="16"/>
  </r>
  <r>
    <x v="1"/>
    <x v="0"/>
    <x v="12"/>
    <n v="43"/>
    <n v="43"/>
    <x v="10"/>
  </r>
  <r>
    <x v="1"/>
    <x v="0"/>
    <x v="18"/>
    <n v="18972"/>
    <n v="636"/>
    <x v="10"/>
  </r>
  <r>
    <x v="1"/>
    <x v="0"/>
    <x v="54"/>
    <n v="83518"/>
    <n v="3794"/>
    <x v="10"/>
  </r>
  <r>
    <x v="1"/>
    <x v="0"/>
    <x v="13"/>
    <n v="987"/>
    <n v="206"/>
    <x v="11"/>
  </r>
  <r>
    <x v="1"/>
    <x v="1"/>
    <x v="0"/>
    <n v="0"/>
    <n v="0"/>
    <x v="19"/>
  </r>
  <r>
    <x v="1"/>
    <x v="1"/>
    <x v="0"/>
    <n v="0"/>
    <n v="0"/>
    <x v="13"/>
  </r>
  <r>
    <x v="1"/>
    <x v="1"/>
    <x v="55"/>
    <n v="11450"/>
    <n v="766"/>
    <x v="4"/>
  </r>
  <r>
    <x v="1"/>
    <x v="1"/>
    <x v="20"/>
    <n v="32899"/>
    <n v="1407"/>
    <x v="4"/>
  </r>
  <r>
    <x v="1"/>
    <x v="1"/>
    <x v="20"/>
    <n v="26"/>
    <n v="26"/>
    <x v="14"/>
  </r>
  <r>
    <x v="1"/>
    <x v="1"/>
    <x v="9"/>
    <n v="5150"/>
    <n v="290"/>
    <x v="12"/>
  </r>
  <r>
    <x v="1"/>
    <x v="1"/>
    <x v="16"/>
    <n v="2336"/>
    <n v="349"/>
    <x v="16"/>
  </r>
  <r>
    <x v="1"/>
    <x v="1"/>
    <x v="11"/>
    <n v="6787"/>
    <n v="1160"/>
    <x v="25"/>
  </r>
  <r>
    <x v="1"/>
    <x v="1"/>
    <x v="2"/>
    <n v="408"/>
    <n v="95"/>
    <x v="24"/>
  </r>
  <r>
    <x v="1"/>
    <x v="1"/>
    <x v="2"/>
    <n v="14564"/>
    <n v="1138"/>
    <x v="17"/>
  </r>
  <r>
    <x v="1"/>
    <x v="1"/>
    <x v="2"/>
    <n v="385"/>
    <n v="86"/>
    <x v="3"/>
  </r>
  <r>
    <x v="1"/>
    <x v="1"/>
    <x v="29"/>
    <n v="110314"/>
    <n v="7106"/>
    <x v="10"/>
  </r>
  <r>
    <x v="1"/>
    <x v="1"/>
    <x v="36"/>
    <n v="729"/>
    <n v="165"/>
    <x v="16"/>
  </r>
  <r>
    <x v="1"/>
    <x v="5"/>
    <x v="0"/>
    <n v="9"/>
    <n v="9"/>
    <x v="4"/>
  </r>
  <r>
    <x v="1"/>
    <x v="5"/>
    <x v="0"/>
    <n v="0"/>
    <n v="0"/>
    <x v="6"/>
  </r>
  <r>
    <x v="1"/>
    <x v="5"/>
    <x v="0"/>
    <n v="0"/>
    <n v="0"/>
    <x v="11"/>
  </r>
  <r>
    <x v="1"/>
    <x v="5"/>
    <x v="37"/>
    <n v="3717"/>
    <n v="181"/>
    <x v="28"/>
  </r>
  <r>
    <x v="1"/>
    <x v="5"/>
    <x v="1"/>
    <n v="11235"/>
    <n v="1634"/>
    <x v="0"/>
  </r>
  <r>
    <x v="1"/>
    <x v="5"/>
    <x v="49"/>
    <n v="15148"/>
    <n v="3950"/>
    <x v="4"/>
  </r>
  <r>
    <x v="1"/>
    <x v="5"/>
    <x v="59"/>
    <n v="2811"/>
    <n v="202"/>
    <x v="4"/>
  </r>
  <r>
    <x v="1"/>
    <x v="5"/>
    <x v="56"/>
    <n v="208"/>
    <n v="44"/>
    <x v="4"/>
  </r>
  <r>
    <x v="1"/>
    <x v="5"/>
    <x v="11"/>
    <n v="107"/>
    <n v="21"/>
    <x v="23"/>
  </r>
  <r>
    <x v="1"/>
    <x v="5"/>
    <x v="2"/>
    <n v="3177"/>
    <n v="645"/>
    <x v="2"/>
  </r>
  <r>
    <x v="1"/>
    <x v="5"/>
    <x v="31"/>
    <n v="71689"/>
    <n v="3350"/>
    <x v="10"/>
  </r>
  <r>
    <x v="1"/>
    <x v="5"/>
    <x v="43"/>
    <n v="1911"/>
    <n v="224"/>
    <x v="20"/>
  </r>
  <r>
    <x v="1"/>
    <x v="5"/>
    <x v="24"/>
    <n v="2430"/>
    <n v="257"/>
    <x v="8"/>
  </r>
  <r>
    <x v="1"/>
    <x v="5"/>
    <x v="13"/>
    <n v="13209"/>
    <n v="2338"/>
    <x v="13"/>
  </r>
  <r>
    <x v="1"/>
    <x v="8"/>
    <x v="1"/>
    <n v="2916"/>
    <n v="488"/>
    <x v="1"/>
  </r>
  <r>
    <x v="1"/>
    <x v="8"/>
    <x v="3"/>
    <n v="12402"/>
    <n v="2039"/>
    <x v="3"/>
  </r>
  <r>
    <x v="1"/>
    <x v="8"/>
    <x v="4"/>
    <n v="15303"/>
    <n v="673"/>
    <x v="4"/>
  </r>
  <r>
    <x v="1"/>
    <x v="8"/>
    <x v="26"/>
    <n v="4074"/>
    <n v="460"/>
    <x v="15"/>
  </r>
  <r>
    <x v="1"/>
    <x v="8"/>
    <x v="9"/>
    <n v="405"/>
    <n v="40"/>
    <x v="5"/>
  </r>
  <r>
    <x v="1"/>
    <x v="8"/>
    <x v="16"/>
    <n v="16884"/>
    <n v="1737"/>
    <x v="24"/>
  </r>
  <r>
    <x v="1"/>
    <x v="8"/>
    <x v="34"/>
    <n v="21832"/>
    <n v="2793"/>
    <x v="4"/>
  </r>
  <r>
    <x v="1"/>
    <x v="8"/>
    <x v="40"/>
    <n v="17526"/>
    <n v="149"/>
    <x v="21"/>
  </r>
  <r>
    <x v="1"/>
    <x v="8"/>
    <x v="10"/>
    <n v="19812"/>
    <n v="413"/>
    <x v="6"/>
  </r>
  <r>
    <x v="1"/>
    <x v="8"/>
    <x v="11"/>
    <n v="411"/>
    <n v="65"/>
    <x v="26"/>
  </r>
  <r>
    <x v="1"/>
    <x v="8"/>
    <x v="2"/>
    <n v="829"/>
    <n v="187"/>
    <x v="8"/>
  </r>
  <r>
    <x v="1"/>
    <x v="8"/>
    <x v="2"/>
    <n v="675"/>
    <n v="102"/>
    <x v="12"/>
  </r>
  <r>
    <x v="1"/>
    <x v="8"/>
    <x v="2"/>
    <n v="345"/>
    <n v="84"/>
    <x v="0"/>
  </r>
  <r>
    <x v="1"/>
    <x v="8"/>
    <x v="12"/>
    <n v="29"/>
    <n v="29"/>
    <x v="10"/>
  </r>
  <r>
    <x v="1"/>
    <x v="8"/>
    <x v="13"/>
    <n v="1008"/>
    <n v="214"/>
    <x v="11"/>
  </r>
  <r>
    <x v="1"/>
    <x v="9"/>
    <x v="0"/>
    <n v="0"/>
    <n v="0"/>
    <x v="19"/>
  </r>
  <r>
    <x v="1"/>
    <x v="9"/>
    <x v="0"/>
    <n v="0"/>
    <n v="0"/>
    <x v="9"/>
  </r>
  <r>
    <x v="1"/>
    <x v="9"/>
    <x v="0"/>
    <n v="0"/>
    <n v="0"/>
    <x v="13"/>
  </r>
  <r>
    <x v="1"/>
    <x v="9"/>
    <x v="20"/>
    <n v="38208"/>
    <n v="1621"/>
    <x v="4"/>
  </r>
  <r>
    <x v="1"/>
    <x v="9"/>
    <x v="16"/>
    <n v="6139"/>
    <n v="720"/>
    <x v="2"/>
  </r>
  <r>
    <x v="1"/>
    <x v="9"/>
    <x v="11"/>
    <n v="7138"/>
    <n v="1084"/>
    <x v="25"/>
  </r>
  <r>
    <x v="1"/>
    <x v="9"/>
    <x v="2"/>
    <n v="258"/>
    <n v="49"/>
    <x v="24"/>
  </r>
  <r>
    <x v="1"/>
    <x v="9"/>
    <x v="2"/>
    <n v="11296"/>
    <n v="1357"/>
    <x v="17"/>
  </r>
  <r>
    <x v="1"/>
    <x v="9"/>
    <x v="17"/>
    <n v="10979"/>
    <n v="1478"/>
    <x v="8"/>
  </r>
  <r>
    <x v="1"/>
    <x v="9"/>
    <x v="29"/>
    <n v="110821"/>
    <n v="6156"/>
    <x v="10"/>
  </r>
  <r>
    <x v="1"/>
    <x v="9"/>
    <x v="36"/>
    <n v="781"/>
    <n v="155"/>
    <x v="16"/>
  </r>
  <r>
    <x v="1"/>
    <x v="3"/>
    <x v="0"/>
    <n v="3"/>
    <n v="3"/>
    <x v="4"/>
  </r>
  <r>
    <x v="1"/>
    <x v="3"/>
    <x v="0"/>
    <n v="0"/>
    <n v="0"/>
    <x v="11"/>
  </r>
  <r>
    <x v="1"/>
    <x v="3"/>
    <x v="0"/>
    <n v="0"/>
    <n v="0"/>
    <x v="1"/>
  </r>
  <r>
    <x v="1"/>
    <x v="3"/>
    <x v="0"/>
    <n v="1"/>
    <n v="0"/>
    <x v="18"/>
  </r>
  <r>
    <x v="1"/>
    <x v="3"/>
    <x v="37"/>
    <n v="5567"/>
    <n v="160"/>
    <x v="28"/>
  </r>
  <r>
    <x v="1"/>
    <x v="3"/>
    <x v="1"/>
    <n v="6999"/>
    <n v="559"/>
    <x v="2"/>
  </r>
  <r>
    <x v="1"/>
    <x v="3"/>
    <x v="1"/>
    <n v="11524"/>
    <n v="1200"/>
    <x v="0"/>
  </r>
  <r>
    <x v="1"/>
    <x v="3"/>
    <x v="19"/>
    <n v="6664"/>
    <n v="319"/>
    <x v="4"/>
  </r>
  <r>
    <x v="1"/>
    <x v="3"/>
    <x v="59"/>
    <n v="2879"/>
    <n v="168"/>
    <x v="4"/>
  </r>
  <r>
    <x v="1"/>
    <x v="3"/>
    <x v="45"/>
    <n v="12237"/>
    <n v="1337"/>
    <x v="4"/>
  </r>
  <r>
    <x v="1"/>
    <x v="3"/>
    <x v="16"/>
    <n v="8391"/>
    <n v="1019"/>
    <x v="8"/>
  </r>
  <r>
    <x v="1"/>
    <x v="3"/>
    <x v="22"/>
    <n v="8918"/>
    <n v="1587"/>
    <x v="12"/>
  </r>
  <r>
    <x v="1"/>
    <x v="3"/>
    <x v="23"/>
    <n v="259"/>
    <n v="66"/>
    <x v="2"/>
  </r>
  <r>
    <x v="1"/>
    <x v="3"/>
    <x v="11"/>
    <n v="96"/>
    <n v="21"/>
    <x v="23"/>
  </r>
  <r>
    <x v="1"/>
    <x v="3"/>
    <x v="11"/>
    <n v="67"/>
    <n v="6"/>
    <x v="12"/>
  </r>
  <r>
    <x v="1"/>
    <x v="3"/>
    <x v="2"/>
    <n v="4416"/>
    <n v="705"/>
    <x v="2"/>
  </r>
  <r>
    <x v="1"/>
    <x v="3"/>
    <x v="24"/>
    <n v="3767"/>
    <n v="439"/>
    <x v="8"/>
  </r>
  <r>
    <x v="1"/>
    <x v="3"/>
    <x v="13"/>
    <n v="12561"/>
    <n v="1964"/>
    <x v="13"/>
  </r>
  <r>
    <x v="1"/>
    <x v="2"/>
    <x v="3"/>
    <n v="14339"/>
    <n v="2123"/>
    <x v="3"/>
  </r>
  <r>
    <x v="1"/>
    <x v="2"/>
    <x v="4"/>
    <n v="8909"/>
    <n v="367"/>
    <x v="4"/>
  </r>
  <r>
    <x v="1"/>
    <x v="2"/>
    <x v="8"/>
    <n v="428"/>
    <n v="94"/>
    <x v="4"/>
  </r>
  <r>
    <x v="1"/>
    <x v="2"/>
    <x v="9"/>
    <n v="379"/>
    <n v="44"/>
    <x v="5"/>
  </r>
  <r>
    <x v="1"/>
    <x v="2"/>
    <x v="16"/>
    <n v="8652"/>
    <n v="814"/>
    <x v="24"/>
  </r>
  <r>
    <x v="1"/>
    <x v="2"/>
    <x v="34"/>
    <n v="15448"/>
    <n v="1985"/>
    <x v="4"/>
  </r>
  <r>
    <x v="1"/>
    <x v="2"/>
    <x v="40"/>
    <n v="15519"/>
    <n v="216"/>
    <x v="21"/>
  </r>
  <r>
    <x v="1"/>
    <x v="2"/>
    <x v="10"/>
    <n v="15959"/>
    <n v="290"/>
    <x v="6"/>
  </r>
  <r>
    <x v="1"/>
    <x v="2"/>
    <x v="11"/>
    <n v="54"/>
    <n v="9"/>
    <x v="29"/>
  </r>
  <r>
    <x v="1"/>
    <x v="2"/>
    <x v="11"/>
    <n v="361"/>
    <n v="81"/>
    <x v="26"/>
  </r>
  <r>
    <x v="1"/>
    <x v="2"/>
    <x v="2"/>
    <n v="742"/>
    <n v="135"/>
    <x v="8"/>
  </r>
  <r>
    <x v="1"/>
    <x v="2"/>
    <x v="2"/>
    <n v="419"/>
    <n v="78"/>
    <x v="12"/>
  </r>
  <r>
    <x v="1"/>
    <x v="2"/>
    <x v="53"/>
    <n v="78259"/>
    <n v="3831"/>
    <x v="10"/>
  </r>
  <r>
    <x v="1"/>
    <x v="2"/>
    <x v="12"/>
    <n v="15"/>
    <n v="15"/>
    <x v="10"/>
  </r>
  <r>
    <x v="1"/>
    <x v="2"/>
    <x v="51"/>
    <n v="6"/>
    <n v="6"/>
    <x v="10"/>
  </r>
  <r>
    <x v="1"/>
    <x v="2"/>
    <x v="13"/>
    <n v="855"/>
    <n v="140"/>
    <x v="11"/>
  </r>
  <r>
    <x v="1"/>
    <x v="4"/>
    <x v="0"/>
    <n v="0"/>
    <n v="0"/>
    <x v="19"/>
  </r>
  <r>
    <x v="1"/>
    <x v="4"/>
    <x v="0"/>
    <n v="0"/>
    <n v="0"/>
    <x v="9"/>
  </r>
  <r>
    <x v="1"/>
    <x v="4"/>
    <x v="0"/>
    <n v="0"/>
    <n v="0"/>
    <x v="13"/>
  </r>
  <r>
    <x v="1"/>
    <x v="4"/>
    <x v="14"/>
    <n v="6742"/>
    <n v="384"/>
    <x v="4"/>
  </r>
  <r>
    <x v="1"/>
    <x v="4"/>
    <x v="20"/>
    <n v="32129"/>
    <n v="1427"/>
    <x v="4"/>
  </r>
  <r>
    <x v="1"/>
    <x v="4"/>
    <x v="27"/>
    <n v="3549"/>
    <n v="388"/>
    <x v="19"/>
  </r>
  <r>
    <x v="1"/>
    <x v="4"/>
    <x v="16"/>
    <n v="6237"/>
    <n v="983"/>
    <x v="2"/>
  </r>
  <r>
    <x v="1"/>
    <x v="4"/>
    <x v="17"/>
    <n v="6680"/>
    <n v="936"/>
    <x v="8"/>
  </r>
  <r>
    <x v="1"/>
    <x v="4"/>
    <x v="43"/>
    <n v="116155"/>
    <n v="6177"/>
    <x v="10"/>
  </r>
  <r>
    <x v="1"/>
    <x v="4"/>
    <x v="44"/>
    <n v="53224"/>
    <n v="2282"/>
    <x v="10"/>
  </r>
  <r>
    <x v="1"/>
    <x v="10"/>
    <x v="0"/>
    <n v="11"/>
    <n v="11"/>
    <x v="4"/>
  </r>
  <r>
    <x v="1"/>
    <x v="10"/>
    <x v="0"/>
    <n v="0"/>
    <n v="0"/>
    <x v="11"/>
  </r>
  <r>
    <x v="1"/>
    <x v="10"/>
    <x v="0"/>
    <n v="0"/>
    <n v="0"/>
    <x v="1"/>
  </r>
  <r>
    <x v="1"/>
    <x v="10"/>
    <x v="37"/>
    <n v="1534"/>
    <n v="46"/>
    <x v="28"/>
  </r>
  <r>
    <x v="1"/>
    <x v="10"/>
    <x v="1"/>
    <n v="5858"/>
    <n v="467"/>
    <x v="2"/>
  </r>
  <r>
    <x v="1"/>
    <x v="10"/>
    <x v="1"/>
    <n v="8156"/>
    <n v="831"/>
    <x v="0"/>
  </r>
  <r>
    <x v="1"/>
    <x v="10"/>
    <x v="19"/>
    <n v="28015"/>
    <n v="904"/>
    <x v="4"/>
  </r>
  <r>
    <x v="1"/>
    <x v="10"/>
    <x v="16"/>
    <n v="8904"/>
    <n v="1157"/>
    <x v="8"/>
  </r>
  <r>
    <x v="1"/>
    <x v="10"/>
    <x v="22"/>
    <n v="7199"/>
    <n v="1276"/>
    <x v="12"/>
  </r>
  <r>
    <x v="1"/>
    <x v="10"/>
    <x v="11"/>
    <n v="111"/>
    <n v="26"/>
    <x v="23"/>
  </r>
  <r>
    <x v="1"/>
    <x v="10"/>
    <x v="11"/>
    <n v="65"/>
    <n v="2"/>
    <x v="12"/>
  </r>
  <r>
    <x v="1"/>
    <x v="10"/>
    <x v="13"/>
    <n v="10397"/>
    <n v="1435"/>
    <x v="13"/>
  </r>
  <r>
    <x v="1"/>
    <x v="11"/>
    <x v="3"/>
    <n v="12892"/>
    <n v="1487"/>
    <x v="3"/>
  </r>
  <r>
    <x v="1"/>
    <x v="11"/>
    <x v="3"/>
    <n v="121"/>
    <n v="11"/>
    <x v="1"/>
  </r>
  <r>
    <x v="1"/>
    <x v="11"/>
    <x v="8"/>
    <n v="26"/>
    <n v="2"/>
    <x v="4"/>
  </r>
  <r>
    <x v="1"/>
    <x v="11"/>
    <x v="57"/>
    <n v="50128"/>
    <n v="5338"/>
    <x v="4"/>
  </r>
  <r>
    <x v="1"/>
    <x v="11"/>
    <x v="9"/>
    <n v="288"/>
    <n v="17"/>
    <x v="5"/>
  </r>
  <r>
    <x v="1"/>
    <x v="11"/>
    <x v="16"/>
    <n v="3255"/>
    <n v="212"/>
    <x v="24"/>
  </r>
  <r>
    <x v="1"/>
    <x v="11"/>
    <x v="40"/>
    <n v="9924"/>
    <n v="181"/>
    <x v="21"/>
  </r>
  <r>
    <x v="1"/>
    <x v="11"/>
    <x v="11"/>
    <n v="143"/>
    <n v="18"/>
    <x v="29"/>
  </r>
  <r>
    <x v="1"/>
    <x v="11"/>
    <x v="2"/>
    <n v="295"/>
    <n v="45"/>
    <x v="12"/>
  </r>
  <r>
    <x v="1"/>
    <x v="11"/>
    <x v="53"/>
    <n v="51697"/>
    <n v="2057"/>
    <x v="10"/>
  </r>
  <r>
    <x v="1"/>
    <x v="11"/>
    <x v="51"/>
    <n v="2"/>
    <n v="2"/>
    <x v="10"/>
  </r>
  <r>
    <x v="1"/>
    <x v="12"/>
    <x v="0"/>
    <n v="0"/>
    <n v="0"/>
    <x v="9"/>
  </r>
  <r>
    <x v="1"/>
    <x v="12"/>
    <x v="0"/>
    <n v="0"/>
    <n v="0"/>
    <x v="13"/>
  </r>
  <r>
    <x v="1"/>
    <x v="12"/>
    <x v="14"/>
    <n v="18617"/>
    <n v="516"/>
    <x v="4"/>
  </r>
  <r>
    <x v="1"/>
    <x v="12"/>
    <x v="58"/>
    <n v="8715"/>
    <n v="882"/>
    <x v="4"/>
  </r>
  <r>
    <x v="1"/>
    <x v="12"/>
    <x v="27"/>
    <n v="2095"/>
    <n v="381"/>
    <x v="23"/>
  </r>
  <r>
    <x v="1"/>
    <x v="12"/>
    <x v="27"/>
    <n v="1256"/>
    <n v="116"/>
    <x v="19"/>
  </r>
  <r>
    <x v="1"/>
    <x v="12"/>
    <x v="16"/>
    <n v="2847"/>
    <n v="275"/>
    <x v="2"/>
  </r>
  <r>
    <x v="1"/>
    <x v="12"/>
    <x v="2"/>
    <n v="281"/>
    <n v="16"/>
    <x v="19"/>
  </r>
  <r>
    <x v="1"/>
    <x v="12"/>
    <x v="17"/>
    <n v="1090"/>
    <n v="227"/>
    <x v="8"/>
  </r>
  <r>
    <x v="1"/>
    <x v="12"/>
    <x v="43"/>
    <n v="62528"/>
    <n v="2595"/>
    <x v="10"/>
  </r>
  <r>
    <x v="1"/>
    <x v="12"/>
    <x v="44"/>
    <n v="25202"/>
    <n v="996"/>
    <x v="10"/>
  </r>
  <r>
    <x v="1"/>
    <x v="13"/>
    <x v="0"/>
    <n v="0"/>
    <n v="0"/>
    <x v="4"/>
  </r>
  <r>
    <x v="1"/>
    <x v="13"/>
    <x v="19"/>
    <n v="1"/>
    <n v="0"/>
    <x v="4"/>
  </r>
  <r>
    <x v="1"/>
    <x v="13"/>
    <x v="16"/>
    <n v="1"/>
    <n v="0"/>
    <x v="8"/>
  </r>
  <r>
    <x v="1"/>
    <x v="14"/>
    <x v="3"/>
    <n v="1"/>
    <n v="1"/>
    <x v="1"/>
  </r>
  <r>
    <x v="1"/>
    <x v="15"/>
    <x v="0"/>
    <n v="0"/>
    <n v="0"/>
    <x v="9"/>
  </r>
  <r>
    <x v="1"/>
    <x v="6"/>
    <x v="0"/>
    <n v="0"/>
    <n v="0"/>
    <x v="17"/>
  </r>
  <r>
    <x v="1"/>
    <x v="6"/>
    <x v="0"/>
    <n v="0"/>
    <n v="0"/>
    <x v="3"/>
  </r>
  <r>
    <x v="1"/>
    <x v="6"/>
    <x v="0"/>
    <n v="0"/>
    <n v="0"/>
    <x v="13"/>
  </r>
  <r>
    <x v="1"/>
    <x v="6"/>
    <x v="1"/>
    <n v="80"/>
    <n v="8"/>
    <x v="30"/>
  </r>
  <r>
    <x v="1"/>
    <x v="6"/>
    <x v="3"/>
    <n v="53"/>
    <n v="13"/>
    <x v="1"/>
  </r>
  <r>
    <x v="1"/>
    <x v="6"/>
    <x v="58"/>
    <n v="47145"/>
    <n v="8000"/>
    <x v="4"/>
  </r>
  <r>
    <x v="1"/>
    <x v="6"/>
    <x v="21"/>
    <n v="4492"/>
    <n v="516"/>
    <x v="4"/>
  </r>
  <r>
    <x v="1"/>
    <x v="6"/>
    <x v="27"/>
    <n v="14065"/>
    <n v="2162"/>
    <x v="23"/>
  </r>
  <r>
    <x v="1"/>
    <x v="6"/>
    <x v="27"/>
    <n v="6864"/>
    <n v="645"/>
    <x v="19"/>
  </r>
  <r>
    <x v="1"/>
    <x v="6"/>
    <x v="16"/>
    <n v="6236"/>
    <n v="872"/>
    <x v="2"/>
  </r>
  <r>
    <x v="1"/>
    <x v="6"/>
    <x v="23"/>
    <n v="10"/>
    <n v="1"/>
    <x v="30"/>
  </r>
  <r>
    <x v="1"/>
    <x v="6"/>
    <x v="11"/>
    <n v="37"/>
    <n v="5"/>
    <x v="29"/>
  </r>
  <r>
    <x v="1"/>
    <x v="6"/>
    <x v="11"/>
    <n v="1317"/>
    <n v="162"/>
    <x v="13"/>
  </r>
  <r>
    <x v="1"/>
    <x v="6"/>
    <x v="24"/>
    <n v="4864"/>
    <n v="797"/>
    <x v="16"/>
  </r>
  <r>
    <x v="1"/>
    <x v="7"/>
    <x v="0"/>
    <n v="0"/>
    <n v="0"/>
    <x v="1"/>
  </r>
  <r>
    <x v="1"/>
    <x v="7"/>
    <x v="0"/>
    <n v="2"/>
    <n v="2"/>
    <x v="18"/>
  </r>
  <r>
    <x v="1"/>
    <x v="7"/>
    <x v="19"/>
    <n v="24581"/>
    <n v="947"/>
    <x v="4"/>
  </r>
  <r>
    <x v="1"/>
    <x v="7"/>
    <x v="19"/>
    <n v="3890"/>
    <n v="157"/>
    <x v="22"/>
  </r>
  <r>
    <x v="1"/>
    <x v="7"/>
    <x v="39"/>
    <n v="75594"/>
    <n v="6384"/>
    <x v="4"/>
  </r>
  <r>
    <x v="1"/>
    <x v="7"/>
    <x v="7"/>
    <n v="49879"/>
    <n v="5378"/>
    <x v="4"/>
  </r>
  <r>
    <x v="1"/>
    <x v="7"/>
    <x v="16"/>
    <n v="7630"/>
    <n v="802"/>
    <x v="8"/>
  </r>
  <r>
    <x v="1"/>
    <x v="7"/>
    <x v="22"/>
    <n v="13384"/>
    <n v="1936"/>
    <x v="19"/>
  </r>
  <r>
    <x v="1"/>
    <x v="7"/>
    <x v="22"/>
    <n v="9580"/>
    <n v="1562"/>
    <x v="12"/>
  </r>
  <r>
    <x v="1"/>
    <x v="7"/>
    <x v="2"/>
    <n v="1348"/>
    <n v="225"/>
    <x v="19"/>
  </r>
  <r>
    <x v="1"/>
    <x v="7"/>
    <x v="2"/>
    <n v="5"/>
    <n v="1"/>
    <x v="5"/>
  </r>
  <r>
    <x v="1"/>
    <x v="7"/>
    <x v="2"/>
    <n v="5467"/>
    <n v="892"/>
    <x v="9"/>
  </r>
  <r>
    <x v="1"/>
    <x v="7"/>
    <x v="2"/>
    <n v="177"/>
    <n v="50"/>
    <x v="11"/>
  </r>
  <r>
    <x v="1"/>
    <x v="7"/>
    <x v="13"/>
    <n v="13573"/>
    <n v="1710"/>
    <x v="17"/>
  </r>
  <r>
    <x v="1"/>
    <x v="7"/>
    <x v="13"/>
    <n v="16184"/>
    <n v="2714"/>
    <x v="13"/>
  </r>
  <r>
    <x v="1"/>
    <x v="0"/>
    <x v="0"/>
    <n v="0"/>
    <n v="0"/>
    <x v="20"/>
  </r>
  <r>
    <x v="1"/>
    <x v="0"/>
    <x v="0"/>
    <n v="0"/>
    <n v="0"/>
    <x v="27"/>
  </r>
  <r>
    <x v="1"/>
    <x v="0"/>
    <x v="3"/>
    <n v="10158"/>
    <n v="1904"/>
    <x v="3"/>
  </r>
  <r>
    <x v="1"/>
    <x v="0"/>
    <x v="3"/>
    <n v="850"/>
    <n v="138"/>
    <x v="0"/>
  </r>
  <r>
    <x v="1"/>
    <x v="0"/>
    <x v="14"/>
    <n v="34504"/>
    <n v="761"/>
    <x v="22"/>
  </r>
  <r>
    <x v="1"/>
    <x v="0"/>
    <x v="15"/>
    <n v="57486"/>
    <n v="5021"/>
    <x v="4"/>
  </r>
  <r>
    <x v="1"/>
    <x v="0"/>
    <x v="30"/>
    <n v="1857"/>
    <n v="84"/>
    <x v="4"/>
  </r>
  <r>
    <x v="1"/>
    <x v="0"/>
    <x v="42"/>
    <n v="22537"/>
    <n v="2238"/>
    <x v="22"/>
  </r>
  <r>
    <x v="1"/>
    <x v="0"/>
    <x v="8"/>
    <n v="621"/>
    <n v="136"/>
    <x v="4"/>
  </r>
  <r>
    <x v="1"/>
    <x v="0"/>
    <x v="57"/>
    <n v="63228"/>
    <n v="7675"/>
    <x v="4"/>
  </r>
  <r>
    <x v="1"/>
    <x v="0"/>
    <x v="28"/>
    <n v="8882"/>
    <n v="2742"/>
    <x v="24"/>
  </r>
  <r>
    <x v="1"/>
    <x v="0"/>
    <x v="28"/>
    <n v="31858"/>
    <n v="3632"/>
    <x v="7"/>
  </r>
  <r>
    <x v="1"/>
    <x v="0"/>
    <x v="27"/>
    <n v="2462"/>
    <n v="344"/>
    <x v="29"/>
  </r>
  <r>
    <x v="1"/>
    <x v="0"/>
    <x v="10"/>
    <n v="18872"/>
    <n v="402"/>
    <x v="6"/>
  </r>
  <r>
    <x v="1"/>
    <x v="0"/>
    <x v="2"/>
    <n v="11"/>
    <n v="1"/>
    <x v="15"/>
  </r>
  <r>
    <x v="1"/>
    <x v="0"/>
    <x v="53"/>
    <n v="81557"/>
    <n v="4964"/>
    <x v="10"/>
  </r>
  <r>
    <x v="1"/>
    <x v="0"/>
    <x v="47"/>
    <n v="82911"/>
    <n v="5185"/>
    <x v="10"/>
  </r>
  <r>
    <x v="1"/>
    <x v="0"/>
    <x v="36"/>
    <n v="1080"/>
    <n v="231"/>
    <x v="8"/>
  </r>
  <r>
    <x v="1"/>
    <x v="0"/>
    <x v="32"/>
    <n v="5412"/>
    <n v="895"/>
    <x v="2"/>
  </r>
  <r>
    <x v="1"/>
    <x v="1"/>
    <x v="0"/>
    <n v="0"/>
    <n v="0"/>
    <x v="17"/>
  </r>
  <r>
    <x v="1"/>
    <x v="1"/>
    <x v="0"/>
    <n v="0"/>
    <n v="0"/>
    <x v="3"/>
  </r>
  <r>
    <x v="1"/>
    <x v="1"/>
    <x v="3"/>
    <n v="153"/>
    <n v="28"/>
    <x v="1"/>
  </r>
  <r>
    <x v="1"/>
    <x v="1"/>
    <x v="5"/>
    <n v="64841"/>
    <n v="7942"/>
    <x v="4"/>
  </r>
  <r>
    <x v="1"/>
    <x v="1"/>
    <x v="33"/>
    <n v="497"/>
    <n v="126"/>
    <x v="4"/>
  </r>
  <r>
    <x v="1"/>
    <x v="1"/>
    <x v="58"/>
    <n v="37737"/>
    <n v="7006"/>
    <x v="4"/>
  </r>
  <r>
    <x v="1"/>
    <x v="1"/>
    <x v="21"/>
    <n v="12726"/>
    <n v="1067"/>
    <x v="4"/>
  </r>
  <r>
    <x v="1"/>
    <x v="1"/>
    <x v="21"/>
    <n v="314"/>
    <n v="26"/>
    <x v="22"/>
  </r>
  <r>
    <x v="1"/>
    <x v="1"/>
    <x v="9"/>
    <n v="22040"/>
    <n v="3429"/>
    <x v="2"/>
  </r>
  <r>
    <x v="1"/>
    <x v="1"/>
    <x v="27"/>
    <n v="14699"/>
    <n v="2121"/>
    <x v="23"/>
  </r>
  <r>
    <x v="1"/>
    <x v="1"/>
    <x v="27"/>
    <n v="5641"/>
    <n v="504"/>
    <x v="19"/>
  </r>
  <r>
    <x v="1"/>
    <x v="1"/>
    <x v="16"/>
    <n v="6360"/>
    <n v="818"/>
    <x v="2"/>
  </r>
  <r>
    <x v="1"/>
    <x v="1"/>
    <x v="11"/>
    <n v="1258"/>
    <n v="183"/>
    <x v="13"/>
  </r>
  <r>
    <x v="1"/>
    <x v="1"/>
    <x v="24"/>
    <n v="4252"/>
    <n v="750"/>
    <x v="16"/>
  </r>
  <r>
    <x v="1"/>
    <x v="5"/>
    <x v="0"/>
    <n v="0"/>
    <n v="0"/>
    <x v="21"/>
  </r>
  <r>
    <x v="1"/>
    <x v="5"/>
    <x v="0"/>
    <n v="0"/>
    <n v="0"/>
    <x v="1"/>
  </r>
  <r>
    <x v="1"/>
    <x v="5"/>
    <x v="0"/>
    <n v="0"/>
    <n v="0"/>
    <x v="0"/>
  </r>
  <r>
    <x v="1"/>
    <x v="5"/>
    <x v="19"/>
    <n v="14603"/>
    <n v="789"/>
    <x v="4"/>
  </r>
  <r>
    <x v="1"/>
    <x v="5"/>
    <x v="19"/>
    <n v="6359"/>
    <n v="259"/>
    <x v="22"/>
  </r>
  <r>
    <x v="1"/>
    <x v="5"/>
    <x v="15"/>
    <n v="0"/>
    <n v="0"/>
    <x v="14"/>
  </r>
  <r>
    <x v="1"/>
    <x v="5"/>
    <x v="39"/>
    <n v="77833"/>
    <n v="7081"/>
    <x v="4"/>
  </r>
  <r>
    <x v="1"/>
    <x v="5"/>
    <x v="7"/>
    <n v="48305"/>
    <n v="4979"/>
    <x v="4"/>
  </r>
  <r>
    <x v="1"/>
    <x v="5"/>
    <x v="16"/>
    <n v="7839"/>
    <n v="1289"/>
    <x v="8"/>
  </r>
  <r>
    <x v="1"/>
    <x v="5"/>
    <x v="22"/>
    <n v="14847"/>
    <n v="2185"/>
    <x v="19"/>
  </r>
  <r>
    <x v="1"/>
    <x v="5"/>
    <x v="22"/>
    <n v="8968"/>
    <n v="1545"/>
    <x v="12"/>
  </r>
  <r>
    <x v="1"/>
    <x v="5"/>
    <x v="23"/>
    <n v="83"/>
    <n v="52"/>
    <x v="24"/>
  </r>
  <r>
    <x v="1"/>
    <x v="5"/>
    <x v="2"/>
    <n v="4"/>
    <n v="0"/>
    <x v="5"/>
  </r>
  <r>
    <x v="1"/>
    <x v="5"/>
    <x v="2"/>
    <n v="4984"/>
    <n v="1047"/>
    <x v="9"/>
  </r>
  <r>
    <x v="1"/>
    <x v="5"/>
    <x v="2"/>
    <n v="152"/>
    <n v="47"/>
    <x v="11"/>
  </r>
  <r>
    <x v="1"/>
    <x v="5"/>
    <x v="13"/>
    <n v="2085"/>
    <n v="276"/>
    <x v="2"/>
  </r>
  <r>
    <x v="1"/>
    <x v="5"/>
    <x v="13"/>
    <n v="10947"/>
    <n v="1544"/>
    <x v="17"/>
  </r>
  <r>
    <x v="1"/>
    <x v="8"/>
    <x v="0"/>
    <n v="0"/>
    <n v="0"/>
    <x v="27"/>
  </r>
  <r>
    <x v="1"/>
    <x v="8"/>
    <x v="3"/>
    <n v="730"/>
    <n v="111"/>
    <x v="0"/>
  </r>
  <r>
    <x v="1"/>
    <x v="8"/>
    <x v="38"/>
    <n v="20561"/>
    <n v="2046"/>
    <x v="4"/>
  </r>
  <r>
    <x v="1"/>
    <x v="8"/>
    <x v="41"/>
    <n v="40462"/>
    <n v="4023"/>
    <x v="4"/>
  </r>
  <r>
    <x v="1"/>
    <x v="8"/>
    <x v="15"/>
    <n v="58148"/>
    <n v="4075"/>
    <x v="4"/>
  </r>
  <r>
    <x v="1"/>
    <x v="8"/>
    <x v="30"/>
    <n v="2349"/>
    <n v="84"/>
    <x v="4"/>
  </r>
  <r>
    <x v="1"/>
    <x v="8"/>
    <x v="42"/>
    <n v="16203"/>
    <n v="1217"/>
    <x v="22"/>
  </r>
  <r>
    <x v="1"/>
    <x v="8"/>
    <x v="8"/>
    <n v="542"/>
    <n v="122"/>
    <x v="4"/>
  </r>
  <r>
    <x v="1"/>
    <x v="8"/>
    <x v="57"/>
    <n v="68722"/>
    <n v="10738"/>
    <x v="4"/>
  </r>
  <r>
    <x v="1"/>
    <x v="8"/>
    <x v="28"/>
    <n v="19816"/>
    <n v="2358"/>
    <x v="7"/>
  </r>
  <r>
    <x v="1"/>
    <x v="8"/>
    <x v="9"/>
    <n v="3712"/>
    <n v="357"/>
    <x v="19"/>
  </r>
  <r>
    <x v="1"/>
    <x v="8"/>
    <x v="27"/>
    <n v="2259"/>
    <n v="346"/>
    <x v="29"/>
  </r>
  <r>
    <x v="1"/>
    <x v="8"/>
    <x v="17"/>
    <n v="12306"/>
    <n v="1174"/>
    <x v="16"/>
  </r>
  <r>
    <x v="1"/>
    <x v="8"/>
    <x v="53"/>
    <n v="87862"/>
    <n v="4462"/>
    <x v="10"/>
  </r>
  <r>
    <x v="1"/>
    <x v="8"/>
    <x v="36"/>
    <n v="1067"/>
    <n v="254"/>
    <x v="8"/>
  </r>
  <r>
    <x v="1"/>
    <x v="8"/>
    <x v="32"/>
    <n v="5333"/>
    <n v="978"/>
    <x v="2"/>
  </r>
  <r>
    <x v="1"/>
    <x v="9"/>
    <x v="0"/>
    <n v="0"/>
    <n v="0"/>
    <x v="2"/>
  </r>
  <r>
    <x v="1"/>
    <x v="9"/>
    <x v="0"/>
    <n v="0"/>
    <n v="0"/>
    <x v="17"/>
  </r>
  <r>
    <x v="1"/>
    <x v="9"/>
    <x v="5"/>
    <n v="53645"/>
    <n v="5977"/>
    <x v="4"/>
  </r>
  <r>
    <x v="1"/>
    <x v="9"/>
    <x v="33"/>
    <n v="406"/>
    <n v="64"/>
    <x v="4"/>
  </r>
  <r>
    <x v="1"/>
    <x v="9"/>
    <x v="58"/>
    <n v="50394"/>
    <n v="6543"/>
    <x v="4"/>
  </r>
  <r>
    <x v="1"/>
    <x v="9"/>
    <x v="21"/>
    <n v="13842"/>
    <n v="1128"/>
    <x v="4"/>
  </r>
  <r>
    <x v="1"/>
    <x v="9"/>
    <x v="21"/>
    <n v="121"/>
    <n v="8"/>
    <x v="22"/>
  </r>
  <r>
    <x v="1"/>
    <x v="9"/>
    <x v="28"/>
    <n v="4002"/>
    <n v="476"/>
    <x v="2"/>
  </r>
  <r>
    <x v="1"/>
    <x v="9"/>
    <x v="9"/>
    <n v="5883"/>
    <n v="394"/>
    <x v="12"/>
  </r>
  <r>
    <x v="1"/>
    <x v="9"/>
    <x v="9"/>
    <n v="21265"/>
    <n v="2883"/>
    <x v="2"/>
  </r>
  <r>
    <x v="1"/>
    <x v="9"/>
    <x v="27"/>
    <n v="17777"/>
    <n v="2448"/>
    <x v="23"/>
  </r>
  <r>
    <x v="1"/>
    <x v="9"/>
    <x v="27"/>
    <n v="8522"/>
    <n v="710"/>
    <x v="19"/>
  </r>
  <r>
    <x v="1"/>
    <x v="9"/>
    <x v="11"/>
    <n v="7496"/>
    <n v="1118"/>
    <x v="7"/>
  </r>
  <r>
    <x v="1"/>
    <x v="9"/>
    <x v="11"/>
    <n v="1385"/>
    <n v="175"/>
    <x v="13"/>
  </r>
  <r>
    <x v="1"/>
    <x v="9"/>
    <x v="2"/>
    <n v="260"/>
    <n v="52"/>
    <x v="16"/>
  </r>
  <r>
    <x v="1"/>
    <x v="9"/>
    <x v="2"/>
    <n v="389"/>
    <n v="91"/>
    <x v="3"/>
  </r>
  <r>
    <x v="1"/>
    <x v="9"/>
    <x v="24"/>
    <n v="6050"/>
    <n v="861"/>
    <x v="16"/>
  </r>
  <r>
    <x v="1"/>
    <x v="3"/>
    <x v="0"/>
    <n v="0"/>
    <n v="0"/>
    <x v="21"/>
  </r>
  <r>
    <x v="1"/>
    <x v="3"/>
    <x v="0"/>
    <n v="0"/>
    <n v="0"/>
    <x v="6"/>
  </r>
  <r>
    <x v="1"/>
    <x v="3"/>
    <x v="0"/>
    <n v="0"/>
    <n v="0"/>
    <x v="0"/>
  </r>
  <r>
    <x v="1"/>
    <x v="3"/>
    <x v="1"/>
    <n v="10053"/>
    <n v="1617"/>
    <x v="3"/>
  </r>
  <r>
    <x v="1"/>
    <x v="3"/>
    <x v="19"/>
    <n v="5360"/>
    <n v="179"/>
    <x v="22"/>
  </r>
  <r>
    <x v="1"/>
    <x v="3"/>
    <x v="49"/>
    <n v="13482"/>
    <n v="3562"/>
    <x v="4"/>
  </r>
  <r>
    <x v="1"/>
    <x v="3"/>
    <x v="15"/>
    <n v="0"/>
    <n v="0"/>
    <x v="14"/>
  </r>
  <r>
    <x v="1"/>
    <x v="3"/>
    <x v="39"/>
    <n v="84340"/>
    <n v="7278"/>
    <x v="4"/>
  </r>
  <r>
    <x v="1"/>
    <x v="3"/>
    <x v="50"/>
    <n v="23878"/>
    <n v="781"/>
    <x v="27"/>
  </r>
  <r>
    <x v="1"/>
    <x v="3"/>
    <x v="42"/>
    <n v="0"/>
    <n v="0"/>
    <x v="18"/>
  </r>
  <r>
    <x v="1"/>
    <x v="3"/>
    <x v="22"/>
    <n v="13361"/>
    <n v="1844"/>
    <x v="19"/>
  </r>
  <r>
    <x v="1"/>
    <x v="3"/>
    <x v="23"/>
    <n v="36"/>
    <n v="33"/>
    <x v="24"/>
  </r>
  <r>
    <x v="1"/>
    <x v="3"/>
    <x v="2"/>
    <n v="4"/>
    <n v="0"/>
    <x v="5"/>
  </r>
  <r>
    <x v="1"/>
    <x v="3"/>
    <x v="2"/>
    <n v="98"/>
    <n v="27"/>
    <x v="11"/>
  </r>
  <r>
    <x v="1"/>
    <x v="3"/>
    <x v="2"/>
    <n v="8"/>
    <n v="2"/>
    <x v="1"/>
  </r>
  <r>
    <x v="1"/>
    <x v="3"/>
    <x v="31"/>
    <n v="62097"/>
    <n v="2127"/>
    <x v="10"/>
  </r>
  <r>
    <x v="1"/>
    <x v="3"/>
    <x v="13"/>
    <n v="2558"/>
    <n v="246"/>
    <x v="2"/>
  </r>
  <r>
    <x v="1"/>
    <x v="2"/>
    <x v="1"/>
    <n v="1975"/>
    <n v="288"/>
    <x v="1"/>
  </r>
  <r>
    <x v="1"/>
    <x v="2"/>
    <x v="3"/>
    <n v="697"/>
    <n v="94"/>
    <x v="0"/>
  </r>
  <r>
    <x v="1"/>
    <x v="2"/>
    <x v="38"/>
    <n v="5866"/>
    <n v="519"/>
    <x v="4"/>
  </r>
  <r>
    <x v="1"/>
    <x v="2"/>
    <x v="41"/>
    <n v="25825"/>
    <n v="2914"/>
    <x v="4"/>
  </r>
  <r>
    <x v="1"/>
    <x v="2"/>
    <x v="15"/>
    <n v="56307"/>
    <n v="3243"/>
    <x v="4"/>
  </r>
  <r>
    <x v="1"/>
    <x v="2"/>
    <x v="30"/>
    <n v="2330"/>
    <n v="84"/>
    <x v="4"/>
  </r>
  <r>
    <x v="1"/>
    <x v="2"/>
    <x v="42"/>
    <n v="15248"/>
    <n v="1080"/>
    <x v="22"/>
  </r>
  <r>
    <x v="1"/>
    <x v="2"/>
    <x v="57"/>
    <n v="66822"/>
    <n v="8731"/>
    <x v="4"/>
  </r>
  <r>
    <x v="1"/>
    <x v="2"/>
    <x v="9"/>
    <n v="1762"/>
    <n v="174"/>
    <x v="19"/>
  </r>
  <r>
    <x v="1"/>
    <x v="2"/>
    <x v="27"/>
    <n v="3138"/>
    <n v="456"/>
    <x v="29"/>
  </r>
  <r>
    <x v="1"/>
    <x v="2"/>
    <x v="17"/>
    <n v="9113"/>
    <n v="577"/>
    <x v="16"/>
  </r>
  <r>
    <x v="1"/>
    <x v="2"/>
    <x v="32"/>
    <n v="4930"/>
    <n v="637"/>
    <x v="2"/>
  </r>
  <r>
    <x v="1"/>
    <x v="4"/>
    <x v="0"/>
    <n v="0"/>
    <n v="0"/>
    <x v="2"/>
  </r>
  <r>
    <x v="1"/>
    <x v="4"/>
    <x v="5"/>
    <n v="52947"/>
    <n v="5477"/>
    <x v="4"/>
  </r>
  <r>
    <x v="1"/>
    <x v="4"/>
    <x v="6"/>
    <n v="4243"/>
    <n v="201"/>
    <x v="4"/>
  </r>
  <r>
    <x v="1"/>
    <x v="4"/>
    <x v="6"/>
    <n v="24"/>
    <n v="4"/>
    <x v="22"/>
  </r>
  <r>
    <x v="1"/>
    <x v="4"/>
    <x v="33"/>
    <n v="302"/>
    <n v="69"/>
    <x v="4"/>
  </r>
  <r>
    <x v="1"/>
    <x v="4"/>
    <x v="58"/>
    <n v="47634"/>
    <n v="5984"/>
    <x v="4"/>
  </r>
  <r>
    <x v="1"/>
    <x v="4"/>
    <x v="28"/>
    <n v="1483"/>
    <n v="166"/>
    <x v="2"/>
  </r>
  <r>
    <x v="1"/>
    <x v="4"/>
    <x v="9"/>
    <n v="3554"/>
    <n v="255"/>
    <x v="12"/>
  </r>
  <r>
    <x v="1"/>
    <x v="4"/>
    <x v="9"/>
    <n v="18285"/>
    <n v="3335"/>
    <x v="2"/>
  </r>
  <r>
    <x v="1"/>
    <x v="4"/>
    <x v="27"/>
    <n v="13374"/>
    <n v="2131"/>
    <x v="23"/>
  </r>
  <r>
    <x v="1"/>
    <x v="4"/>
    <x v="11"/>
    <n v="2490"/>
    <n v="386"/>
    <x v="7"/>
  </r>
  <r>
    <x v="1"/>
    <x v="4"/>
    <x v="2"/>
    <n v="302"/>
    <n v="79"/>
    <x v="16"/>
  </r>
  <r>
    <x v="1"/>
    <x v="4"/>
    <x v="2"/>
    <n v="200"/>
    <n v="51"/>
    <x v="24"/>
  </r>
  <r>
    <x v="1"/>
    <x v="4"/>
    <x v="2"/>
    <n v="11448"/>
    <n v="1319"/>
    <x v="17"/>
  </r>
  <r>
    <x v="1"/>
    <x v="4"/>
    <x v="2"/>
    <n v="399"/>
    <n v="111"/>
    <x v="3"/>
  </r>
  <r>
    <x v="1"/>
    <x v="4"/>
    <x v="29"/>
    <n v="113974"/>
    <n v="5814"/>
    <x v="10"/>
  </r>
  <r>
    <x v="1"/>
    <x v="10"/>
    <x v="0"/>
    <n v="0"/>
    <n v="0"/>
    <x v="6"/>
  </r>
  <r>
    <x v="1"/>
    <x v="10"/>
    <x v="0"/>
    <n v="0"/>
    <n v="0"/>
    <x v="10"/>
  </r>
  <r>
    <x v="1"/>
    <x v="10"/>
    <x v="0"/>
    <n v="0"/>
    <n v="0"/>
    <x v="0"/>
  </r>
  <r>
    <x v="1"/>
    <x v="10"/>
    <x v="1"/>
    <n v="10000"/>
    <n v="1588"/>
    <x v="3"/>
  </r>
  <r>
    <x v="1"/>
    <x v="10"/>
    <x v="3"/>
    <n v="21557"/>
    <n v="2806"/>
    <x v="9"/>
  </r>
  <r>
    <x v="1"/>
    <x v="10"/>
    <x v="48"/>
    <n v="17476"/>
    <n v="456"/>
    <x v="4"/>
  </r>
  <r>
    <x v="1"/>
    <x v="10"/>
    <x v="49"/>
    <n v="7738"/>
    <n v="2486"/>
    <x v="4"/>
  </r>
  <r>
    <x v="1"/>
    <x v="10"/>
    <x v="15"/>
    <n v="0"/>
    <n v="0"/>
    <x v="14"/>
  </r>
  <r>
    <x v="1"/>
    <x v="10"/>
    <x v="50"/>
    <n v="228"/>
    <n v="8"/>
    <x v="27"/>
  </r>
  <r>
    <x v="1"/>
    <x v="10"/>
    <x v="23"/>
    <n v="5"/>
    <n v="2"/>
    <x v="24"/>
  </r>
  <r>
    <x v="1"/>
    <x v="10"/>
    <x v="2"/>
    <n v="1"/>
    <n v="0"/>
    <x v="5"/>
  </r>
  <r>
    <x v="1"/>
    <x v="10"/>
    <x v="2"/>
    <n v="43"/>
    <n v="7"/>
    <x v="11"/>
  </r>
  <r>
    <x v="1"/>
    <x v="10"/>
    <x v="2"/>
    <n v="58"/>
    <n v="18"/>
    <x v="1"/>
  </r>
  <r>
    <x v="1"/>
    <x v="10"/>
    <x v="31"/>
    <n v="39853"/>
    <n v="1137"/>
    <x v="10"/>
  </r>
  <r>
    <x v="1"/>
    <x v="10"/>
    <x v="18"/>
    <n v="390"/>
    <n v="13"/>
    <x v="10"/>
  </r>
  <r>
    <x v="1"/>
    <x v="10"/>
    <x v="24"/>
    <n v="119"/>
    <n v="1"/>
    <x v="8"/>
  </r>
  <r>
    <x v="1"/>
    <x v="10"/>
    <x v="13"/>
    <n v="2144"/>
    <n v="247"/>
    <x v="2"/>
  </r>
  <r>
    <x v="1"/>
    <x v="11"/>
    <x v="1"/>
    <n v="1597"/>
    <n v="215"/>
    <x v="1"/>
  </r>
  <r>
    <x v="1"/>
    <x v="11"/>
    <x v="38"/>
    <n v="51413"/>
    <n v="2189"/>
    <x v="4"/>
  </r>
  <r>
    <x v="1"/>
    <x v="11"/>
    <x v="41"/>
    <n v="28179"/>
    <n v="2183"/>
    <x v="4"/>
  </r>
  <r>
    <x v="1"/>
    <x v="11"/>
    <x v="20"/>
    <n v="23"/>
    <n v="23"/>
    <x v="14"/>
  </r>
  <r>
    <x v="1"/>
    <x v="11"/>
    <x v="15"/>
    <n v="56406"/>
    <n v="2440"/>
    <x v="4"/>
  </r>
  <r>
    <x v="1"/>
    <x v="11"/>
    <x v="30"/>
    <n v="1149"/>
    <n v="33"/>
    <x v="4"/>
  </r>
  <r>
    <x v="1"/>
    <x v="11"/>
    <x v="26"/>
    <n v="1066"/>
    <n v="181"/>
    <x v="25"/>
  </r>
  <r>
    <x v="1"/>
    <x v="11"/>
    <x v="9"/>
    <n v="2304"/>
    <n v="184"/>
    <x v="19"/>
  </r>
  <r>
    <x v="1"/>
    <x v="11"/>
    <x v="17"/>
    <n v="4280"/>
    <n v="283"/>
    <x v="16"/>
  </r>
  <r>
    <x v="1"/>
    <x v="11"/>
    <x v="35"/>
    <n v="57803"/>
    <n v="1251"/>
    <x v="10"/>
  </r>
  <r>
    <x v="1"/>
    <x v="11"/>
    <x v="12"/>
    <n v="6"/>
    <n v="6"/>
    <x v="10"/>
  </r>
  <r>
    <x v="1"/>
    <x v="11"/>
    <x v="32"/>
    <n v="5973"/>
    <n v="534"/>
    <x v="2"/>
  </r>
  <r>
    <x v="1"/>
    <x v="12"/>
    <x v="0"/>
    <n v="0"/>
    <n v="0"/>
    <x v="19"/>
  </r>
  <r>
    <x v="1"/>
    <x v="12"/>
    <x v="0"/>
    <n v="0"/>
    <n v="0"/>
    <x v="2"/>
  </r>
  <r>
    <x v="1"/>
    <x v="12"/>
    <x v="20"/>
    <n v="13441"/>
    <n v="383"/>
    <x v="4"/>
  </r>
  <r>
    <x v="1"/>
    <x v="12"/>
    <x v="5"/>
    <n v="14481"/>
    <n v="1144"/>
    <x v="4"/>
  </r>
  <r>
    <x v="1"/>
    <x v="12"/>
    <x v="25"/>
    <n v="13134"/>
    <n v="1272"/>
    <x v="4"/>
  </r>
  <r>
    <x v="1"/>
    <x v="12"/>
    <x v="6"/>
    <n v="66"/>
    <n v="9"/>
    <x v="4"/>
  </r>
  <r>
    <x v="1"/>
    <x v="12"/>
    <x v="52"/>
    <n v="631"/>
    <n v="41"/>
    <x v="4"/>
  </r>
  <r>
    <x v="1"/>
    <x v="12"/>
    <x v="33"/>
    <n v="90"/>
    <n v="32"/>
    <x v="4"/>
  </r>
  <r>
    <x v="1"/>
    <x v="12"/>
    <x v="9"/>
    <n v="1289"/>
    <n v="80"/>
    <x v="12"/>
  </r>
  <r>
    <x v="1"/>
    <x v="12"/>
    <x v="9"/>
    <n v="6948"/>
    <n v="808"/>
    <x v="2"/>
  </r>
  <r>
    <x v="1"/>
    <x v="12"/>
    <x v="11"/>
    <n v="393"/>
    <n v="14"/>
    <x v="7"/>
  </r>
  <r>
    <x v="1"/>
    <x v="12"/>
    <x v="2"/>
    <n v="42"/>
    <n v="7"/>
    <x v="24"/>
  </r>
  <r>
    <x v="1"/>
    <x v="12"/>
    <x v="2"/>
    <n v="19"/>
    <n v="3"/>
    <x v="17"/>
  </r>
  <r>
    <x v="1"/>
    <x v="12"/>
    <x v="2"/>
    <n v="127"/>
    <n v="14"/>
    <x v="3"/>
  </r>
  <r>
    <x v="1"/>
    <x v="12"/>
    <x v="29"/>
    <n v="57614"/>
    <n v="2327"/>
    <x v="10"/>
  </r>
  <r>
    <x v="1"/>
    <x v="13"/>
    <x v="48"/>
    <n v="2"/>
    <n v="0"/>
    <x v="4"/>
  </r>
  <r>
    <x v="1"/>
    <x v="13"/>
    <x v="49"/>
    <n v="0"/>
    <n v="0"/>
    <x v="4"/>
  </r>
  <r>
    <x v="1"/>
    <x v="6"/>
    <x v="39"/>
    <n v="80726"/>
    <n v="7197"/>
    <x v="4"/>
  </r>
  <r>
    <x v="1"/>
    <x v="6"/>
    <x v="25"/>
    <n v="54348"/>
    <n v="5807"/>
    <x v="4"/>
  </r>
  <r>
    <x v="1"/>
    <x v="6"/>
    <x v="52"/>
    <n v="25718"/>
    <n v="3244"/>
    <x v="4"/>
  </r>
  <r>
    <x v="1"/>
    <x v="6"/>
    <x v="33"/>
    <n v="498"/>
    <n v="137"/>
    <x v="4"/>
  </r>
  <r>
    <x v="1"/>
    <x v="6"/>
    <x v="26"/>
    <n v="3467"/>
    <n v="494"/>
    <x v="15"/>
  </r>
  <r>
    <x v="1"/>
    <x v="6"/>
    <x v="16"/>
    <n v="11939"/>
    <n v="989"/>
    <x v="24"/>
  </r>
  <r>
    <x v="1"/>
    <x v="6"/>
    <x v="34"/>
    <n v="17093"/>
    <n v="2135"/>
    <x v="4"/>
  </r>
  <r>
    <x v="1"/>
    <x v="6"/>
    <x v="22"/>
    <n v="13663"/>
    <n v="1875"/>
    <x v="19"/>
  </r>
  <r>
    <x v="1"/>
    <x v="6"/>
    <x v="2"/>
    <n v="511"/>
    <n v="74"/>
    <x v="12"/>
  </r>
  <r>
    <x v="1"/>
    <x v="6"/>
    <x v="53"/>
    <n v="84553"/>
    <n v="4776"/>
    <x v="10"/>
  </r>
  <r>
    <x v="1"/>
    <x v="6"/>
    <x v="51"/>
    <n v="7"/>
    <n v="7"/>
    <x v="10"/>
  </r>
  <r>
    <x v="1"/>
    <x v="6"/>
    <x v="13"/>
    <n v="12347"/>
    <n v="1342"/>
    <x v="17"/>
  </r>
  <r>
    <x v="1"/>
    <x v="7"/>
    <x v="0"/>
    <n v="0"/>
    <n v="0"/>
    <x v="19"/>
  </r>
  <r>
    <x v="1"/>
    <x v="7"/>
    <x v="0"/>
    <n v="0"/>
    <n v="0"/>
    <x v="9"/>
  </r>
  <r>
    <x v="1"/>
    <x v="7"/>
    <x v="0"/>
    <n v="0"/>
    <n v="0"/>
    <x v="27"/>
  </r>
  <r>
    <x v="1"/>
    <x v="7"/>
    <x v="0"/>
    <n v="0"/>
    <n v="0"/>
    <x v="0"/>
  </r>
  <r>
    <x v="1"/>
    <x v="7"/>
    <x v="1"/>
    <n v="6838"/>
    <n v="1406"/>
    <x v="3"/>
  </r>
  <r>
    <x v="1"/>
    <x v="7"/>
    <x v="3"/>
    <n v="23223"/>
    <n v="3413"/>
    <x v="9"/>
  </r>
  <r>
    <x v="1"/>
    <x v="7"/>
    <x v="3"/>
    <n v="892"/>
    <n v="147"/>
    <x v="0"/>
  </r>
  <r>
    <x v="1"/>
    <x v="7"/>
    <x v="48"/>
    <n v="24971"/>
    <n v="1292"/>
    <x v="4"/>
  </r>
  <r>
    <x v="1"/>
    <x v="7"/>
    <x v="41"/>
    <n v="18457"/>
    <n v="2078"/>
    <x v="4"/>
  </r>
  <r>
    <x v="1"/>
    <x v="7"/>
    <x v="20"/>
    <n v="34021"/>
    <n v="1523"/>
    <x v="4"/>
  </r>
  <r>
    <x v="1"/>
    <x v="7"/>
    <x v="50"/>
    <n v="34541"/>
    <n v="922"/>
    <x v="27"/>
  </r>
  <r>
    <x v="1"/>
    <x v="7"/>
    <x v="28"/>
    <n v="26644"/>
    <n v="3256"/>
    <x v="7"/>
  </r>
  <r>
    <x v="1"/>
    <x v="7"/>
    <x v="27"/>
    <n v="2270"/>
    <n v="358"/>
    <x v="29"/>
  </r>
  <r>
    <x v="1"/>
    <x v="7"/>
    <x v="27"/>
    <n v="6957"/>
    <n v="709"/>
    <x v="19"/>
  </r>
  <r>
    <x v="1"/>
    <x v="7"/>
    <x v="23"/>
    <n v="88"/>
    <n v="59"/>
    <x v="24"/>
  </r>
  <r>
    <x v="1"/>
    <x v="7"/>
    <x v="23"/>
    <n v="6"/>
    <n v="1"/>
    <x v="30"/>
  </r>
  <r>
    <x v="1"/>
    <x v="7"/>
    <x v="43"/>
    <n v="98670"/>
    <n v="6203"/>
    <x v="10"/>
  </r>
  <r>
    <x v="1"/>
    <x v="7"/>
    <x v="44"/>
    <n v="88016"/>
    <n v="4634"/>
    <x v="10"/>
  </r>
  <r>
    <x v="1"/>
    <x v="7"/>
    <x v="54"/>
    <n v="89681"/>
    <n v="4404"/>
    <x v="10"/>
  </r>
  <r>
    <x v="1"/>
    <x v="7"/>
    <x v="13"/>
    <n v="2509"/>
    <n v="293"/>
    <x v="2"/>
  </r>
  <r>
    <x v="1"/>
    <x v="0"/>
    <x v="0"/>
    <n v="8"/>
    <n v="8"/>
    <x v="4"/>
  </r>
  <r>
    <x v="1"/>
    <x v="0"/>
    <x v="0"/>
    <n v="0"/>
    <n v="0"/>
    <x v="11"/>
  </r>
  <r>
    <x v="1"/>
    <x v="0"/>
    <x v="0"/>
    <n v="0"/>
    <n v="0"/>
    <x v="1"/>
  </r>
  <r>
    <x v="1"/>
    <x v="0"/>
    <x v="37"/>
    <n v="4406"/>
    <n v="181"/>
    <x v="28"/>
  </r>
  <r>
    <x v="1"/>
    <x v="0"/>
    <x v="1"/>
    <n v="6374"/>
    <n v="789"/>
    <x v="2"/>
  </r>
  <r>
    <x v="1"/>
    <x v="0"/>
    <x v="19"/>
    <n v="5597"/>
    <n v="175"/>
    <x v="22"/>
  </r>
  <r>
    <x v="1"/>
    <x v="0"/>
    <x v="55"/>
    <n v="11160"/>
    <n v="766"/>
    <x v="4"/>
  </r>
  <r>
    <x v="1"/>
    <x v="0"/>
    <x v="38"/>
    <n v="21879"/>
    <n v="2381"/>
    <x v="4"/>
  </r>
  <r>
    <x v="1"/>
    <x v="0"/>
    <x v="21"/>
    <n v="395"/>
    <n v="38"/>
    <x v="22"/>
  </r>
  <r>
    <x v="1"/>
    <x v="0"/>
    <x v="45"/>
    <n v="13000"/>
    <n v="1527"/>
    <x v="4"/>
  </r>
  <r>
    <x v="1"/>
    <x v="0"/>
    <x v="46"/>
    <n v="14816"/>
    <n v="1816"/>
    <x v="4"/>
  </r>
  <r>
    <x v="1"/>
    <x v="0"/>
    <x v="26"/>
    <n v="6333"/>
    <n v="861"/>
    <x v="25"/>
  </r>
  <r>
    <x v="1"/>
    <x v="0"/>
    <x v="9"/>
    <n v="4950"/>
    <n v="280"/>
    <x v="12"/>
  </r>
  <r>
    <x v="1"/>
    <x v="0"/>
    <x v="9"/>
    <n v="21104"/>
    <n v="3281"/>
    <x v="2"/>
  </r>
  <r>
    <x v="1"/>
    <x v="0"/>
    <x v="16"/>
    <n v="7908"/>
    <n v="840"/>
    <x v="8"/>
  </r>
  <r>
    <x v="1"/>
    <x v="0"/>
    <x v="11"/>
    <n v="159"/>
    <n v="35"/>
    <x v="23"/>
  </r>
  <r>
    <x v="1"/>
    <x v="0"/>
    <x v="11"/>
    <n v="99"/>
    <n v="10"/>
    <x v="12"/>
  </r>
  <r>
    <x v="1"/>
    <x v="0"/>
    <x v="11"/>
    <n v="974"/>
    <n v="124"/>
    <x v="13"/>
  </r>
  <r>
    <x v="1"/>
    <x v="0"/>
    <x v="13"/>
    <n v="15547"/>
    <n v="2634"/>
    <x v="13"/>
  </r>
  <r>
    <x v="1"/>
    <x v="1"/>
    <x v="0"/>
    <n v="0"/>
    <n v="0"/>
    <x v="6"/>
  </r>
  <r>
    <x v="1"/>
    <x v="1"/>
    <x v="49"/>
    <n v="15077"/>
    <n v="4160"/>
    <x v="4"/>
  </r>
  <r>
    <x v="1"/>
    <x v="1"/>
    <x v="39"/>
    <n v="71176"/>
    <n v="5493"/>
    <x v="4"/>
  </r>
  <r>
    <x v="1"/>
    <x v="1"/>
    <x v="25"/>
    <n v="60892"/>
    <n v="6341"/>
    <x v="4"/>
  </r>
  <r>
    <x v="1"/>
    <x v="1"/>
    <x v="6"/>
    <n v="120"/>
    <n v="21"/>
    <x v="22"/>
  </r>
  <r>
    <x v="1"/>
    <x v="1"/>
    <x v="56"/>
    <n v="217"/>
    <n v="44"/>
    <x v="4"/>
  </r>
  <r>
    <x v="1"/>
    <x v="1"/>
    <x v="52"/>
    <n v="19037"/>
    <n v="2936"/>
    <x v="4"/>
  </r>
  <r>
    <x v="1"/>
    <x v="1"/>
    <x v="42"/>
    <n v="18047"/>
    <n v="2003"/>
    <x v="22"/>
  </r>
  <r>
    <x v="1"/>
    <x v="1"/>
    <x v="57"/>
    <n v="63208"/>
    <n v="8028"/>
    <x v="4"/>
  </r>
  <r>
    <x v="1"/>
    <x v="1"/>
    <x v="16"/>
    <n v="18018"/>
    <n v="1617"/>
    <x v="24"/>
  </r>
  <r>
    <x v="1"/>
    <x v="1"/>
    <x v="22"/>
    <n v="13274"/>
    <n v="1867"/>
    <x v="19"/>
  </r>
  <r>
    <x v="1"/>
    <x v="1"/>
    <x v="40"/>
    <n v="10118"/>
    <n v="291"/>
    <x v="21"/>
  </r>
  <r>
    <x v="1"/>
    <x v="1"/>
    <x v="11"/>
    <n v="23"/>
    <n v="2"/>
    <x v="29"/>
  </r>
  <r>
    <x v="1"/>
    <x v="1"/>
    <x v="2"/>
    <n v="734"/>
    <n v="136"/>
    <x v="12"/>
  </r>
  <r>
    <x v="1"/>
    <x v="1"/>
    <x v="53"/>
    <n v="88712"/>
    <n v="5020"/>
    <x v="10"/>
  </r>
  <r>
    <x v="1"/>
    <x v="1"/>
    <x v="51"/>
    <n v="13"/>
    <n v="13"/>
    <x v="10"/>
  </r>
  <r>
    <x v="1"/>
    <x v="5"/>
    <x v="0"/>
    <n v="0"/>
    <n v="0"/>
    <x v="9"/>
  </r>
  <r>
    <x v="1"/>
    <x v="5"/>
    <x v="1"/>
    <n v="9136"/>
    <n v="1766"/>
    <x v="3"/>
  </r>
  <r>
    <x v="1"/>
    <x v="5"/>
    <x v="3"/>
    <n v="24573"/>
    <n v="2924"/>
    <x v="9"/>
  </r>
  <r>
    <x v="1"/>
    <x v="5"/>
    <x v="3"/>
    <n v="816"/>
    <n v="126"/>
    <x v="0"/>
  </r>
  <r>
    <x v="1"/>
    <x v="5"/>
    <x v="48"/>
    <n v="30120"/>
    <n v="1454"/>
    <x v="4"/>
  </r>
  <r>
    <x v="1"/>
    <x v="5"/>
    <x v="41"/>
    <n v="29806"/>
    <n v="3015"/>
    <x v="4"/>
  </r>
  <r>
    <x v="1"/>
    <x v="5"/>
    <x v="50"/>
    <n v="29730"/>
    <n v="966"/>
    <x v="27"/>
  </r>
  <r>
    <x v="1"/>
    <x v="5"/>
    <x v="58"/>
    <n v="46660"/>
    <n v="6959"/>
    <x v="4"/>
  </r>
  <r>
    <x v="1"/>
    <x v="5"/>
    <x v="27"/>
    <n v="2424"/>
    <n v="414"/>
    <x v="29"/>
  </r>
  <r>
    <x v="1"/>
    <x v="5"/>
    <x v="27"/>
    <n v="6619"/>
    <n v="645"/>
    <x v="19"/>
  </r>
  <r>
    <x v="1"/>
    <x v="5"/>
    <x v="2"/>
    <n v="1012"/>
    <n v="192"/>
    <x v="19"/>
  </r>
  <r>
    <x v="1"/>
    <x v="5"/>
    <x v="2"/>
    <n v="471"/>
    <n v="98"/>
    <x v="0"/>
  </r>
  <r>
    <x v="1"/>
    <x v="5"/>
    <x v="43"/>
    <n v="103003"/>
    <n v="6430"/>
    <x v="10"/>
  </r>
  <r>
    <x v="1"/>
    <x v="5"/>
    <x v="44"/>
    <n v="94253"/>
    <n v="4428"/>
    <x v="10"/>
  </r>
  <r>
    <x v="1"/>
    <x v="5"/>
    <x v="54"/>
    <n v="80995"/>
    <n v="3530"/>
    <x v="10"/>
  </r>
  <r>
    <x v="1"/>
    <x v="5"/>
    <x v="36"/>
    <n v="772"/>
    <n v="173"/>
    <x v="16"/>
  </r>
  <r>
    <x v="1"/>
    <x v="8"/>
    <x v="0"/>
    <n v="6"/>
    <n v="6"/>
    <x v="4"/>
  </r>
  <r>
    <x v="1"/>
    <x v="8"/>
    <x v="0"/>
    <n v="0"/>
    <n v="0"/>
    <x v="1"/>
  </r>
  <r>
    <x v="1"/>
    <x v="8"/>
    <x v="1"/>
    <n v="7563"/>
    <n v="740"/>
    <x v="2"/>
  </r>
  <r>
    <x v="1"/>
    <x v="8"/>
    <x v="19"/>
    <n v="3570"/>
    <n v="91"/>
    <x v="22"/>
  </r>
  <r>
    <x v="1"/>
    <x v="8"/>
    <x v="55"/>
    <n v="9981"/>
    <n v="671"/>
    <x v="4"/>
  </r>
  <r>
    <x v="1"/>
    <x v="8"/>
    <x v="14"/>
    <n v="20048"/>
    <n v="388"/>
    <x v="22"/>
  </r>
  <r>
    <x v="1"/>
    <x v="8"/>
    <x v="45"/>
    <n v="11767"/>
    <n v="1655"/>
    <x v="4"/>
  </r>
  <r>
    <x v="1"/>
    <x v="8"/>
    <x v="46"/>
    <n v="13772"/>
    <n v="1924"/>
    <x v="4"/>
  </r>
  <r>
    <x v="1"/>
    <x v="8"/>
    <x v="26"/>
    <n v="6648"/>
    <n v="854"/>
    <x v="25"/>
  </r>
  <r>
    <x v="1"/>
    <x v="8"/>
    <x v="9"/>
    <n v="5269"/>
    <n v="359"/>
    <x v="12"/>
  </r>
  <r>
    <x v="1"/>
    <x v="8"/>
    <x v="9"/>
    <n v="19780"/>
    <n v="3256"/>
    <x v="2"/>
  </r>
  <r>
    <x v="1"/>
    <x v="8"/>
    <x v="16"/>
    <n v="8916"/>
    <n v="1299"/>
    <x v="8"/>
  </r>
  <r>
    <x v="1"/>
    <x v="8"/>
    <x v="16"/>
    <n v="2167"/>
    <n v="297"/>
    <x v="16"/>
  </r>
  <r>
    <x v="1"/>
    <x v="8"/>
    <x v="11"/>
    <n v="43"/>
    <n v="3"/>
    <x v="12"/>
  </r>
  <r>
    <x v="1"/>
    <x v="8"/>
    <x v="2"/>
    <n v="6"/>
    <n v="0"/>
    <x v="5"/>
  </r>
  <r>
    <x v="1"/>
    <x v="8"/>
    <x v="2"/>
    <n v="237"/>
    <n v="65"/>
    <x v="24"/>
  </r>
  <r>
    <x v="1"/>
    <x v="8"/>
    <x v="2"/>
    <n v="102"/>
    <n v="23"/>
    <x v="15"/>
  </r>
  <r>
    <x v="1"/>
    <x v="8"/>
    <x v="2"/>
    <n v="141"/>
    <n v="40"/>
    <x v="11"/>
  </r>
  <r>
    <x v="1"/>
    <x v="8"/>
    <x v="47"/>
    <n v="89703"/>
    <n v="4533"/>
    <x v="10"/>
  </r>
  <r>
    <x v="1"/>
    <x v="8"/>
    <x v="13"/>
    <n v="15668"/>
    <n v="2667"/>
    <x v="13"/>
  </r>
  <r>
    <x v="1"/>
    <x v="9"/>
    <x v="0"/>
    <n v="0"/>
    <n v="0"/>
    <x v="6"/>
  </r>
  <r>
    <x v="1"/>
    <x v="9"/>
    <x v="0"/>
    <n v="0"/>
    <n v="0"/>
    <x v="3"/>
  </r>
  <r>
    <x v="1"/>
    <x v="9"/>
    <x v="3"/>
    <n v="71"/>
    <n v="12"/>
    <x v="1"/>
  </r>
  <r>
    <x v="1"/>
    <x v="9"/>
    <x v="49"/>
    <n v="15815"/>
    <n v="4151"/>
    <x v="4"/>
  </r>
  <r>
    <x v="1"/>
    <x v="9"/>
    <x v="25"/>
    <n v="53973"/>
    <n v="5175"/>
    <x v="4"/>
  </r>
  <r>
    <x v="1"/>
    <x v="9"/>
    <x v="6"/>
    <n v="45"/>
    <n v="6"/>
    <x v="22"/>
  </r>
  <r>
    <x v="1"/>
    <x v="9"/>
    <x v="59"/>
    <n v="2892"/>
    <n v="175"/>
    <x v="4"/>
  </r>
  <r>
    <x v="1"/>
    <x v="9"/>
    <x v="56"/>
    <n v="183"/>
    <n v="26"/>
    <x v="4"/>
  </r>
  <r>
    <x v="1"/>
    <x v="9"/>
    <x v="52"/>
    <n v="24262"/>
    <n v="2747"/>
    <x v="4"/>
  </r>
  <r>
    <x v="1"/>
    <x v="9"/>
    <x v="42"/>
    <n v="16751"/>
    <n v="1473"/>
    <x v="22"/>
  </r>
  <r>
    <x v="1"/>
    <x v="9"/>
    <x v="42"/>
    <n v="0"/>
    <n v="0"/>
    <x v="18"/>
  </r>
  <r>
    <x v="1"/>
    <x v="9"/>
    <x v="57"/>
    <n v="73438"/>
    <n v="10141"/>
    <x v="4"/>
  </r>
  <r>
    <x v="1"/>
    <x v="9"/>
    <x v="16"/>
    <n v="13862"/>
    <n v="1255"/>
    <x v="24"/>
  </r>
  <r>
    <x v="1"/>
    <x v="9"/>
    <x v="23"/>
    <n v="167"/>
    <n v="39"/>
    <x v="2"/>
  </r>
  <r>
    <x v="1"/>
    <x v="9"/>
    <x v="11"/>
    <n v="47"/>
    <n v="6"/>
    <x v="29"/>
  </r>
  <r>
    <x v="1"/>
    <x v="9"/>
    <x v="53"/>
    <n v="88071"/>
    <n v="4343"/>
    <x v="10"/>
  </r>
  <r>
    <x v="1"/>
    <x v="9"/>
    <x v="51"/>
    <n v="8"/>
    <n v="8"/>
    <x v="10"/>
  </r>
  <r>
    <x v="1"/>
    <x v="9"/>
    <x v="24"/>
    <n v="3587"/>
    <n v="354"/>
    <x v="8"/>
  </r>
  <r>
    <x v="1"/>
    <x v="3"/>
    <x v="0"/>
    <n v="0"/>
    <n v="0"/>
    <x v="9"/>
  </r>
  <r>
    <x v="1"/>
    <x v="3"/>
    <x v="3"/>
    <n v="24298"/>
    <n v="3332"/>
    <x v="9"/>
  </r>
  <r>
    <x v="1"/>
    <x v="3"/>
    <x v="48"/>
    <n v="27029"/>
    <n v="1036"/>
    <x v="4"/>
  </r>
  <r>
    <x v="1"/>
    <x v="3"/>
    <x v="4"/>
    <n v="12231"/>
    <n v="566"/>
    <x v="4"/>
  </r>
  <r>
    <x v="1"/>
    <x v="3"/>
    <x v="41"/>
    <n v="44063"/>
    <n v="3794"/>
    <x v="4"/>
  </r>
  <r>
    <x v="1"/>
    <x v="3"/>
    <x v="5"/>
    <n v="56548"/>
    <n v="6345"/>
    <x v="4"/>
  </r>
  <r>
    <x v="1"/>
    <x v="3"/>
    <x v="7"/>
    <n v="46298"/>
    <n v="4398"/>
    <x v="4"/>
  </r>
  <r>
    <x v="1"/>
    <x v="3"/>
    <x v="58"/>
    <n v="46618"/>
    <n v="6064"/>
    <x v="4"/>
  </r>
  <r>
    <x v="1"/>
    <x v="3"/>
    <x v="27"/>
    <n v="7605"/>
    <n v="661"/>
    <x v="19"/>
  </r>
  <r>
    <x v="1"/>
    <x v="3"/>
    <x v="11"/>
    <n v="3758"/>
    <n v="512"/>
    <x v="7"/>
  </r>
  <r>
    <x v="1"/>
    <x v="3"/>
    <x v="2"/>
    <n v="779"/>
    <n v="158"/>
    <x v="8"/>
  </r>
  <r>
    <x v="1"/>
    <x v="3"/>
    <x v="2"/>
    <n v="1095"/>
    <n v="229"/>
    <x v="19"/>
  </r>
  <r>
    <x v="1"/>
    <x v="3"/>
    <x v="2"/>
    <n v="4085"/>
    <n v="850"/>
    <x v="9"/>
  </r>
  <r>
    <x v="1"/>
    <x v="3"/>
    <x v="2"/>
    <n v="191"/>
    <n v="41"/>
    <x v="0"/>
  </r>
  <r>
    <x v="1"/>
    <x v="3"/>
    <x v="12"/>
    <n v="8"/>
    <n v="8"/>
    <x v="10"/>
  </r>
  <r>
    <x v="1"/>
    <x v="3"/>
    <x v="43"/>
    <n v="102622"/>
    <n v="5890"/>
    <x v="10"/>
  </r>
  <r>
    <x v="1"/>
    <x v="3"/>
    <x v="44"/>
    <n v="62760"/>
    <n v="2660"/>
    <x v="10"/>
  </r>
  <r>
    <x v="1"/>
    <x v="3"/>
    <x v="54"/>
    <n v="85767"/>
    <n v="3335"/>
    <x v="10"/>
  </r>
  <r>
    <x v="1"/>
    <x v="2"/>
    <x v="0"/>
    <n v="0"/>
    <n v="0"/>
    <x v="1"/>
  </r>
  <r>
    <x v="1"/>
    <x v="2"/>
    <x v="1"/>
    <n v="7420"/>
    <n v="543"/>
    <x v="2"/>
  </r>
  <r>
    <x v="1"/>
    <x v="2"/>
    <x v="19"/>
    <n v="5443"/>
    <n v="195"/>
    <x v="22"/>
  </r>
  <r>
    <x v="1"/>
    <x v="2"/>
    <x v="55"/>
    <n v="11516"/>
    <n v="602"/>
    <x v="4"/>
  </r>
  <r>
    <x v="1"/>
    <x v="2"/>
    <x v="14"/>
    <n v="22656"/>
    <n v="546"/>
    <x v="22"/>
  </r>
  <r>
    <x v="1"/>
    <x v="2"/>
    <x v="15"/>
    <n v="0"/>
    <n v="0"/>
    <x v="14"/>
  </r>
  <r>
    <x v="1"/>
    <x v="2"/>
    <x v="45"/>
    <n v="8522"/>
    <n v="1238"/>
    <x v="4"/>
  </r>
  <r>
    <x v="1"/>
    <x v="2"/>
    <x v="46"/>
    <n v="8580"/>
    <n v="1051"/>
    <x v="4"/>
  </r>
  <r>
    <x v="1"/>
    <x v="2"/>
    <x v="26"/>
    <n v="8348"/>
    <n v="1002"/>
    <x v="25"/>
  </r>
  <r>
    <x v="1"/>
    <x v="2"/>
    <x v="9"/>
    <n v="2207"/>
    <n v="134"/>
    <x v="12"/>
  </r>
  <r>
    <x v="1"/>
    <x v="2"/>
    <x v="9"/>
    <n v="17264"/>
    <n v="2861"/>
    <x v="2"/>
  </r>
  <r>
    <x v="1"/>
    <x v="2"/>
    <x v="16"/>
    <n v="7938"/>
    <n v="1067"/>
    <x v="8"/>
  </r>
  <r>
    <x v="1"/>
    <x v="2"/>
    <x v="16"/>
    <n v="2685"/>
    <n v="320"/>
    <x v="16"/>
  </r>
  <r>
    <x v="1"/>
    <x v="2"/>
    <x v="11"/>
    <n v="44"/>
    <n v="3"/>
    <x v="12"/>
  </r>
  <r>
    <x v="1"/>
    <x v="2"/>
    <x v="2"/>
    <n v="3"/>
    <n v="0"/>
    <x v="5"/>
  </r>
  <r>
    <x v="1"/>
    <x v="2"/>
    <x v="2"/>
    <n v="241"/>
    <n v="55"/>
    <x v="24"/>
  </r>
  <r>
    <x v="1"/>
    <x v="2"/>
    <x v="2"/>
    <n v="11"/>
    <n v="2"/>
    <x v="15"/>
  </r>
  <r>
    <x v="1"/>
    <x v="2"/>
    <x v="2"/>
    <n v="91"/>
    <n v="15"/>
    <x v="11"/>
  </r>
  <r>
    <x v="1"/>
    <x v="2"/>
    <x v="47"/>
    <n v="98561"/>
    <n v="4380"/>
    <x v="10"/>
  </r>
  <r>
    <x v="1"/>
    <x v="4"/>
    <x v="0"/>
    <n v="0"/>
    <n v="0"/>
    <x v="6"/>
  </r>
  <r>
    <x v="1"/>
    <x v="4"/>
    <x v="0"/>
    <n v="0"/>
    <n v="0"/>
    <x v="17"/>
  </r>
  <r>
    <x v="1"/>
    <x v="4"/>
    <x v="0"/>
    <n v="0"/>
    <n v="0"/>
    <x v="3"/>
  </r>
  <r>
    <x v="1"/>
    <x v="4"/>
    <x v="1"/>
    <n v="9990"/>
    <n v="1160"/>
    <x v="0"/>
  </r>
  <r>
    <x v="1"/>
    <x v="4"/>
    <x v="3"/>
    <n v="95"/>
    <n v="21"/>
    <x v="1"/>
  </r>
  <r>
    <x v="1"/>
    <x v="4"/>
    <x v="49"/>
    <n v="11574"/>
    <n v="3401"/>
    <x v="4"/>
  </r>
  <r>
    <x v="1"/>
    <x v="4"/>
    <x v="25"/>
    <n v="53745"/>
    <n v="5130"/>
    <x v="4"/>
  </r>
  <r>
    <x v="1"/>
    <x v="4"/>
    <x v="59"/>
    <n v="2426"/>
    <n v="156"/>
    <x v="4"/>
  </r>
  <r>
    <x v="1"/>
    <x v="4"/>
    <x v="56"/>
    <n v="131"/>
    <n v="23"/>
    <x v="4"/>
  </r>
  <r>
    <x v="1"/>
    <x v="4"/>
    <x v="52"/>
    <n v="17926"/>
    <n v="2137"/>
    <x v="4"/>
  </r>
  <r>
    <x v="1"/>
    <x v="4"/>
    <x v="42"/>
    <n v="3267"/>
    <n v="308"/>
    <x v="22"/>
  </r>
  <r>
    <x v="1"/>
    <x v="4"/>
    <x v="57"/>
    <n v="66062"/>
    <n v="9141"/>
    <x v="4"/>
  </r>
  <r>
    <x v="1"/>
    <x v="4"/>
    <x v="21"/>
    <n v="7663"/>
    <n v="771"/>
    <x v="4"/>
  </r>
  <r>
    <x v="1"/>
    <x v="4"/>
    <x v="9"/>
    <n v="1746"/>
    <n v="170"/>
    <x v="19"/>
  </r>
  <r>
    <x v="1"/>
    <x v="4"/>
    <x v="23"/>
    <n v="42"/>
    <n v="8"/>
    <x v="2"/>
  </r>
  <r>
    <x v="1"/>
    <x v="4"/>
    <x v="11"/>
    <n v="136"/>
    <n v="26"/>
    <x v="29"/>
  </r>
  <r>
    <x v="1"/>
    <x v="4"/>
    <x v="53"/>
    <n v="72862"/>
    <n v="3387"/>
    <x v="10"/>
  </r>
  <r>
    <x v="1"/>
    <x v="4"/>
    <x v="51"/>
    <n v="5"/>
    <n v="5"/>
    <x v="10"/>
  </r>
  <r>
    <x v="1"/>
    <x v="4"/>
    <x v="24"/>
    <n v="967"/>
    <n v="86"/>
    <x v="8"/>
  </r>
  <r>
    <x v="1"/>
    <x v="4"/>
    <x v="24"/>
    <n v="961"/>
    <n v="99"/>
    <x v="16"/>
  </r>
  <r>
    <x v="1"/>
    <x v="10"/>
    <x v="0"/>
    <n v="0"/>
    <n v="0"/>
    <x v="21"/>
  </r>
  <r>
    <x v="1"/>
    <x v="10"/>
    <x v="0"/>
    <n v="0"/>
    <n v="0"/>
    <x v="2"/>
  </r>
  <r>
    <x v="1"/>
    <x v="10"/>
    <x v="4"/>
    <n v="6792"/>
    <n v="287"/>
    <x v="4"/>
  </r>
  <r>
    <x v="1"/>
    <x v="10"/>
    <x v="5"/>
    <n v="53991"/>
    <n v="4915"/>
    <x v="4"/>
  </r>
  <r>
    <x v="1"/>
    <x v="10"/>
    <x v="7"/>
    <n v="28514"/>
    <n v="2122"/>
    <x v="4"/>
  </r>
  <r>
    <x v="1"/>
    <x v="10"/>
    <x v="58"/>
    <n v="44919"/>
    <n v="5305"/>
    <x v="4"/>
  </r>
  <r>
    <x v="1"/>
    <x v="10"/>
    <x v="11"/>
    <n v="1478"/>
    <n v="156"/>
    <x v="7"/>
  </r>
  <r>
    <x v="1"/>
    <x v="10"/>
    <x v="2"/>
    <n v="707"/>
    <n v="100"/>
    <x v="8"/>
  </r>
  <r>
    <x v="1"/>
    <x v="10"/>
    <x v="2"/>
    <n v="782"/>
    <n v="167"/>
    <x v="19"/>
  </r>
  <r>
    <x v="1"/>
    <x v="10"/>
    <x v="2"/>
    <n v="259"/>
    <n v="68"/>
    <x v="16"/>
  </r>
  <r>
    <x v="1"/>
    <x v="10"/>
    <x v="2"/>
    <n v="2069"/>
    <n v="399"/>
    <x v="9"/>
  </r>
  <r>
    <x v="1"/>
    <x v="10"/>
    <x v="2"/>
    <n v="198"/>
    <n v="53"/>
    <x v="0"/>
  </r>
  <r>
    <x v="1"/>
    <x v="10"/>
    <x v="12"/>
    <n v="5"/>
    <n v="5"/>
    <x v="10"/>
  </r>
  <r>
    <x v="1"/>
    <x v="10"/>
    <x v="44"/>
    <n v="56586"/>
    <n v="2273"/>
    <x v="10"/>
  </r>
  <r>
    <x v="1"/>
    <x v="10"/>
    <x v="54"/>
    <n v="80353"/>
    <n v="3144"/>
    <x v="10"/>
  </r>
  <r>
    <x v="1"/>
    <x v="10"/>
    <x v="13"/>
    <n v="508"/>
    <n v="76"/>
    <x v="11"/>
  </r>
  <r>
    <x v="1"/>
    <x v="11"/>
    <x v="0"/>
    <n v="0"/>
    <n v="0"/>
    <x v="13"/>
  </r>
  <r>
    <x v="1"/>
    <x v="11"/>
    <x v="55"/>
    <n v="3699"/>
    <n v="264"/>
    <x v="4"/>
  </r>
  <r>
    <x v="1"/>
    <x v="11"/>
    <x v="15"/>
    <n v="0"/>
    <n v="0"/>
    <x v="14"/>
  </r>
  <r>
    <x v="1"/>
    <x v="11"/>
    <x v="16"/>
    <n v="3030"/>
    <n v="364"/>
    <x v="16"/>
  </r>
  <r>
    <x v="1"/>
    <x v="11"/>
    <x v="2"/>
    <n v="1"/>
    <n v="0"/>
    <x v="5"/>
  </r>
  <r>
    <x v="1"/>
    <x v="11"/>
    <x v="2"/>
    <n v="45"/>
    <n v="6"/>
    <x v="24"/>
  </r>
  <r>
    <x v="1"/>
    <x v="11"/>
    <x v="2"/>
    <n v="34"/>
    <n v="7"/>
    <x v="15"/>
  </r>
  <r>
    <x v="1"/>
    <x v="11"/>
    <x v="2"/>
    <n v="21"/>
    <n v="1"/>
    <x v="11"/>
  </r>
  <r>
    <x v="1"/>
    <x v="11"/>
    <x v="2"/>
    <n v="44"/>
    <n v="10"/>
    <x v="1"/>
  </r>
  <r>
    <x v="1"/>
    <x v="11"/>
    <x v="47"/>
    <n v="79102"/>
    <n v="2714"/>
    <x v="10"/>
  </r>
  <r>
    <x v="1"/>
    <x v="12"/>
    <x v="0"/>
    <n v="0"/>
    <n v="0"/>
    <x v="17"/>
  </r>
  <r>
    <x v="1"/>
    <x v="12"/>
    <x v="0"/>
    <n v="0"/>
    <n v="0"/>
    <x v="3"/>
  </r>
  <r>
    <x v="1"/>
    <x v="12"/>
    <x v="1"/>
    <n v="2920"/>
    <n v="470"/>
    <x v="0"/>
  </r>
  <r>
    <x v="1"/>
    <x v="12"/>
    <x v="49"/>
    <n v="1256"/>
    <n v="326"/>
    <x v="4"/>
  </r>
  <r>
    <x v="1"/>
    <x v="12"/>
    <x v="59"/>
    <n v="99"/>
    <n v="23"/>
    <x v="4"/>
  </r>
  <r>
    <x v="1"/>
    <x v="12"/>
    <x v="56"/>
    <n v="44"/>
    <n v="0"/>
    <x v="4"/>
  </r>
  <r>
    <x v="1"/>
    <x v="12"/>
    <x v="57"/>
    <n v="25751"/>
    <n v="2286"/>
    <x v="4"/>
  </r>
  <r>
    <x v="1"/>
    <x v="12"/>
    <x v="9"/>
    <n v="636"/>
    <n v="47"/>
    <x v="19"/>
  </r>
  <r>
    <x v="1"/>
    <x v="13"/>
    <x v="4"/>
    <n v="2"/>
    <n v="0"/>
    <x v="4"/>
  </r>
  <r>
    <x v="1"/>
    <x v="13"/>
    <x v="2"/>
    <n v="1"/>
    <n v="0"/>
    <x v="8"/>
  </r>
  <r>
    <x v="1"/>
    <x v="6"/>
    <x v="1"/>
    <n v="2141"/>
    <n v="523"/>
    <x v="1"/>
  </r>
  <r>
    <x v="1"/>
    <x v="6"/>
    <x v="14"/>
    <n v="10362"/>
    <n v="615"/>
    <x v="4"/>
  </r>
  <r>
    <x v="1"/>
    <x v="6"/>
    <x v="15"/>
    <n v="64315"/>
    <n v="5179"/>
    <x v="4"/>
  </r>
  <r>
    <x v="1"/>
    <x v="6"/>
    <x v="59"/>
    <n v="4871"/>
    <n v="409"/>
    <x v="4"/>
  </r>
  <r>
    <x v="1"/>
    <x v="6"/>
    <x v="56"/>
    <n v="377"/>
    <n v="122"/>
    <x v="4"/>
  </r>
  <r>
    <x v="1"/>
    <x v="6"/>
    <x v="42"/>
    <n v="842"/>
    <n v="125"/>
    <x v="22"/>
  </r>
  <r>
    <x v="1"/>
    <x v="6"/>
    <x v="57"/>
    <n v="66275"/>
    <n v="9589"/>
    <x v="4"/>
  </r>
  <r>
    <x v="1"/>
    <x v="6"/>
    <x v="9"/>
    <n v="4075"/>
    <n v="372"/>
    <x v="19"/>
  </r>
  <r>
    <x v="1"/>
    <x v="6"/>
    <x v="17"/>
    <n v="6336"/>
    <n v="987"/>
    <x v="8"/>
  </r>
  <r>
    <x v="1"/>
    <x v="6"/>
    <x v="17"/>
    <n v="13295"/>
    <n v="1610"/>
    <x v="16"/>
  </r>
  <r>
    <x v="1"/>
    <x v="6"/>
    <x v="35"/>
    <n v="3184"/>
    <n v="540"/>
    <x v="10"/>
  </r>
  <r>
    <x v="1"/>
    <x v="7"/>
    <x v="0"/>
    <n v="0"/>
    <n v="0"/>
    <x v="2"/>
  </r>
  <r>
    <x v="1"/>
    <x v="7"/>
    <x v="3"/>
    <n v="10203"/>
    <n v="1851"/>
    <x v="3"/>
  </r>
  <r>
    <x v="1"/>
    <x v="7"/>
    <x v="4"/>
    <n v="12941"/>
    <n v="672"/>
    <x v="4"/>
  </r>
  <r>
    <x v="1"/>
    <x v="7"/>
    <x v="5"/>
    <n v="26378"/>
    <n v="3269"/>
    <x v="4"/>
  </r>
  <r>
    <x v="1"/>
    <x v="7"/>
    <x v="6"/>
    <n v="6075"/>
    <n v="439"/>
    <x v="4"/>
  </r>
  <r>
    <x v="1"/>
    <x v="7"/>
    <x v="58"/>
    <n v="42542"/>
    <n v="8618"/>
    <x v="4"/>
  </r>
  <r>
    <x v="1"/>
    <x v="7"/>
    <x v="28"/>
    <n v="9082"/>
    <n v="2834"/>
    <x v="24"/>
  </r>
  <r>
    <x v="1"/>
    <x v="7"/>
    <x v="11"/>
    <n v="4845"/>
    <n v="423"/>
    <x v="7"/>
  </r>
  <r>
    <x v="1"/>
    <x v="7"/>
    <x v="2"/>
    <n v="690"/>
    <n v="129"/>
    <x v="8"/>
  </r>
  <r>
    <x v="1"/>
    <x v="7"/>
    <x v="2"/>
    <n v="213"/>
    <n v="60"/>
    <x v="16"/>
  </r>
  <r>
    <x v="1"/>
    <x v="7"/>
    <x v="2"/>
    <n v="21210"/>
    <n v="856"/>
    <x v="17"/>
  </r>
  <r>
    <x v="1"/>
    <x v="7"/>
    <x v="2"/>
    <n v="363"/>
    <n v="79"/>
    <x v="3"/>
  </r>
  <r>
    <x v="1"/>
    <x v="7"/>
    <x v="2"/>
    <n v="158"/>
    <n v="37"/>
    <x v="0"/>
  </r>
  <r>
    <x v="1"/>
    <x v="7"/>
    <x v="29"/>
    <n v="107341"/>
    <n v="7382"/>
    <x v="10"/>
  </r>
  <r>
    <x v="1"/>
    <x v="7"/>
    <x v="13"/>
    <n v="1110"/>
    <n v="252"/>
    <x v="11"/>
  </r>
  <r>
    <x v="1"/>
    <x v="0"/>
    <x v="0"/>
    <n v="0"/>
    <n v="0"/>
    <x v="10"/>
  </r>
  <r>
    <x v="1"/>
    <x v="0"/>
    <x v="0"/>
    <n v="0"/>
    <n v="0"/>
    <x v="13"/>
  </r>
  <r>
    <x v="1"/>
    <x v="0"/>
    <x v="15"/>
    <n v="0"/>
    <n v="0"/>
    <x v="14"/>
  </r>
  <r>
    <x v="1"/>
    <x v="0"/>
    <x v="9"/>
    <n v="353"/>
    <n v="37"/>
    <x v="5"/>
  </r>
  <r>
    <x v="1"/>
    <x v="0"/>
    <x v="16"/>
    <n v="2308"/>
    <n v="340"/>
    <x v="16"/>
  </r>
  <r>
    <x v="1"/>
    <x v="0"/>
    <x v="16"/>
    <n v="5815"/>
    <n v="801"/>
    <x v="2"/>
  </r>
  <r>
    <x v="1"/>
    <x v="0"/>
    <x v="2"/>
    <n v="2"/>
    <n v="0"/>
    <x v="5"/>
  </r>
  <r>
    <x v="1"/>
    <x v="0"/>
    <x v="2"/>
    <n v="167"/>
    <n v="52"/>
    <x v="11"/>
  </r>
  <r>
    <x v="1"/>
    <x v="0"/>
    <x v="2"/>
    <n v="37"/>
    <n v="8"/>
    <x v="1"/>
  </r>
  <r>
    <x v="1"/>
    <x v="0"/>
    <x v="31"/>
    <n v="70968"/>
    <n v="3375"/>
    <x v="10"/>
  </r>
  <r>
    <x v="1"/>
    <x v="1"/>
    <x v="1"/>
    <n v="2561"/>
    <n v="484"/>
    <x v="1"/>
  </r>
  <r>
    <x v="1"/>
    <x v="1"/>
    <x v="19"/>
    <n v="17126"/>
    <n v="923"/>
    <x v="4"/>
  </r>
  <r>
    <x v="1"/>
    <x v="1"/>
    <x v="14"/>
    <n v="10993"/>
    <n v="730"/>
    <x v="4"/>
  </r>
  <r>
    <x v="1"/>
    <x v="1"/>
    <x v="15"/>
    <n v="58001"/>
    <n v="4992"/>
    <x v="4"/>
  </r>
  <r>
    <x v="1"/>
    <x v="1"/>
    <x v="59"/>
    <n v="2487"/>
    <n v="216"/>
    <x v="4"/>
  </r>
  <r>
    <x v="1"/>
    <x v="1"/>
    <x v="9"/>
    <n v="2287"/>
    <n v="219"/>
    <x v="19"/>
  </r>
  <r>
    <x v="1"/>
    <x v="1"/>
    <x v="22"/>
    <n v="9127"/>
    <n v="1781"/>
    <x v="12"/>
  </r>
  <r>
    <x v="1"/>
    <x v="1"/>
    <x v="17"/>
    <n v="10229"/>
    <n v="1715"/>
    <x v="8"/>
  </r>
  <r>
    <x v="1"/>
    <x v="1"/>
    <x v="17"/>
    <n v="12340"/>
    <n v="1319"/>
    <x v="16"/>
  </r>
  <r>
    <x v="1"/>
    <x v="1"/>
    <x v="13"/>
    <n v="10107"/>
    <n v="1311"/>
    <x v="17"/>
  </r>
  <r>
    <x v="1"/>
    <x v="5"/>
    <x v="0"/>
    <n v="0"/>
    <n v="0"/>
    <x v="19"/>
  </r>
  <r>
    <x v="1"/>
    <x v="5"/>
    <x v="0"/>
    <n v="0"/>
    <n v="0"/>
    <x v="2"/>
  </r>
  <r>
    <x v="1"/>
    <x v="5"/>
    <x v="0"/>
    <n v="0"/>
    <n v="0"/>
    <x v="27"/>
  </r>
  <r>
    <x v="1"/>
    <x v="5"/>
    <x v="3"/>
    <n v="13533"/>
    <n v="2295"/>
    <x v="3"/>
  </r>
  <r>
    <x v="1"/>
    <x v="5"/>
    <x v="4"/>
    <n v="13523"/>
    <n v="580"/>
    <x v="4"/>
  </r>
  <r>
    <x v="1"/>
    <x v="5"/>
    <x v="20"/>
    <n v="35402"/>
    <n v="1556"/>
    <x v="4"/>
  </r>
  <r>
    <x v="1"/>
    <x v="5"/>
    <x v="5"/>
    <n v="63047"/>
    <n v="7365"/>
    <x v="4"/>
  </r>
  <r>
    <x v="1"/>
    <x v="5"/>
    <x v="25"/>
    <n v="819"/>
    <n v="147"/>
    <x v="22"/>
  </r>
  <r>
    <x v="1"/>
    <x v="5"/>
    <x v="6"/>
    <n v="5051"/>
    <n v="419"/>
    <x v="4"/>
  </r>
  <r>
    <x v="1"/>
    <x v="5"/>
    <x v="8"/>
    <n v="600"/>
    <n v="146"/>
    <x v="4"/>
  </r>
  <r>
    <x v="1"/>
    <x v="5"/>
    <x v="28"/>
    <n v="8983"/>
    <n v="2807"/>
    <x v="24"/>
  </r>
  <r>
    <x v="1"/>
    <x v="5"/>
    <x v="28"/>
    <n v="22972"/>
    <n v="2813"/>
    <x v="7"/>
  </r>
  <r>
    <x v="1"/>
    <x v="5"/>
    <x v="10"/>
    <n v="18125"/>
    <n v="394"/>
    <x v="6"/>
  </r>
  <r>
    <x v="1"/>
    <x v="5"/>
    <x v="11"/>
    <n v="10101"/>
    <n v="1458"/>
    <x v="7"/>
  </r>
  <r>
    <x v="1"/>
    <x v="5"/>
    <x v="2"/>
    <n v="806"/>
    <n v="184"/>
    <x v="8"/>
  </r>
  <r>
    <x v="1"/>
    <x v="5"/>
    <x v="2"/>
    <n v="279"/>
    <n v="71"/>
    <x v="16"/>
  </r>
  <r>
    <x v="1"/>
    <x v="5"/>
    <x v="2"/>
    <n v="3206"/>
    <n v="263"/>
    <x v="17"/>
  </r>
  <r>
    <x v="1"/>
    <x v="5"/>
    <x v="2"/>
    <n v="315"/>
    <n v="74"/>
    <x v="3"/>
  </r>
  <r>
    <x v="1"/>
    <x v="5"/>
    <x v="29"/>
    <n v="113341"/>
    <n v="6583"/>
    <x v="10"/>
  </r>
  <r>
    <x v="1"/>
    <x v="5"/>
    <x v="36"/>
    <n v="1061"/>
    <n v="229"/>
    <x v="8"/>
  </r>
  <r>
    <x v="1"/>
    <x v="5"/>
    <x v="13"/>
    <n v="962"/>
    <n v="209"/>
    <x v="11"/>
  </r>
  <r>
    <x v="1"/>
    <x v="8"/>
    <x v="0"/>
    <n v="0"/>
    <n v="0"/>
    <x v="12"/>
  </r>
  <r>
    <x v="1"/>
    <x v="8"/>
    <x v="0"/>
    <n v="0"/>
    <n v="0"/>
    <x v="10"/>
  </r>
  <r>
    <x v="1"/>
    <x v="8"/>
    <x v="0"/>
    <n v="0"/>
    <n v="0"/>
    <x v="13"/>
  </r>
  <r>
    <x v="1"/>
    <x v="8"/>
    <x v="37"/>
    <n v="5080"/>
    <n v="213"/>
    <x v="28"/>
  </r>
  <r>
    <x v="1"/>
    <x v="8"/>
    <x v="15"/>
    <n v="0"/>
    <n v="0"/>
    <x v="14"/>
  </r>
  <r>
    <x v="1"/>
    <x v="8"/>
    <x v="21"/>
    <n v="182"/>
    <n v="14"/>
    <x v="22"/>
  </r>
  <r>
    <x v="1"/>
    <x v="8"/>
    <x v="16"/>
    <n v="5435"/>
    <n v="721"/>
    <x v="2"/>
  </r>
  <r>
    <x v="1"/>
    <x v="8"/>
    <x v="11"/>
    <n v="1049"/>
    <n v="109"/>
    <x v="6"/>
  </r>
  <r>
    <x v="1"/>
    <x v="8"/>
    <x v="11"/>
    <n v="1049"/>
    <n v="102"/>
    <x v="13"/>
  </r>
  <r>
    <x v="1"/>
    <x v="8"/>
    <x v="2"/>
    <n v="18"/>
    <n v="8"/>
    <x v="1"/>
  </r>
  <r>
    <x v="1"/>
    <x v="8"/>
    <x v="31"/>
    <n v="70925"/>
    <n v="3064"/>
    <x v="10"/>
  </r>
  <r>
    <x v="1"/>
    <x v="8"/>
    <x v="18"/>
    <n v="19211"/>
    <n v="587"/>
    <x v="10"/>
  </r>
  <r>
    <x v="1"/>
    <x v="9"/>
    <x v="1"/>
    <n v="1571"/>
    <n v="337"/>
    <x v="1"/>
  </r>
  <r>
    <x v="1"/>
    <x v="9"/>
    <x v="19"/>
    <n v="11556"/>
    <n v="592"/>
    <x v="4"/>
  </r>
  <r>
    <x v="1"/>
    <x v="9"/>
    <x v="14"/>
    <n v="11407"/>
    <n v="651"/>
    <x v="4"/>
  </r>
  <r>
    <x v="1"/>
    <x v="9"/>
    <x v="20"/>
    <n v="25"/>
    <n v="25"/>
    <x v="14"/>
  </r>
  <r>
    <x v="1"/>
    <x v="9"/>
    <x v="39"/>
    <n v="80108"/>
    <n v="6677"/>
    <x v="4"/>
  </r>
  <r>
    <x v="1"/>
    <x v="9"/>
    <x v="9"/>
    <n v="3743"/>
    <n v="328"/>
    <x v="19"/>
  </r>
  <r>
    <x v="1"/>
    <x v="9"/>
    <x v="22"/>
    <n v="13750"/>
    <n v="1875"/>
    <x v="19"/>
  </r>
  <r>
    <x v="1"/>
    <x v="9"/>
    <x v="22"/>
    <n v="9030"/>
    <n v="1566"/>
    <x v="12"/>
  </r>
  <r>
    <x v="1"/>
    <x v="9"/>
    <x v="17"/>
    <n v="11717"/>
    <n v="1070"/>
    <x v="16"/>
  </r>
  <r>
    <x v="1"/>
    <x v="9"/>
    <x v="35"/>
    <n v="1932"/>
    <n v="289"/>
    <x v="10"/>
  </r>
  <r>
    <x v="1"/>
    <x v="9"/>
    <x v="13"/>
    <n v="8867"/>
    <n v="1076"/>
    <x v="17"/>
  </r>
  <r>
    <x v="1"/>
    <x v="3"/>
    <x v="0"/>
    <n v="0"/>
    <n v="0"/>
    <x v="19"/>
  </r>
  <r>
    <x v="1"/>
    <x v="3"/>
    <x v="0"/>
    <n v="0"/>
    <n v="0"/>
    <x v="2"/>
  </r>
  <r>
    <x v="1"/>
    <x v="3"/>
    <x v="0"/>
    <n v="0"/>
    <n v="0"/>
    <x v="27"/>
  </r>
  <r>
    <x v="1"/>
    <x v="3"/>
    <x v="3"/>
    <n v="14049"/>
    <n v="2145"/>
    <x v="3"/>
  </r>
  <r>
    <x v="1"/>
    <x v="3"/>
    <x v="3"/>
    <n v="774"/>
    <n v="97"/>
    <x v="0"/>
  </r>
  <r>
    <x v="1"/>
    <x v="3"/>
    <x v="20"/>
    <n v="36921"/>
    <n v="1535"/>
    <x v="4"/>
  </r>
  <r>
    <x v="1"/>
    <x v="3"/>
    <x v="25"/>
    <n v="714"/>
    <n v="165"/>
    <x v="22"/>
  </r>
  <r>
    <x v="1"/>
    <x v="3"/>
    <x v="6"/>
    <n v="4553"/>
    <n v="256"/>
    <x v="4"/>
  </r>
  <r>
    <x v="1"/>
    <x v="3"/>
    <x v="8"/>
    <n v="404"/>
    <n v="98"/>
    <x v="4"/>
  </r>
  <r>
    <x v="1"/>
    <x v="3"/>
    <x v="28"/>
    <n v="5809"/>
    <n v="2398"/>
    <x v="24"/>
  </r>
  <r>
    <x v="1"/>
    <x v="3"/>
    <x v="28"/>
    <n v="6477"/>
    <n v="665"/>
    <x v="2"/>
  </r>
  <r>
    <x v="1"/>
    <x v="3"/>
    <x v="28"/>
    <n v="16495"/>
    <n v="1883"/>
    <x v="7"/>
  </r>
  <r>
    <x v="1"/>
    <x v="3"/>
    <x v="27"/>
    <n v="3134"/>
    <n v="458"/>
    <x v="29"/>
  </r>
  <r>
    <x v="1"/>
    <x v="3"/>
    <x v="10"/>
    <n v="19745"/>
    <n v="385"/>
    <x v="6"/>
  </r>
  <r>
    <x v="1"/>
    <x v="3"/>
    <x v="2"/>
    <n v="223"/>
    <n v="54"/>
    <x v="16"/>
  </r>
  <r>
    <x v="1"/>
    <x v="3"/>
    <x v="2"/>
    <n v="15515"/>
    <n v="1791"/>
    <x v="17"/>
  </r>
  <r>
    <x v="1"/>
    <x v="3"/>
    <x v="2"/>
    <n v="367"/>
    <n v="77"/>
    <x v="3"/>
  </r>
  <r>
    <x v="1"/>
    <x v="3"/>
    <x v="29"/>
    <n v="110689"/>
    <n v="5971"/>
    <x v="10"/>
  </r>
  <r>
    <x v="1"/>
    <x v="3"/>
    <x v="36"/>
    <n v="1000"/>
    <n v="243"/>
    <x v="8"/>
  </r>
  <r>
    <x v="1"/>
    <x v="3"/>
    <x v="36"/>
    <n v="765"/>
    <n v="174"/>
    <x v="16"/>
  </r>
  <r>
    <x v="1"/>
    <x v="3"/>
    <x v="13"/>
    <n v="790"/>
    <n v="164"/>
    <x v="11"/>
  </r>
  <r>
    <x v="1"/>
    <x v="2"/>
    <x v="0"/>
    <n v="10"/>
    <n v="10"/>
    <x v="4"/>
  </r>
  <r>
    <x v="1"/>
    <x v="2"/>
    <x v="0"/>
    <n v="0"/>
    <n v="0"/>
    <x v="12"/>
  </r>
  <r>
    <x v="1"/>
    <x v="2"/>
    <x v="0"/>
    <n v="0"/>
    <n v="0"/>
    <x v="10"/>
  </r>
  <r>
    <x v="1"/>
    <x v="2"/>
    <x v="0"/>
    <n v="0"/>
    <n v="0"/>
    <x v="13"/>
  </r>
  <r>
    <x v="1"/>
    <x v="2"/>
    <x v="37"/>
    <n v="4279"/>
    <n v="189"/>
    <x v="28"/>
  </r>
  <r>
    <x v="1"/>
    <x v="2"/>
    <x v="21"/>
    <n v="279"/>
    <n v="18"/>
    <x v="22"/>
  </r>
  <r>
    <x v="1"/>
    <x v="2"/>
    <x v="26"/>
    <n v="3047"/>
    <n v="309"/>
    <x v="15"/>
  </r>
  <r>
    <x v="1"/>
    <x v="2"/>
    <x v="27"/>
    <n v="14697"/>
    <n v="2293"/>
    <x v="23"/>
  </r>
  <r>
    <x v="1"/>
    <x v="2"/>
    <x v="16"/>
    <n v="5008"/>
    <n v="671"/>
    <x v="2"/>
  </r>
  <r>
    <x v="1"/>
    <x v="2"/>
    <x v="11"/>
    <n v="799"/>
    <n v="102"/>
    <x v="6"/>
  </r>
  <r>
    <x v="1"/>
    <x v="2"/>
    <x v="11"/>
    <n v="960"/>
    <n v="103"/>
    <x v="13"/>
  </r>
  <r>
    <x v="1"/>
    <x v="2"/>
    <x v="2"/>
    <n v="3"/>
    <n v="0"/>
    <x v="1"/>
  </r>
  <r>
    <x v="1"/>
    <x v="2"/>
    <x v="31"/>
    <n v="54806"/>
    <n v="1676"/>
    <x v="10"/>
  </r>
  <r>
    <x v="1"/>
    <x v="2"/>
    <x v="18"/>
    <n v="18752"/>
    <n v="543"/>
    <x v="10"/>
  </r>
  <r>
    <x v="1"/>
    <x v="4"/>
    <x v="1"/>
    <n v="1803"/>
    <n v="300"/>
    <x v="1"/>
  </r>
  <r>
    <x v="1"/>
    <x v="4"/>
    <x v="19"/>
    <n v="9214"/>
    <n v="396"/>
    <x v="4"/>
  </r>
  <r>
    <x v="1"/>
    <x v="4"/>
    <x v="20"/>
    <n v="27"/>
    <n v="27"/>
    <x v="14"/>
  </r>
  <r>
    <x v="1"/>
    <x v="4"/>
    <x v="39"/>
    <n v="87096"/>
    <n v="7511"/>
    <x v="4"/>
  </r>
  <r>
    <x v="1"/>
    <x v="4"/>
    <x v="16"/>
    <n v="9201"/>
    <n v="885"/>
    <x v="24"/>
  </r>
  <r>
    <x v="1"/>
    <x v="4"/>
    <x v="22"/>
    <n v="12264"/>
    <n v="1769"/>
    <x v="19"/>
  </r>
  <r>
    <x v="1"/>
    <x v="4"/>
    <x v="22"/>
    <n v="9062"/>
    <n v="1606"/>
    <x v="12"/>
  </r>
  <r>
    <x v="1"/>
    <x v="4"/>
    <x v="23"/>
    <n v="3"/>
    <n v="0"/>
    <x v="24"/>
  </r>
  <r>
    <x v="1"/>
    <x v="4"/>
    <x v="11"/>
    <n v="6998"/>
    <n v="1161"/>
    <x v="25"/>
  </r>
  <r>
    <x v="1"/>
    <x v="4"/>
    <x v="13"/>
    <n v="7754"/>
    <n v="805"/>
    <x v="17"/>
  </r>
  <r>
    <x v="1"/>
    <x v="10"/>
    <x v="0"/>
    <n v="0"/>
    <n v="0"/>
    <x v="19"/>
  </r>
  <r>
    <x v="1"/>
    <x v="10"/>
    <x v="0"/>
    <n v="0"/>
    <n v="0"/>
    <x v="9"/>
  </r>
  <r>
    <x v="1"/>
    <x v="10"/>
    <x v="0"/>
    <n v="0"/>
    <n v="0"/>
    <x v="27"/>
  </r>
  <r>
    <x v="1"/>
    <x v="10"/>
    <x v="3"/>
    <n v="12011"/>
    <n v="1802"/>
    <x v="3"/>
  </r>
  <r>
    <x v="1"/>
    <x v="10"/>
    <x v="3"/>
    <n v="416"/>
    <n v="43"/>
    <x v="0"/>
  </r>
  <r>
    <x v="1"/>
    <x v="10"/>
    <x v="41"/>
    <n v="32561"/>
    <n v="3186"/>
    <x v="4"/>
  </r>
  <r>
    <x v="1"/>
    <x v="10"/>
    <x v="20"/>
    <n v="47108"/>
    <n v="1941"/>
    <x v="4"/>
  </r>
  <r>
    <x v="1"/>
    <x v="10"/>
    <x v="6"/>
    <n v="2294"/>
    <n v="135"/>
    <x v="4"/>
  </r>
  <r>
    <x v="1"/>
    <x v="10"/>
    <x v="30"/>
    <n v="1001"/>
    <n v="49"/>
    <x v="4"/>
  </r>
  <r>
    <x v="1"/>
    <x v="10"/>
    <x v="8"/>
    <n v="28"/>
    <n v="1"/>
    <x v="4"/>
  </r>
  <r>
    <x v="1"/>
    <x v="10"/>
    <x v="28"/>
    <n v="3258"/>
    <n v="387"/>
    <x v="24"/>
  </r>
  <r>
    <x v="1"/>
    <x v="10"/>
    <x v="28"/>
    <n v="11238"/>
    <n v="1556"/>
    <x v="7"/>
  </r>
  <r>
    <x v="1"/>
    <x v="10"/>
    <x v="27"/>
    <n v="2429"/>
    <n v="443"/>
    <x v="29"/>
  </r>
  <r>
    <x v="1"/>
    <x v="10"/>
    <x v="2"/>
    <n v="4049"/>
    <n v="710"/>
    <x v="2"/>
  </r>
  <r>
    <x v="1"/>
    <x v="10"/>
    <x v="2"/>
    <n v="100"/>
    <n v="28"/>
    <x v="17"/>
  </r>
  <r>
    <x v="1"/>
    <x v="10"/>
    <x v="29"/>
    <n v="111553"/>
    <n v="5067"/>
    <x v="10"/>
  </r>
  <r>
    <x v="1"/>
    <x v="10"/>
    <x v="43"/>
    <n v="106020"/>
    <n v="5011"/>
    <x v="10"/>
  </r>
  <r>
    <x v="1"/>
    <x v="10"/>
    <x v="36"/>
    <n v="1006"/>
    <n v="276"/>
    <x v="8"/>
  </r>
  <r>
    <x v="1"/>
    <x v="10"/>
    <x v="32"/>
    <n v="6508"/>
    <n v="752"/>
    <x v="2"/>
  </r>
  <r>
    <x v="1"/>
    <x v="11"/>
    <x v="0"/>
    <n v="14"/>
    <n v="14"/>
    <x v="4"/>
  </r>
  <r>
    <x v="1"/>
    <x v="11"/>
    <x v="0"/>
    <n v="0"/>
    <n v="0"/>
    <x v="12"/>
  </r>
  <r>
    <x v="1"/>
    <x v="11"/>
    <x v="0"/>
    <n v="0"/>
    <n v="0"/>
    <x v="10"/>
  </r>
  <r>
    <x v="1"/>
    <x v="11"/>
    <x v="37"/>
    <n v="11"/>
    <n v="0"/>
    <x v="28"/>
  </r>
  <r>
    <x v="1"/>
    <x v="11"/>
    <x v="1"/>
    <n v="6594"/>
    <n v="330"/>
    <x v="2"/>
  </r>
  <r>
    <x v="1"/>
    <x v="11"/>
    <x v="33"/>
    <n v="198"/>
    <n v="44"/>
    <x v="4"/>
  </r>
  <r>
    <x v="1"/>
    <x v="11"/>
    <x v="26"/>
    <n v="1151"/>
    <n v="179"/>
    <x v="15"/>
  </r>
  <r>
    <x v="1"/>
    <x v="11"/>
    <x v="9"/>
    <n v="1380"/>
    <n v="104"/>
    <x v="12"/>
  </r>
  <r>
    <x v="1"/>
    <x v="11"/>
    <x v="9"/>
    <n v="17937"/>
    <n v="2723"/>
    <x v="2"/>
  </r>
  <r>
    <x v="1"/>
    <x v="11"/>
    <x v="27"/>
    <n v="7691"/>
    <n v="1229"/>
    <x v="23"/>
  </r>
  <r>
    <x v="1"/>
    <x v="11"/>
    <x v="16"/>
    <n v="6213"/>
    <n v="727"/>
    <x v="2"/>
  </r>
  <r>
    <x v="1"/>
    <x v="11"/>
    <x v="11"/>
    <n v="11"/>
    <n v="1"/>
    <x v="12"/>
  </r>
  <r>
    <x v="1"/>
    <x v="11"/>
    <x v="11"/>
    <n v="221"/>
    <n v="49"/>
    <x v="13"/>
  </r>
  <r>
    <x v="1"/>
    <x v="11"/>
    <x v="11"/>
    <n v="4"/>
    <n v="2"/>
    <x v="26"/>
  </r>
  <r>
    <x v="1"/>
    <x v="12"/>
    <x v="0"/>
    <n v="0"/>
    <n v="0"/>
    <x v="0"/>
  </r>
  <r>
    <x v="1"/>
    <x v="12"/>
    <x v="19"/>
    <n v="21227"/>
    <n v="386"/>
    <x v="4"/>
  </r>
  <r>
    <x v="1"/>
    <x v="12"/>
    <x v="20"/>
    <n v="15"/>
    <n v="15"/>
    <x v="14"/>
  </r>
  <r>
    <x v="1"/>
    <x v="12"/>
    <x v="39"/>
    <n v="27096"/>
    <n v="1300"/>
    <x v="4"/>
  </r>
  <r>
    <x v="1"/>
    <x v="12"/>
    <x v="16"/>
    <n v="1741"/>
    <n v="94"/>
    <x v="24"/>
  </r>
  <r>
    <x v="1"/>
    <x v="12"/>
    <x v="22"/>
    <n v="3318"/>
    <n v="380"/>
    <x v="19"/>
  </r>
  <r>
    <x v="1"/>
    <x v="12"/>
    <x v="22"/>
    <n v="4147"/>
    <n v="571"/>
    <x v="12"/>
  </r>
  <r>
    <x v="1"/>
    <x v="12"/>
    <x v="11"/>
    <n v="46"/>
    <n v="5"/>
    <x v="29"/>
  </r>
  <r>
    <x v="1"/>
    <x v="12"/>
    <x v="11"/>
    <n v="1173"/>
    <n v="214"/>
    <x v="25"/>
  </r>
  <r>
    <x v="1"/>
    <x v="12"/>
    <x v="51"/>
    <n v="2"/>
    <n v="2"/>
    <x v="10"/>
  </r>
  <r>
    <x v="1"/>
    <x v="12"/>
    <x v="13"/>
    <n v="803"/>
    <n v="57"/>
    <x v="2"/>
  </r>
  <r>
    <x v="1"/>
    <x v="12"/>
    <x v="13"/>
    <n v="4814"/>
    <n v="385"/>
    <x v="17"/>
  </r>
  <r>
    <x v="1"/>
    <x v="13"/>
    <x v="38"/>
    <n v="29"/>
    <n v="1"/>
    <x v="4"/>
  </r>
  <r>
    <x v="1"/>
    <x v="13"/>
    <x v="36"/>
    <n v="1"/>
    <n v="0"/>
    <x v="8"/>
  </r>
  <r>
    <x v="1"/>
    <x v="6"/>
    <x v="0"/>
    <n v="0"/>
    <n v="0"/>
    <x v="1"/>
  </r>
  <r>
    <x v="1"/>
    <x v="6"/>
    <x v="0"/>
    <n v="0"/>
    <n v="0"/>
    <x v="0"/>
  </r>
  <r>
    <x v="1"/>
    <x v="6"/>
    <x v="1"/>
    <n v="5378"/>
    <n v="643"/>
    <x v="2"/>
  </r>
  <r>
    <x v="1"/>
    <x v="6"/>
    <x v="19"/>
    <n v="13577"/>
    <n v="607"/>
    <x v="4"/>
  </r>
  <r>
    <x v="1"/>
    <x v="6"/>
    <x v="14"/>
    <n v="5117"/>
    <n v="123"/>
    <x v="22"/>
  </r>
  <r>
    <x v="1"/>
    <x v="6"/>
    <x v="15"/>
    <n v="0"/>
    <n v="0"/>
    <x v="14"/>
  </r>
  <r>
    <x v="1"/>
    <x v="6"/>
    <x v="45"/>
    <n v="6759"/>
    <n v="1032"/>
    <x v="4"/>
  </r>
  <r>
    <x v="1"/>
    <x v="6"/>
    <x v="46"/>
    <n v="14426"/>
    <n v="2210"/>
    <x v="4"/>
  </r>
  <r>
    <x v="1"/>
    <x v="6"/>
    <x v="28"/>
    <n v="8448"/>
    <n v="2718"/>
    <x v="24"/>
  </r>
  <r>
    <x v="1"/>
    <x v="6"/>
    <x v="28"/>
    <n v="17689"/>
    <n v="2282"/>
    <x v="7"/>
  </r>
  <r>
    <x v="1"/>
    <x v="6"/>
    <x v="16"/>
    <n v="5245"/>
    <n v="442"/>
    <x v="8"/>
  </r>
  <r>
    <x v="1"/>
    <x v="6"/>
    <x v="22"/>
    <n v="7469"/>
    <n v="1151"/>
    <x v="12"/>
  </r>
  <r>
    <x v="1"/>
    <x v="6"/>
    <x v="23"/>
    <n v="87"/>
    <n v="43"/>
    <x v="24"/>
  </r>
  <r>
    <x v="1"/>
    <x v="6"/>
    <x v="11"/>
    <n v="116"/>
    <n v="3"/>
    <x v="12"/>
  </r>
  <r>
    <x v="1"/>
    <x v="6"/>
    <x v="2"/>
    <n v="0"/>
    <n v="0"/>
    <x v="5"/>
  </r>
  <r>
    <x v="1"/>
    <x v="6"/>
    <x v="2"/>
    <n v="8"/>
    <n v="1"/>
    <x v="15"/>
  </r>
  <r>
    <x v="1"/>
    <x v="6"/>
    <x v="2"/>
    <n v="179"/>
    <n v="57"/>
    <x v="11"/>
  </r>
  <r>
    <x v="1"/>
    <x v="6"/>
    <x v="47"/>
    <n v="84348"/>
    <n v="4552"/>
    <x v="10"/>
  </r>
  <r>
    <x v="1"/>
    <x v="6"/>
    <x v="13"/>
    <n v="2641"/>
    <n v="219"/>
    <x v="2"/>
  </r>
  <r>
    <x v="1"/>
    <x v="7"/>
    <x v="0"/>
    <n v="0"/>
    <n v="0"/>
    <x v="20"/>
  </r>
  <r>
    <x v="1"/>
    <x v="7"/>
    <x v="0"/>
    <n v="0"/>
    <n v="0"/>
    <x v="17"/>
  </r>
  <r>
    <x v="1"/>
    <x v="7"/>
    <x v="0"/>
    <n v="0"/>
    <n v="0"/>
    <x v="3"/>
  </r>
  <r>
    <x v="1"/>
    <x v="7"/>
    <x v="3"/>
    <n v="243"/>
    <n v="42"/>
    <x v="1"/>
  </r>
  <r>
    <x v="1"/>
    <x v="7"/>
    <x v="38"/>
    <n v="18477"/>
    <n v="2013"/>
    <x v="4"/>
  </r>
  <r>
    <x v="1"/>
    <x v="7"/>
    <x v="30"/>
    <n v="2470"/>
    <n v="140"/>
    <x v="4"/>
  </r>
  <r>
    <x v="1"/>
    <x v="7"/>
    <x v="42"/>
    <n v="6677"/>
    <n v="262"/>
    <x v="4"/>
  </r>
  <r>
    <x v="1"/>
    <x v="7"/>
    <x v="42"/>
    <n v="14078"/>
    <n v="1199"/>
    <x v="22"/>
  </r>
  <r>
    <x v="1"/>
    <x v="7"/>
    <x v="8"/>
    <n v="526"/>
    <n v="134"/>
    <x v="4"/>
  </r>
  <r>
    <x v="1"/>
    <x v="7"/>
    <x v="57"/>
    <n v="60866"/>
    <n v="9376"/>
    <x v="4"/>
  </r>
  <r>
    <x v="1"/>
    <x v="7"/>
    <x v="21"/>
    <n v="8046"/>
    <n v="780"/>
    <x v="4"/>
  </r>
  <r>
    <x v="1"/>
    <x v="7"/>
    <x v="21"/>
    <n v="225"/>
    <n v="23"/>
    <x v="22"/>
  </r>
  <r>
    <x v="1"/>
    <x v="7"/>
    <x v="9"/>
    <n v="2776"/>
    <n v="237"/>
    <x v="19"/>
  </r>
  <r>
    <x v="1"/>
    <x v="7"/>
    <x v="10"/>
    <n v="20962"/>
    <n v="573"/>
    <x v="6"/>
  </r>
  <r>
    <x v="1"/>
    <x v="7"/>
    <x v="11"/>
    <n v="26"/>
    <n v="5"/>
    <x v="29"/>
  </r>
  <r>
    <x v="1"/>
    <x v="7"/>
    <x v="11"/>
    <n v="843"/>
    <n v="128"/>
    <x v="13"/>
  </r>
  <r>
    <x v="1"/>
    <x v="7"/>
    <x v="53"/>
    <n v="85928"/>
    <n v="4975"/>
    <x v="10"/>
  </r>
  <r>
    <x v="1"/>
    <x v="7"/>
    <x v="51"/>
    <n v="13"/>
    <n v="13"/>
    <x v="10"/>
  </r>
  <r>
    <x v="1"/>
    <x v="7"/>
    <x v="24"/>
    <n v="3855"/>
    <n v="669"/>
    <x v="16"/>
  </r>
  <r>
    <x v="1"/>
    <x v="7"/>
    <x v="32"/>
    <n v="7491"/>
    <n v="1009"/>
    <x v="2"/>
  </r>
  <r>
    <x v="1"/>
    <x v="0"/>
    <x v="0"/>
    <n v="0"/>
    <n v="0"/>
    <x v="21"/>
  </r>
  <r>
    <x v="1"/>
    <x v="0"/>
    <x v="0"/>
    <n v="0"/>
    <n v="0"/>
    <x v="2"/>
  </r>
  <r>
    <x v="1"/>
    <x v="0"/>
    <x v="1"/>
    <n v="65"/>
    <n v="4"/>
    <x v="30"/>
  </r>
  <r>
    <x v="1"/>
    <x v="0"/>
    <x v="14"/>
    <n v="10558"/>
    <n v="712"/>
    <x v="4"/>
  </r>
  <r>
    <x v="1"/>
    <x v="0"/>
    <x v="5"/>
    <n v="62423"/>
    <n v="8206"/>
    <x v="4"/>
  </r>
  <r>
    <x v="1"/>
    <x v="0"/>
    <x v="39"/>
    <n v="85268"/>
    <n v="6068"/>
    <x v="4"/>
  </r>
  <r>
    <x v="1"/>
    <x v="0"/>
    <x v="7"/>
    <n v="54866"/>
    <n v="5084"/>
    <x v="4"/>
  </r>
  <r>
    <x v="1"/>
    <x v="0"/>
    <x v="33"/>
    <n v="494"/>
    <n v="124"/>
    <x v="4"/>
  </r>
  <r>
    <x v="1"/>
    <x v="0"/>
    <x v="58"/>
    <n v="40145"/>
    <n v="6869"/>
    <x v="4"/>
  </r>
  <r>
    <x v="1"/>
    <x v="0"/>
    <x v="28"/>
    <n v="7202"/>
    <n v="879"/>
    <x v="2"/>
  </r>
  <r>
    <x v="1"/>
    <x v="0"/>
    <x v="27"/>
    <n v="16204"/>
    <n v="2296"/>
    <x v="23"/>
  </r>
  <r>
    <x v="1"/>
    <x v="0"/>
    <x v="27"/>
    <n v="7696"/>
    <n v="716"/>
    <x v="19"/>
  </r>
  <r>
    <x v="1"/>
    <x v="0"/>
    <x v="11"/>
    <n v="8646"/>
    <n v="911"/>
    <x v="7"/>
  </r>
  <r>
    <x v="1"/>
    <x v="0"/>
    <x v="2"/>
    <n v="1219"/>
    <n v="225"/>
    <x v="19"/>
  </r>
  <r>
    <x v="1"/>
    <x v="0"/>
    <x v="2"/>
    <n v="207"/>
    <n v="51"/>
    <x v="16"/>
  </r>
  <r>
    <x v="1"/>
    <x v="0"/>
    <x v="2"/>
    <n v="5416"/>
    <n v="921"/>
    <x v="9"/>
  </r>
  <r>
    <x v="1"/>
    <x v="0"/>
    <x v="43"/>
    <n v="103504"/>
    <n v="6135"/>
    <x v="10"/>
  </r>
  <r>
    <x v="1"/>
    <x v="0"/>
    <x v="44"/>
    <n v="94630"/>
    <n v="4762"/>
    <x v="10"/>
  </r>
  <r>
    <x v="1"/>
    <x v="0"/>
    <x v="13"/>
    <n v="12059"/>
    <n v="1534"/>
    <x v="17"/>
  </r>
  <r>
    <x v="1"/>
    <x v="1"/>
    <x v="0"/>
    <n v="0"/>
    <n v="0"/>
    <x v="27"/>
  </r>
  <r>
    <x v="1"/>
    <x v="1"/>
    <x v="0"/>
    <n v="0"/>
    <n v="0"/>
    <x v="0"/>
  </r>
  <r>
    <x v="1"/>
    <x v="1"/>
    <x v="1"/>
    <n v="9463"/>
    <n v="1765"/>
    <x v="3"/>
  </r>
  <r>
    <x v="1"/>
    <x v="1"/>
    <x v="3"/>
    <n v="709"/>
    <n v="89"/>
    <x v="0"/>
  </r>
  <r>
    <x v="1"/>
    <x v="1"/>
    <x v="19"/>
    <n v="5034"/>
    <n v="221"/>
    <x v="22"/>
  </r>
  <r>
    <x v="1"/>
    <x v="1"/>
    <x v="14"/>
    <n v="24729"/>
    <n v="614"/>
    <x v="22"/>
  </r>
  <r>
    <x v="1"/>
    <x v="1"/>
    <x v="15"/>
    <n v="0"/>
    <n v="0"/>
    <x v="14"/>
  </r>
  <r>
    <x v="1"/>
    <x v="1"/>
    <x v="50"/>
    <n v="32243"/>
    <n v="1015"/>
    <x v="27"/>
  </r>
  <r>
    <x v="1"/>
    <x v="1"/>
    <x v="46"/>
    <n v="15714"/>
    <n v="1710"/>
    <x v="4"/>
  </r>
  <r>
    <x v="1"/>
    <x v="1"/>
    <x v="28"/>
    <n v="8666"/>
    <n v="2683"/>
    <x v="24"/>
  </r>
  <r>
    <x v="1"/>
    <x v="1"/>
    <x v="28"/>
    <n v="27043"/>
    <n v="2968"/>
    <x v="7"/>
  </r>
  <r>
    <x v="1"/>
    <x v="1"/>
    <x v="27"/>
    <n v="2330"/>
    <n v="350"/>
    <x v="29"/>
  </r>
  <r>
    <x v="1"/>
    <x v="1"/>
    <x v="23"/>
    <n v="82"/>
    <n v="43"/>
    <x v="24"/>
  </r>
  <r>
    <x v="1"/>
    <x v="1"/>
    <x v="2"/>
    <n v="5"/>
    <n v="0"/>
    <x v="5"/>
  </r>
  <r>
    <x v="1"/>
    <x v="1"/>
    <x v="2"/>
    <n v="7"/>
    <n v="3"/>
    <x v="15"/>
  </r>
  <r>
    <x v="1"/>
    <x v="1"/>
    <x v="2"/>
    <n v="165"/>
    <n v="47"/>
    <x v="11"/>
  </r>
  <r>
    <x v="1"/>
    <x v="1"/>
    <x v="2"/>
    <n v="9"/>
    <n v="0"/>
    <x v="1"/>
  </r>
  <r>
    <x v="1"/>
    <x v="1"/>
    <x v="47"/>
    <n v="85665"/>
    <n v="5036"/>
    <x v="10"/>
  </r>
  <r>
    <x v="1"/>
    <x v="1"/>
    <x v="36"/>
    <n v="1074"/>
    <n v="254"/>
    <x v="8"/>
  </r>
  <r>
    <x v="1"/>
    <x v="1"/>
    <x v="13"/>
    <n v="2182"/>
    <n v="250"/>
    <x v="2"/>
  </r>
  <r>
    <x v="1"/>
    <x v="5"/>
    <x v="0"/>
    <n v="0"/>
    <n v="0"/>
    <x v="20"/>
  </r>
  <r>
    <x v="1"/>
    <x v="5"/>
    <x v="0"/>
    <n v="0"/>
    <n v="0"/>
    <x v="17"/>
  </r>
  <r>
    <x v="1"/>
    <x v="5"/>
    <x v="0"/>
    <n v="0"/>
    <n v="0"/>
    <x v="3"/>
  </r>
  <r>
    <x v="1"/>
    <x v="5"/>
    <x v="3"/>
    <n v="183"/>
    <n v="20"/>
    <x v="1"/>
  </r>
  <r>
    <x v="1"/>
    <x v="5"/>
    <x v="38"/>
    <n v="18868"/>
    <n v="1856"/>
    <x v="4"/>
  </r>
  <r>
    <x v="1"/>
    <x v="5"/>
    <x v="30"/>
    <n v="2210"/>
    <n v="88"/>
    <x v="4"/>
  </r>
  <r>
    <x v="1"/>
    <x v="5"/>
    <x v="42"/>
    <n v="16876"/>
    <n v="1356"/>
    <x v="22"/>
  </r>
  <r>
    <x v="1"/>
    <x v="5"/>
    <x v="57"/>
    <n v="74716"/>
    <n v="9647"/>
    <x v="4"/>
  </r>
  <r>
    <x v="1"/>
    <x v="5"/>
    <x v="21"/>
    <n v="10712"/>
    <n v="1008"/>
    <x v="4"/>
  </r>
  <r>
    <x v="1"/>
    <x v="5"/>
    <x v="21"/>
    <n v="283"/>
    <n v="30"/>
    <x v="22"/>
  </r>
  <r>
    <x v="1"/>
    <x v="5"/>
    <x v="9"/>
    <n v="1561"/>
    <n v="132"/>
    <x v="19"/>
  </r>
  <r>
    <x v="1"/>
    <x v="5"/>
    <x v="11"/>
    <n v="35"/>
    <n v="4"/>
    <x v="29"/>
  </r>
  <r>
    <x v="1"/>
    <x v="5"/>
    <x v="11"/>
    <n v="857"/>
    <n v="94"/>
    <x v="13"/>
  </r>
  <r>
    <x v="1"/>
    <x v="5"/>
    <x v="24"/>
    <n v="2998"/>
    <n v="511"/>
    <x v="16"/>
  </r>
  <r>
    <x v="1"/>
    <x v="5"/>
    <x v="32"/>
    <n v="5759"/>
    <n v="1056"/>
    <x v="2"/>
  </r>
  <r>
    <x v="1"/>
    <x v="8"/>
    <x v="0"/>
    <n v="0"/>
    <n v="0"/>
    <x v="21"/>
  </r>
  <r>
    <x v="1"/>
    <x v="8"/>
    <x v="0"/>
    <n v="0"/>
    <n v="0"/>
    <x v="2"/>
  </r>
  <r>
    <x v="1"/>
    <x v="8"/>
    <x v="5"/>
    <n v="48924"/>
    <n v="5673"/>
    <x v="4"/>
  </r>
  <r>
    <x v="1"/>
    <x v="8"/>
    <x v="39"/>
    <n v="78462"/>
    <n v="6716"/>
    <x v="4"/>
  </r>
  <r>
    <x v="1"/>
    <x v="8"/>
    <x v="6"/>
    <n v="5272"/>
    <n v="358"/>
    <x v="4"/>
  </r>
  <r>
    <x v="1"/>
    <x v="8"/>
    <x v="6"/>
    <n v="67"/>
    <n v="11"/>
    <x v="22"/>
  </r>
  <r>
    <x v="1"/>
    <x v="8"/>
    <x v="7"/>
    <n v="46183"/>
    <n v="4510"/>
    <x v="4"/>
  </r>
  <r>
    <x v="1"/>
    <x v="8"/>
    <x v="33"/>
    <n v="479"/>
    <n v="84"/>
    <x v="4"/>
  </r>
  <r>
    <x v="1"/>
    <x v="8"/>
    <x v="58"/>
    <n v="48634"/>
    <n v="6743"/>
    <x v="4"/>
  </r>
  <r>
    <x v="1"/>
    <x v="8"/>
    <x v="27"/>
    <n v="14329"/>
    <n v="2259"/>
    <x v="23"/>
  </r>
  <r>
    <x v="1"/>
    <x v="8"/>
    <x v="22"/>
    <n v="14210"/>
    <n v="1924"/>
    <x v="19"/>
  </r>
  <r>
    <x v="1"/>
    <x v="8"/>
    <x v="11"/>
    <n v="10756"/>
    <n v="1710"/>
    <x v="7"/>
  </r>
  <r>
    <x v="1"/>
    <x v="8"/>
    <x v="2"/>
    <n v="910"/>
    <n v="185"/>
    <x v="19"/>
  </r>
  <r>
    <x v="1"/>
    <x v="8"/>
    <x v="2"/>
    <n v="180"/>
    <n v="46"/>
    <x v="16"/>
  </r>
  <r>
    <x v="1"/>
    <x v="8"/>
    <x v="2"/>
    <n v="5204"/>
    <n v="1071"/>
    <x v="9"/>
  </r>
  <r>
    <x v="1"/>
    <x v="8"/>
    <x v="13"/>
    <n v="11160"/>
    <n v="1420"/>
    <x v="17"/>
  </r>
  <r>
    <x v="1"/>
    <x v="9"/>
    <x v="0"/>
    <n v="0"/>
    <n v="0"/>
    <x v="27"/>
  </r>
  <r>
    <x v="1"/>
    <x v="9"/>
    <x v="0"/>
    <n v="0"/>
    <n v="0"/>
    <x v="10"/>
  </r>
  <r>
    <x v="1"/>
    <x v="9"/>
    <x v="0"/>
    <n v="0"/>
    <n v="0"/>
    <x v="0"/>
  </r>
  <r>
    <x v="1"/>
    <x v="9"/>
    <x v="1"/>
    <n v="8249"/>
    <n v="1683"/>
    <x v="3"/>
  </r>
  <r>
    <x v="1"/>
    <x v="9"/>
    <x v="3"/>
    <n v="19082"/>
    <n v="2742"/>
    <x v="9"/>
  </r>
  <r>
    <x v="1"/>
    <x v="9"/>
    <x v="3"/>
    <n v="702"/>
    <n v="109"/>
    <x v="0"/>
  </r>
  <r>
    <x v="1"/>
    <x v="9"/>
    <x v="48"/>
    <n v="30877"/>
    <n v="1163"/>
    <x v="4"/>
  </r>
  <r>
    <x v="1"/>
    <x v="9"/>
    <x v="41"/>
    <n v="31836"/>
    <n v="3870"/>
    <x v="4"/>
  </r>
  <r>
    <x v="1"/>
    <x v="9"/>
    <x v="14"/>
    <n v="18206"/>
    <n v="447"/>
    <x v="22"/>
  </r>
  <r>
    <x v="1"/>
    <x v="9"/>
    <x v="15"/>
    <n v="55903"/>
    <n v="3467"/>
    <x v="4"/>
  </r>
  <r>
    <x v="1"/>
    <x v="9"/>
    <x v="15"/>
    <n v="0"/>
    <n v="0"/>
    <x v="14"/>
  </r>
  <r>
    <x v="1"/>
    <x v="9"/>
    <x v="50"/>
    <n v="32761"/>
    <n v="1071"/>
    <x v="27"/>
  </r>
  <r>
    <x v="1"/>
    <x v="9"/>
    <x v="28"/>
    <n v="8772"/>
    <n v="2773"/>
    <x v="24"/>
  </r>
  <r>
    <x v="1"/>
    <x v="9"/>
    <x v="28"/>
    <n v="23097"/>
    <n v="2431"/>
    <x v="7"/>
  </r>
  <r>
    <x v="1"/>
    <x v="9"/>
    <x v="27"/>
    <n v="3409"/>
    <n v="460"/>
    <x v="29"/>
  </r>
  <r>
    <x v="1"/>
    <x v="9"/>
    <x v="23"/>
    <n v="86"/>
    <n v="42"/>
    <x v="24"/>
  </r>
  <r>
    <x v="1"/>
    <x v="9"/>
    <x v="2"/>
    <n v="4"/>
    <n v="0"/>
    <x v="5"/>
  </r>
  <r>
    <x v="1"/>
    <x v="9"/>
    <x v="2"/>
    <n v="55"/>
    <n v="13"/>
    <x v="15"/>
  </r>
  <r>
    <x v="1"/>
    <x v="9"/>
    <x v="2"/>
    <n v="139"/>
    <n v="35"/>
    <x v="11"/>
  </r>
  <r>
    <x v="1"/>
    <x v="9"/>
    <x v="2"/>
    <n v="26"/>
    <n v="7"/>
    <x v="1"/>
  </r>
  <r>
    <x v="1"/>
    <x v="9"/>
    <x v="2"/>
    <n v="1"/>
    <n v="1"/>
    <x v="18"/>
  </r>
  <r>
    <x v="1"/>
    <x v="9"/>
    <x v="47"/>
    <n v="89030"/>
    <n v="4289"/>
    <x v="10"/>
  </r>
  <r>
    <x v="1"/>
    <x v="9"/>
    <x v="36"/>
    <n v="1044"/>
    <n v="257"/>
    <x v="8"/>
  </r>
  <r>
    <x v="1"/>
    <x v="9"/>
    <x v="13"/>
    <n v="1857"/>
    <n v="214"/>
    <x v="2"/>
  </r>
  <r>
    <x v="1"/>
    <x v="3"/>
    <x v="0"/>
    <n v="0"/>
    <n v="0"/>
    <x v="17"/>
  </r>
  <r>
    <x v="1"/>
    <x v="3"/>
    <x v="0"/>
    <n v="0"/>
    <n v="0"/>
    <x v="3"/>
  </r>
  <r>
    <x v="1"/>
    <x v="3"/>
    <x v="3"/>
    <n v="100"/>
    <n v="15"/>
    <x v="1"/>
  </r>
  <r>
    <x v="1"/>
    <x v="3"/>
    <x v="38"/>
    <n v="9995"/>
    <n v="861"/>
    <x v="4"/>
  </r>
  <r>
    <x v="1"/>
    <x v="3"/>
    <x v="30"/>
    <n v="2430"/>
    <n v="96"/>
    <x v="4"/>
  </r>
  <r>
    <x v="1"/>
    <x v="3"/>
    <x v="21"/>
    <n v="11592"/>
    <n v="938"/>
    <x v="4"/>
  </r>
  <r>
    <x v="1"/>
    <x v="3"/>
    <x v="21"/>
    <n v="227"/>
    <n v="16"/>
    <x v="22"/>
  </r>
  <r>
    <x v="1"/>
    <x v="3"/>
    <x v="26"/>
    <n v="9407"/>
    <n v="1188"/>
    <x v="25"/>
  </r>
  <r>
    <x v="1"/>
    <x v="3"/>
    <x v="9"/>
    <n v="2972"/>
    <n v="253"/>
    <x v="19"/>
  </r>
  <r>
    <x v="1"/>
    <x v="3"/>
    <x v="9"/>
    <n v="20140"/>
    <n v="2898"/>
    <x v="2"/>
  </r>
  <r>
    <x v="1"/>
    <x v="3"/>
    <x v="11"/>
    <n v="617"/>
    <n v="84"/>
    <x v="13"/>
  </r>
  <r>
    <x v="1"/>
    <x v="3"/>
    <x v="24"/>
    <n v="7110"/>
    <n v="996"/>
    <x v="16"/>
  </r>
  <r>
    <x v="1"/>
    <x v="3"/>
    <x v="32"/>
    <n v="4723"/>
    <n v="588"/>
    <x v="2"/>
  </r>
  <r>
    <x v="1"/>
    <x v="2"/>
    <x v="0"/>
    <n v="0"/>
    <n v="0"/>
    <x v="21"/>
  </r>
  <r>
    <x v="1"/>
    <x v="2"/>
    <x v="0"/>
    <n v="0"/>
    <n v="0"/>
    <x v="2"/>
  </r>
  <r>
    <x v="1"/>
    <x v="2"/>
    <x v="5"/>
    <n v="54897"/>
    <n v="6079"/>
    <x v="4"/>
  </r>
  <r>
    <x v="1"/>
    <x v="2"/>
    <x v="39"/>
    <n v="84264"/>
    <n v="7137"/>
    <x v="4"/>
  </r>
  <r>
    <x v="1"/>
    <x v="2"/>
    <x v="25"/>
    <n v="46980"/>
    <n v="4941"/>
    <x v="4"/>
  </r>
  <r>
    <x v="1"/>
    <x v="2"/>
    <x v="25"/>
    <n v="810"/>
    <n v="148"/>
    <x v="22"/>
  </r>
  <r>
    <x v="1"/>
    <x v="2"/>
    <x v="6"/>
    <n v="4455"/>
    <n v="253"/>
    <x v="4"/>
  </r>
  <r>
    <x v="1"/>
    <x v="2"/>
    <x v="6"/>
    <n v="129"/>
    <n v="15"/>
    <x v="22"/>
  </r>
  <r>
    <x v="1"/>
    <x v="2"/>
    <x v="7"/>
    <n v="46434"/>
    <n v="4389"/>
    <x v="4"/>
  </r>
  <r>
    <x v="1"/>
    <x v="2"/>
    <x v="52"/>
    <n v="19850"/>
    <n v="2029"/>
    <x v="4"/>
  </r>
  <r>
    <x v="1"/>
    <x v="2"/>
    <x v="33"/>
    <n v="304"/>
    <n v="58"/>
    <x v="4"/>
  </r>
  <r>
    <x v="1"/>
    <x v="2"/>
    <x v="28"/>
    <n v="6374"/>
    <n v="733"/>
    <x v="2"/>
  </r>
  <r>
    <x v="1"/>
    <x v="2"/>
    <x v="22"/>
    <n v="13812"/>
    <n v="1923"/>
    <x v="19"/>
  </r>
  <r>
    <x v="1"/>
    <x v="2"/>
    <x v="11"/>
    <n v="2877"/>
    <n v="432"/>
    <x v="7"/>
  </r>
  <r>
    <x v="1"/>
    <x v="2"/>
    <x v="2"/>
    <n v="221"/>
    <n v="52"/>
    <x v="16"/>
  </r>
  <r>
    <x v="1"/>
    <x v="2"/>
    <x v="2"/>
    <n v="4259"/>
    <n v="859"/>
    <x v="9"/>
  </r>
  <r>
    <x v="1"/>
    <x v="2"/>
    <x v="13"/>
    <n v="8515"/>
    <n v="861"/>
    <x v="17"/>
  </r>
  <r>
    <x v="1"/>
    <x v="4"/>
    <x v="0"/>
    <n v="0"/>
    <n v="0"/>
    <x v="12"/>
  </r>
  <r>
    <x v="1"/>
    <x v="4"/>
    <x v="0"/>
    <n v="0"/>
    <n v="0"/>
    <x v="27"/>
  </r>
  <r>
    <x v="1"/>
    <x v="4"/>
    <x v="0"/>
    <n v="0"/>
    <n v="0"/>
    <x v="10"/>
  </r>
  <r>
    <x v="1"/>
    <x v="4"/>
    <x v="0"/>
    <n v="0"/>
    <n v="0"/>
    <x v="0"/>
  </r>
  <r>
    <x v="1"/>
    <x v="4"/>
    <x v="1"/>
    <n v="10887"/>
    <n v="1906"/>
    <x v="3"/>
  </r>
  <r>
    <x v="1"/>
    <x v="4"/>
    <x v="3"/>
    <n v="23723"/>
    <n v="3220"/>
    <x v="9"/>
  </r>
  <r>
    <x v="1"/>
    <x v="4"/>
    <x v="3"/>
    <n v="638"/>
    <n v="92"/>
    <x v="0"/>
  </r>
  <r>
    <x v="1"/>
    <x v="4"/>
    <x v="48"/>
    <n v="19625"/>
    <n v="586"/>
    <x v="4"/>
  </r>
  <r>
    <x v="1"/>
    <x v="4"/>
    <x v="41"/>
    <n v="30920"/>
    <n v="2798"/>
    <x v="4"/>
  </r>
  <r>
    <x v="1"/>
    <x v="4"/>
    <x v="15"/>
    <n v="58312"/>
    <n v="3749"/>
    <x v="4"/>
  </r>
  <r>
    <x v="1"/>
    <x v="4"/>
    <x v="15"/>
    <n v="0"/>
    <n v="0"/>
    <x v="14"/>
  </r>
  <r>
    <x v="1"/>
    <x v="4"/>
    <x v="50"/>
    <n v="22560"/>
    <n v="491"/>
    <x v="27"/>
  </r>
  <r>
    <x v="1"/>
    <x v="4"/>
    <x v="28"/>
    <n v="14664"/>
    <n v="2237"/>
    <x v="7"/>
  </r>
  <r>
    <x v="1"/>
    <x v="4"/>
    <x v="27"/>
    <n v="2806"/>
    <n v="503"/>
    <x v="29"/>
  </r>
  <r>
    <x v="1"/>
    <x v="4"/>
    <x v="11"/>
    <n v="252"/>
    <n v="30"/>
    <x v="6"/>
  </r>
  <r>
    <x v="1"/>
    <x v="4"/>
    <x v="2"/>
    <n v="26"/>
    <n v="7"/>
    <x v="1"/>
  </r>
  <r>
    <x v="1"/>
    <x v="4"/>
    <x v="17"/>
    <n v="7609"/>
    <n v="409"/>
    <x v="16"/>
  </r>
  <r>
    <x v="1"/>
    <x v="4"/>
    <x v="18"/>
    <n v="18115"/>
    <n v="537"/>
    <x v="10"/>
  </r>
  <r>
    <x v="1"/>
    <x v="4"/>
    <x v="54"/>
    <n v="87786"/>
    <n v="3620"/>
    <x v="10"/>
  </r>
  <r>
    <x v="1"/>
    <x v="4"/>
    <x v="36"/>
    <n v="993"/>
    <n v="233"/>
    <x v="8"/>
  </r>
  <r>
    <x v="1"/>
    <x v="4"/>
    <x v="13"/>
    <n v="2206"/>
    <n v="219"/>
    <x v="2"/>
  </r>
  <r>
    <x v="1"/>
    <x v="10"/>
    <x v="0"/>
    <n v="0"/>
    <n v="0"/>
    <x v="17"/>
  </r>
  <r>
    <x v="1"/>
    <x v="10"/>
    <x v="55"/>
    <n v="3730"/>
    <n v="303"/>
    <x v="4"/>
  </r>
  <r>
    <x v="1"/>
    <x v="10"/>
    <x v="38"/>
    <n v="51155"/>
    <n v="2284"/>
    <x v="4"/>
  </r>
  <r>
    <x v="1"/>
    <x v="10"/>
    <x v="20"/>
    <n v="20"/>
    <n v="20"/>
    <x v="14"/>
  </r>
  <r>
    <x v="1"/>
    <x v="10"/>
    <x v="26"/>
    <n v="4478"/>
    <n v="724"/>
    <x v="25"/>
  </r>
  <r>
    <x v="1"/>
    <x v="10"/>
    <x v="9"/>
    <n v="2841"/>
    <n v="233"/>
    <x v="19"/>
  </r>
  <r>
    <x v="1"/>
    <x v="10"/>
    <x v="9"/>
    <n v="1806"/>
    <n v="120"/>
    <x v="12"/>
  </r>
  <r>
    <x v="1"/>
    <x v="10"/>
    <x v="9"/>
    <n v="18229"/>
    <n v="3264"/>
    <x v="2"/>
  </r>
  <r>
    <x v="1"/>
    <x v="10"/>
    <x v="16"/>
    <n v="2939"/>
    <n v="372"/>
    <x v="16"/>
  </r>
  <r>
    <x v="1"/>
    <x v="10"/>
    <x v="11"/>
    <n v="5767"/>
    <n v="1014"/>
    <x v="25"/>
  </r>
  <r>
    <x v="1"/>
    <x v="10"/>
    <x v="11"/>
    <n v="128"/>
    <n v="21"/>
    <x v="13"/>
  </r>
  <r>
    <x v="1"/>
    <x v="10"/>
    <x v="2"/>
    <n v="207"/>
    <n v="50"/>
    <x v="3"/>
  </r>
  <r>
    <x v="1"/>
    <x v="10"/>
    <x v="24"/>
    <n v="360"/>
    <n v="24"/>
    <x v="16"/>
  </r>
  <r>
    <x v="1"/>
    <x v="11"/>
    <x v="0"/>
    <n v="0"/>
    <n v="0"/>
    <x v="2"/>
  </r>
  <r>
    <x v="1"/>
    <x v="11"/>
    <x v="49"/>
    <n v="7256"/>
    <n v="1995"/>
    <x v="4"/>
  </r>
  <r>
    <x v="1"/>
    <x v="11"/>
    <x v="25"/>
    <n v="45727"/>
    <n v="3669"/>
    <x v="4"/>
  </r>
  <r>
    <x v="1"/>
    <x v="11"/>
    <x v="6"/>
    <n v="2685"/>
    <n v="100"/>
    <x v="4"/>
  </r>
  <r>
    <x v="1"/>
    <x v="11"/>
    <x v="56"/>
    <n v="175"/>
    <n v="16"/>
    <x v="4"/>
  </r>
  <r>
    <x v="1"/>
    <x v="11"/>
    <x v="52"/>
    <n v="763"/>
    <n v="53"/>
    <x v="4"/>
  </r>
  <r>
    <x v="1"/>
    <x v="11"/>
    <x v="22"/>
    <n v="9871"/>
    <n v="1170"/>
    <x v="19"/>
  </r>
  <r>
    <x v="1"/>
    <x v="11"/>
    <x v="2"/>
    <n v="263"/>
    <n v="65"/>
    <x v="16"/>
  </r>
  <r>
    <x v="1"/>
    <x v="11"/>
    <x v="2"/>
    <n v="3921"/>
    <n v="475"/>
    <x v="2"/>
  </r>
  <r>
    <x v="1"/>
    <x v="11"/>
    <x v="31"/>
    <n v="37374"/>
    <n v="1049"/>
    <x v="10"/>
  </r>
  <r>
    <x v="1"/>
    <x v="12"/>
    <x v="0"/>
    <n v="0"/>
    <n v="0"/>
    <x v="12"/>
  </r>
  <r>
    <x v="1"/>
    <x v="12"/>
    <x v="0"/>
    <n v="0"/>
    <n v="0"/>
    <x v="10"/>
  </r>
  <r>
    <x v="1"/>
    <x v="12"/>
    <x v="1"/>
    <n v="3704"/>
    <n v="720"/>
    <x v="3"/>
  </r>
  <r>
    <x v="1"/>
    <x v="12"/>
    <x v="1"/>
    <n v="641"/>
    <n v="135"/>
    <x v="1"/>
  </r>
  <r>
    <x v="1"/>
    <x v="12"/>
    <x v="3"/>
    <n v="4355"/>
    <n v="659"/>
    <x v="9"/>
  </r>
  <r>
    <x v="1"/>
    <x v="12"/>
    <x v="48"/>
    <n v="13704"/>
    <n v="267"/>
    <x v="4"/>
  </r>
  <r>
    <x v="1"/>
    <x v="12"/>
    <x v="4"/>
    <n v="5963"/>
    <n v="138"/>
    <x v="4"/>
  </r>
  <r>
    <x v="1"/>
    <x v="12"/>
    <x v="41"/>
    <n v="8361"/>
    <n v="610"/>
    <x v="4"/>
  </r>
  <r>
    <x v="1"/>
    <x v="12"/>
    <x v="15"/>
    <n v="31050"/>
    <n v="1343"/>
    <x v="4"/>
  </r>
  <r>
    <x v="1"/>
    <x v="12"/>
    <x v="26"/>
    <n v="10"/>
    <n v="2"/>
    <x v="15"/>
  </r>
  <r>
    <x v="1"/>
    <x v="12"/>
    <x v="27"/>
    <n v="191"/>
    <n v="27"/>
    <x v="29"/>
  </r>
  <r>
    <x v="1"/>
    <x v="12"/>
    <x v="2"/>
    <n v="158"/>
    <n v="22"/>
    <x v="0"/>
  </r>
  <r>
    <x v="1"/>
    <x v="12"/>
    <x v="17"/>
    <n v="1176"/>
    <n v="104"/>
    <x v="16"/>
  </r>
  <r>
    <x v="1"/>
    <x v="12"/>
    <x v="35"/>
    <n v="37794"/>
    <n v="745"/>
    <x v="10"/>
  </r>
  <r>
    <x v="1"/>
    <x v="12"/>
    <x v="54"/>
    <n v="53404"/>
    <n v="1695"/>
    <x v="10"/>
  </r>
  <r>
    <x v="1"/>
    <x v="6"/>
    <x v="0"/>
    <n v="5"/>
    <n v="5"/>
    <x v="4"/>
  </r>
  <r>
    <x v="1"/>
    <x v="6"/>
    <x v="0"/>
    <n v="0"/>
    <n v="0"/>
    <x v="12"/>
  </r>
  <r>
    <x v="1"/>
    <x v="6"/>
    <x v="0"/>
    <n v="0"/>
    <n v="0"/>
    <x v="6"/>
  </r>
  <r>
    <x v="1"/>
    <x v="6"/>
    <x v="0"/>
    <n v="0"/>
    <n v="0"/>
    <x v="10"/>
  </r>
  <r>
    <x v="1"/>
    <x v="6"/>
    <x v="37"/>
    <n v="5057"/>
    <n v="162"/>
    <x v="28"/>
  </r>
  <r>
    <x v="1"/>
    <x v="6"/>
    <x v="1"/>
    <n v="8845"/>
    <n v="1509"/>
    <x v="3"/>
  </r>
  <r>
    <x v="1"/>
    <x v="6"/>
    <x v="1"/>
    <n v="9223"/>
    <n v="1658"/>
    <x v="0"/>
  </r>
  <r>
    <x v="1"/>
    <x v="6"/>
    <x v="3"/>
    <n v="19987"/>
    <n v="3182"/>
    <x v="9"/>
  </r>
  <r>
    <x v="1"/>
    <x v="6"/>
    <x v="48"/>
    <n v="10430"/>
    <n v="268"/>
    <x v="4"/>
  </r>
  <r>
    <x v="1"/>
    <x v="6"/>
    <x v="49"/>
    <n v="17336"/>
    <n v="3677"/>
    <x v="4"/>
  </r>
  <r>
    <x v="1"/>
    <x v="6"/>
    <x v="11"/>
    <n v="988"/>
    <n v="70"/>
    <x v="6"/>
  </r>
  <r>
    <x v="1"/>
    <x v="6"/>
    <x v="2"/>
    <n v="208"/>
    <n v="54"/>
    <x v="1"/>
  </r>
  <r>
    <x v="1"/>
    <x v="6"/>
    <x v="2"/>
    <n v="879"/>
    <n v="128"/>
    <x v="0"/>
  </r>
  <r>
    <x v="1"/>
    <x v="6"/>
    <x v="31"/>
    <n v="54301"/>
    <n v="2699"/>
    <x v="10"/>
  </r>
  <r>
    <x v="1"/>
    <x v="6"/>
    <x v="18"/>
    <n v="18306"/>
    <n v="608"/>
    <x v="10"/>
  </r>
  <r>
    <x v="1"/>
    <x v="6"/>
    <x v="43"/>
    <n v="6855"/>
    <n v="554"/>
    <x v="20"/>
  </r>
  <r>
    <x v="1"/>
    <x v="6"/>
    <x v="54"/>
    <n v="68215"/>
    <n v="3494"/>
    <x v="10"/>
  </r>
  <r>
    <x v="1"/>
    <x v="6"/>
    <x v="24"/>
    <n v="1549"/>
    <n v="268"/>
    <x v="8"/>
  </r>
  <r>
    <x v="1"/>
    <x v="7"/>
    <x v="1"/>
    <n v="2200"/>
    <n v="510"/>
    <x v="1"/>
  </r>
  <r>
    <x v="1"/>
    <x v="7"/>
    <x v="55"/>
    <n v="13718"/>
    <n v="877"/>
    <x v="4"/>
  </r>
  <r>
    <x v="1"/>
    <x v="7"/>
    <x v="20"/>
    <n v="26"/>
    <n v="26"/>
    <x v="14"/>
  </r>
  <r>
    <x v="1"/>
    <x v="7"/>
    <x v="26"/>
    <n v="5299"/>
    <n v="602"/>
    <x v="25"/>
  </r>
  <r>
    <x v="1"/>
    <x v="7"/>
    <x v="9"/>
    <n v="333"/>
    <n v="29"/>
    <x v="5"/>
  </r>
  <r>
    <x v="1"/>
    <x v="7"/>
    <x v="16"/>
    <n v="2238"/>
    <n v="375"/>
    <x v="16"/>
  </r>
  <r>
    <x v="1"/>
    <x v="7"/>
    <x v="16"/>
    <n v="17696"/>
    <n v="1685"/>
    <x v="24"/>
  </r>
  <r>
    <x v="1"/>
    <x v="7"/>
    <x v="11"/>
    <n v="5097"/>
    <n v="815"/>
    <x v="25"/>
  </r>
  <r>
    <x v="1"/>
    <x v="7"/>
    <x v="12"/>
    <n v="31"/>
    <n v="31"/>
    <x v="10"/>
  </r>
  <r>
    <x v="1"/>
    <x v="0"/>
    <x v="0"/>
    <n v="0"/>
    <n v="0"/>
    <x v="19"/>
  </r>
  <r>
    <x v="1"/>
    <x v="0"/>
    <x v="0"/>
    <n v="0"/>
    <n v="0"/>
    <x v="9"/>
  </r>
  <r>
    <x v="1"/>
    <x v="0"/>
    <x v="20"/>
    <n v="33693"/>
    <n v="1460"/>
    <x v="4"/>
  </r>
  <r>
    <x v="1"/>
    <x v="0"/>
    <x v="25"/>
    <n v="67565"/>
    <n v="7595"/>
    <x v="4"/>
  </r>
  <r>
    <x v="1"/>
    <x v="0"/>
    <x v="25"/>
    <n v="788"/>
    <n v="185"/>
    <x v="22"/>
  </r>
  <r>
    <x v="1"/>
    <x v="0"/>
    <x v="6"/>
    <n v="5115"/>
    <n v="339"/>
    <x v="4"/>
  </r>
  <r>
    <x v="1"/>
    <x v="0"/>
    <x v="6"/>
    <n v="157"/>
    <n v="20"/>
    <x v="22"/>
  </r>
  <r>
    <x v="1"/>
    <x v="0"/>
    <x v="59"/>
    <n v="2701"/>
    <n v="219"/>
    <x v="4"/>
  </r>
  <r>
    <x v="1"/>
    <x v="0"/>
    <x v="56"/>
    <n v="251"/>
    <n v="59"/>
    <x v="4"/>
  </r>
  <r>
    <x v="1"/>
    <x v="0"/>
    <x v="52"/>
    <n v="23147"/>
    <n v="2762"/>
    <x v="4"/>
  </r>
  <r>
    <x v="1"/>
    <x v="0"/>
    <x v="2"/>
    <n v="475"/>
    <n v="131"/>
    <x v="24"/>
  </r>
  <r>
    <x v="1"/>
    <x v="0"/>
    <x v="2"/>
    <n v="3849"/>
    <n v="643"/>
    <x v="2"/>
  </r>
  <r>
    <x v="1"/>
    <x v="0"/>
    <x v="2"/>
    <n v="22757"/>
    <n v="871"/>
    <x v="17"/>
  </r>
  <r>
    <x v="1"/>
    <x v="0"/>
    <x v="17"/>
    <n v="9128"/>
    <n v="1611"/>
    <x v="8"/>
  </r>
  <r>
    <x v="1"/>
    <x v="0"/>
    <x v="29"/>
    <n v="111416"/>
    <n v="6975"/>
    <x v="10"/>
  </r>
  <r>
    <x v="1"/>
    <x v="0"/>
    <x v="36"/>
    <n v="727"/>
    <n v="177"/>
    <x v="16"/>
  </r>
  <r>
    <x v="1"/>
    <x v="1"/>
    <x v="0"/>
    <n v="5"/>
    <n v="5"/>
    <x v="4"/>
  </r>
  <r>
    <x v="1"/>
    <x v="1"/>
    <x v="0"/>
    <n v="0"/>
    <n v="0"/>
    <x v="12"/>
  </r>
  <r>
    <x v="1"/>
    <x v="1"/>
    <x v="0"/>
    <n v="1"/>
    <n v="1"/>
    <x v="10"/>
  </r>
  <r>
    <x v="1"/>
    <x v="1"/>
    <x v="37"/>
    <n v="4197"/>
    <n v="192"/>
    <x v="28"/>
  </r>
  <r>
    <x v="1"/>
    <x v="1"/>
    <x v="1"/>
    <n v="7285"/>
    <n v="769"/>
    <x v="2"/>
  </r>
  <r>
    <x v="1"/>
    <x v="1"/>
    <x v="1"/>
    <n v="10807"/>
    <n v="1550"/>
    <x v="0"/>
  </r>
  <r>
    <x v="1"/>
    <x v="1"/>
    <x v="3"/>
    <n v="26144"/>
    <n v="3172"/>
    <x v="9"/>
  </r>
  <r>
    <x v="1"/>
    <x v="1"/>
    <x v="48"/>
    <n v="34403"/>
    <n v="1648"/>
    <x v="4"/>
  </r>
  <r>
    <x v="1"/>
    <x v="1"/>
    <x v="4"/>
    <n v="12851"/>
    <n v="651"/>
    <x v="4"/>
  </r>
  <r>
    <x v="1"/>
    <x v="1"/>
    <x v="45"/>
    <n v="13707"/>
    <n v="1548"/>
    <x v="4"/>
  </r>
  <r>
    <x v="1"/>
    <x v="1"/>
    <x v="26"/>
    <n v="4240"/>
    <n v="490"/>
    <x v="15"/>
  </r>
  <r>
    <x v="1"/>
    <x v="1"/>
    <x v="34"/>
    <n v="23908"/>
    <n v="2533"/>
    <x v="4"/>
  </r>
  <r>
    <x v="1"/>
    <x v="1"/>
    <x v="11"/>
    <n v="38"/>
    <n v="2"/>
    <x v="12"/>
  </r>
  <r>
    <x v="1"/>
    <x v="1"/>
    <x v="11"/>
    <n v="1084"/>
    <n v="87"/>
    <x v="6"/>
  </r>
  <r>
    <x v="1"/>
    <x v="1"/>
    <x v="11"/>
    <n v="401"/>
    <n v="105"/>
    <x v="26"/>
  </r>
  <r>
    <x v="1"/>
    <x v="1"/>
    <x v="2"/>
    <n v="744"/>
    <n v="145"/>
    <x v="8"/>
  </r>
  <r>
    <x v="1"/>
    <x v="1"/>
    <x v="2"/>
    <n v="84"/>
    <n v="14"/>
    <x v="0"/>
  </r>
  <r>
    <x v="1"/>
    <x v="1"/>
    <x v="31"/>
    <n v="67072"/>
    <n v="3705"/>
    <x v="10"/>
  </r>
  <r>
    <x v="1"/>
    <x v="1"/>
    <x v="18"/>
    <n v="20056"/>
    <n v="677"/>
    <x v="10"/>
  </r>
  <r>
    <x v="1"/>
    <x v="1"/>
    <x v="43"/>
    <n v="4303"/>
    <n v="339"/>
    <x v="20"/>
  </r>
  <r>
    <x v="1"/>
    <x v="1"/>
    <x v="54"/>
    <n v="86275"/>
    <n v="4113"/>
    <x v="10"/>
  </r>
  <r>
    <x v="1"/>
    <x v="1"/>
    <x v="24"/>
    <n v="3594"/>
    <n v="377"/>
    <x v="8"/>
  </r>
  <r>
    <x v="1"/>
    <x v="5"/>
    <x v="55"/>
    <n v="8373"/>
    <n v="567"/>
    <x v="4"/>
  </r>
  <r>
    <x v="1"/>
    <x v="5"/>
    <x v="20"/>
    <n v="29"/>
    <n v="29"/>
    <x v="14"/>
  </r>
  <r>
    <x v="1"/>
    <x v="5"/>
    <x v="26"/>
    <n v="5973"/>
    <n v="883"/>
    <x v="25"/>
  </r>
  <r>
    <x v="1"/>
    <x v="5"/>
    <x v="9"/>
    <n v="352"/>
    <n v="17"/>
    <x v="5"/>
  </r>
  <r>
    <x v="1"/>
    <x v="5"/>
    <x v="16"/>
    <n v="2232"/>
    <n v="362"/>
    <x v="16"/>
  </r>
  <r>
    <x v="1"/>
    <x v="5"/>
    <x v="16"/>
    <n v="14980"/>
    <n v="1469"/>
    <x v="24"/>
  </r>
  <r>
    <x v="1"/>
    <x v="5"/>
    <x v="11"/>
    <n v="7400"/>
    <n v="1227"/>
    <x v="25"/>
  </r>
  <r>
    <x v="1"/>
    <x v="5"/>
    <x v="12"/>
    <n v="29"/>
    <n v="29"/>
    <x v="10"/>
  </r>
  <r>
    <x v="1"/>
    <x v="5"/>
    <x v="51"/>
    <n v="8"/>
    <n v="8"/>
    <x v="10"/>
  </r>
  <r>
    <x v="1"/>
    <x v="8"/>
    <x v="0"/>
    <n v="0"/>
    <n v="0"/>
    <x v="19"/>
  </r>
  <r>
    <x v="1"/>
    <x v="8"/>
    <x v="0"/>
    <n v="0"/>
    <n v="0"/>
    <x v="9"/>
  </r>
  <r>
    <x v="1"/>
    <x v="8"/>
    <x v="0"/>
    <n v="0"/>
    <n v="0"/>
    <x v="11"/>
  </r>
  <r>
    <x v="1"/>
    <x v="8"/>
    <x v="14"/>
    <n v="11822"/>
    <n v="711"/>
    <x v="4"/>
  </r>
  <r>
    <x v="1"/>
    <x v="8"/>
    <x v="20"/>
    <n v="41195"/>
    <n v="1816"/>
    <x v="4"/>
  </r>
  <r>
    <x v="1"/>
    <x v="8"/>
    <x v="25"/>
    <n v="43198"/>
    <n v="4654"/>
    <x v="4"/>
  </r>
  <r>
    <x v="1"/>
    <x v="8"/>
    <x v="25"/>
    <n v="769"/>
    <n v="171"/>
    <x v="22"/>
  </r>
  <r>
    <x v="1"/>
    <x v="8"/>
    <x v="59"/>
    <n v="3093"/>
    <n v="192"/>
    <x v="4"/>
  </r>
  <r>
    <x v="1"/>
    <x v="8"/>
    <x v="56"/>
    <n v="184"/>
    <n v="26"/>
    <x v="4"/>
  </r>
  <r>
    <x v="1"/>
    <x v="8"/>
    <x v="52"/>
    <n v="13606"/>
    <n v="1590"/>
    <x v="4"/>
  </r>
  <r>
    <x v="1"/>
    <x v="8"/>
    <x v="11"/>
    <n v="99"/>
    <n v="15"/>
    <x v="23"/>
  </r>
  <r>
    <x v="1"/>
    <x v="8"/>
    <x v="2"/>
    <n v="3857"/>
    <n v="644"/>
    <x v="2"/>
  </r>
  <r>
    <x v="1"/>
    <x v="8"/>
    <x v="17"/>
    <n v="9029"/>
    <n v="1276"/>
    <x v="8"/>
  </r>
  <r>
    <x v="1"/>
    <x v="8"/>
    <x v="43"/>
    <n v="103278"/>
    <n v="5614"/>
    <x v="10"/>
  </r>
  <r>
    <x v="1"/>
    <x v="8"/>
    <x v="44"/>
    <n v="95935"/>
    <n v="4454"/>
    <x v="10"/>
  </r>
  <r>
    <x v="1"/>
    <x v="8"/>
    <x v="36"/>
    <n v="758"/>
    <n v="178"/>
    <x v="16"/>
  </r>
  <r>
    <x v="1"/>
    <x v="9"/>
    <x v="0"/>
    <n v="2"/>
    <n v="2"/>
    <x v="4"/>
  </r>
  <r>
    <x v="1"/>
    <x v="9"/>
    <x v="0"/>
    <n v="0"/>
    <n v="0"/>
    <x v="12"/>
  </r>
  <r>
    <x v="1"/>
    <x v="9"/>
    <x v="37"/>
    <n v="5202"/>
    <n v="217"/>
    <x v="28"/>
  </r>
  <r>
    <x v="1"/>
    <x v="9"/>
    <x v="1"/>
    <n v="5559"/>
    <n v="643"/>
    <x v="2"/>
  </r>
  <r>
    <x v="1"/>
    <x v="9"/>
    <x v="1"/>
    <n v="9814"/>
    <n v="1595"/>
    <x v="0"/>
  </r>
  <r>
    <x v="1"/>
    <x v="9"/>
    <x v="4"/>
    <n v="16183"/>
    <n v="677"/>
    <x v="4"/>
  </r>
  <r>
    <x v="1"/>
    <x v="9"/>
    <x v="45"/>
    <n v="14087"/>
    <n v="1540"/>
    <x v="4"/>
  </r>
  <r>
    <x v="1"/>
    <x v="9"/>
    <x v="46"/>
    <n v="13119"/>
    <n v="1443"/>
    <x v="4"/>
  </r>
  <r>
    <x v="1"/>
    <x v="9"/>
    <x v="26"/>
    <n v="5398"/>
    <n v="537"/>
    <x v="15"/>
  </r>
  <r>
    <x v="1"/>
    <x v="9"/>
    <x v="34"/>
    <n v="21737"/>
    <n v="2417"/>
    <x v="4"/>
  </r>
  <r>
    <x v="1"/>
    <x v="9"/>
    <x v="40"/>
    <n v="12515"/>
    <n v="124"/>
    <x v="21"/>
  </r>
  <r>
    <x v="1"/>
    <x v="9"/>
    <x v="11"/>
    <n v="87"/>
    <n v="5"/>
    <x v="12"/>
  </r>
  <r>
    <x v="1"/>
    <x v="9"/>
    <x v="11"/>
    <n v="1390"/>
    <n v="148"/>
    <x v="6"/>
  </r>
  <r>
    <x v="1"/>
    <x v="9"/>
    <x v="11"/>
    <n v="257"/>
    <n v="43"/>
    <x v="26"/>
  </r>
  <r>
    <x v="1"/>
    <x v="9"/>
    <x v="2"/>
    <n v="840"/>
    <n v="144"/>
    <x v="8"/>
  </r>
  <r>
    <x v="1"/>
    <x v="9"/>
    <x v="2"/>
    <n v="402"/>
    <n v="60"/>
    <x v="12"/>
  </r>
  <r>
    <x v="1"/>
    <x v="9"/>
    <x v="2"/>
    <n v="225"/>
    <n v="40"/>
    <x v="0"/>
  </r>
  <r>
    <x v="1"/>
    <x v="9"/>
    <x v="18"/>
    <n v="19001"/>
    <n v="588"/>
    <x v="10"/>
  </r>
  <r>
    <x v="1"/>
    <x v="9"/>
    <x v="54"/>
    <n v="82846"/>
    <n v="3261"/>
    <x v="10"/>
  </r>
  <r>
    <x v="1"/>
    <x v="9"/>
    <x v="13"/>
    <n v="995"/>
    <n v="211"/>
    <x v="11"/>
  </r>
  <r>
    <x v="1"/>
    <x v="3"/>
    <x v="0"/>
    <n v="0"/>
    <n v="0"/>
    <x v="13"/>
  </r>
  <r>
    <x v="1"/>
    <x v="3"/>
    <x v="55"/>
    <n v="13312"/>
    <n v="773"/>
    <x v="4"/>
  </r>
  <r>
    <x v="1"/>
    <x v="3"/>
    <x v="20"/>
    <n v="22"/>
    <n v="22"/>
    <x v="14"/>
  </r>
  <r>
    <x v="1"/>
    <x v="3"/>
    <x v="9"/>
    <n v="426"/>
    <n v="36"/>
    <x v="5"/>
  </r>
  <r>
    <x v="1"/>
    <x v="3"/>
    <x v="16"/>
    <n v="2263"/>
    <n v="344"/>
    <x v="16"/>
  </r>
  <r>
    <x v="1"/>
    <x v="3"/>
    <x v="16"/>
    <n v="8984"/>
    <n v="791"/>
    <x v="24"/>
  </r>
  <r>
    <x v="1"/>
    <x v="3"/>
    <x v="11"/>
    <n v="41"/>
    <n v="6"/>
    <x v="29"/>
  </r>
  <r>
    <x v="1"/>
    <x v="3"/>
    <x v="11"/>
    <n v="7034"/>
    <n v="1023"/>
    <x v="25"/>
  </r>
  <r>
    <x v="1"/>
    <x v="3"/>
    <x v="51"/>
    <n v="1"/>
    <n v="1"/>
    <x v="10"/>
  </r>
  <r>
    <x v="1"/>
    <x v="2"/>
    <x v="0"/>
    <n v="0"/>
    <n v="0"/>
    <x v="9"/>
  </r>
  <r>
    <x v="1"/>
    <x v="2"/>
    <x v="0"/>
    <n v="0"/>
    <n v="0"/>
    <x v="11"/>
  </r>
  <r>
    <x v="1"/>
    <x v="2"/>
    <x v="14"/>
    <n v="7049"/>
    <n v="409"/>
    <x v="4"/>
  </r>
  <r>
    <x v="1"/>
    <x v="2"/>
    <x v="59"/>
    <n v="2547"/>
    <n v="139"/>
    <x v="4"/>
  </r>
  <r>
    <x v="1"/>
    <x v="2"/>
    <x v="56"/>
    <n v="103"/>
    <n v="13"/>
    <x v="4"/>
  </r>
  <r>
    <x v="1"/>
    <x v="2"/>
    <x v="11"/>
    <n v="99"/>
    <n v="26"/>
    <x v="23"/>
  </r>
  <r>
    <x v="1"/>
    <x v="2"/>
    <x v="2"/>
    <n v="1121"/>
    <n v="205"/>
    <x v="19"/>
  </r>
  <r>
    <x v="1"/>
    <x v="2"/>
    <x v="2"/>
    <n v="4543"/>
    <n v="716"/>
    <x v="2"/>
  </r>
  <r>
    <x v="1"/>
    <x v="2"/>
    <x v="17"/>
    <n v="9737"/>
    <n v="1269"/>
    <x v="8"/>
  </r>
  <r>
    <x v="1"/>
    <x v="2"/>
    <x v="43"/>
    <n v="103249"/>
    <n v="5473"/>
    <x v="10"/>
  </r>
  <r>
    <x v="1"/>
    <x v="2"/>
    <x v="44"/>
    <n v="57717"/>
    <n v="2492"/>
    <x v="10"/>
  </r>
  <r>
    <x v="1"/>
    <x v="2"/>
    <x v="36"/>
    <n v="0"/>
    <n v="0"/>
    <x v="16"/>
  </r>
  <r>
    <x v="1"/>
    <x v="2"/>
    <x v="13"/>
    <n v="15332"/>
    <n v="2390"/>
    <x v="13"/>
  </r>
  <r>
    <x v="1"/>
    <x v="4"/>
    <x v="0"/>
    <n v="10"/>
    <n v="10"/>
    <x v="4"/>
  </r>
  <r>
    <x v="1"/>
    <x v="4"/>
    <x v="1"/>
    <n v="5753"/>
    <n v="550"/>
    <x v="2"/>
  </r>
  <r>
    <x v="1"/>
    <x v="4"/>
    <x v="3"/>
    <n v="15192"/>
    <n v="2430"/>
    <x v="3"/>
  </r>
  <r>
    <x v="1"/>
    <x v="4"/>
    <x v="4"/>
    <n v="7707"/>
    <n v="296"/>
    <x v="4"/>
  </r>
  <r>
    <x v="1"/>
    <x v="4"/>
    <x v="14"/>
    <n v="7888"/>
    <n v="169"/>
    <x v="22"/>
  </r>
  <r>
    <x v="1"/>
    <x v="4"/>
    <x v="45"/>
    <n v="7752"/>
    <n v="1270"/>
    <x v="4"/>
  </r>
  <r>
    <x v="1"/>
    <x v="4"/>
    <x v="46"/>
    <n v="5318"/>
    <n v="655"/>
    <x v="4"/>
  </r>
  <r>
    <x v="1"/>
    <x v="4"/>
    <x v="26"/>
    <n v="3662"/>
    <n v="454"/>
    <x v="15"/>
  </r>
  <r>
    <x v="1"/>
    <x v="4"/>
    <x v="28"/>
    <n v="3027"/>
    <n v="319"/>
    <x v="24"/>
  </r>
  <r>
    <x v="1"/>
    <x v="4"/>
    <x v="34"/>
    <n v="9804"/>
    <n v="1332"/>
    <x v="4"/>
  </r>
  <r>
    <x v="1"/>
    <x v="4"/>
    <x v="40"/>
    <n v="12241"/>
    <n v="173"/>
    <x v="21"/>
  </r>
  <r>
    <x v="1"/>
    <x v="4"/>
    <x v="10"/>
    <n v="8849"/>
    <n v="180"/>
    <x v="6"/>
  </r>
  <r>
    <x v="1"/>
    <x v="4"/>
    <x v="11"/>
    <n v="105"/>
    <n v="7"/>
    <x v="12"/>
  </r>
  <r>
    <x v="1"/>
    <x v="4"/>
    <x v="11"/>
    <n v="351"/>
    <n v="73"/>
    <x v="26"/>
  </r>
  <r>
    <x v="1"/>
    <x v="4"/>
    <x v="2"/>
    <n v="726"/>
    <n v="128"/>
    <x v="8"/>
  </r>
  <r>
    <x v="1"/>
    <x v="4"/>
    <x v="2"/>
    <n v="467"/>
    <n v="75"/>
    <x v="12"/>
  </r>
  <r>
    <x v="1"/>
    <x v="4"/>
    <x v="2"/>
    <n v="19"/>
    <n v="1"/>
    <x v="15"/>
  </r>
  <r>
    <x v="1"/>
    <x v="4"/>
    <x v="2"/>
    <n v="216"/>
    <n v="51"/>
    <x v="0"/>
  </r>
  <r>
    <x v="1"/>
    <x v="4"/>
    <x v="47"/>
    <n v="101731"/>
    <n v="4580"/>
    <x v="10"/>
  </r>
  <r>
    <x v="1"/>
    <x v="4"/>
    <x v="13"/>
    <n v="831"/>
    <n v="121"/>
    <x v="11"/>
  </r>
  <r>
    <x v="1"/>
    <x v="10"/>
    <x v="0"/>
    <n v="0"/>
    <n v="0"/>
    <x v="3"/>
  </r>
  <r>
    <x v="1"/>
    <x v="10"/>
    <x v="0"/>
    <n v="0"/>
    <n v="0"/>
    <x v="13"/>
  </r>
  <r>
    <x v="1"/>
    <x v="10"/>
    <x v="3"/>
    <n v="76"/>
    <n v="16"/>
    <x v="1"/>
  </r>
  <r>
    <x v="1"/>
    <x v="10"/>
    <x v="9"/>
    <n v="304"/>
    <n v="22"/>
    <x v="5"/>
  </r>
  <r>
    <x v="1"/>
    <x v="10"/>
    <x v="27"/>
    <n v="2938"/>
    <n v="263"/>
    <x v="19"/>
  </r>
  <r>
    <x v="1"/>
    <x v="10"/>
    <x v="16"/>
    <n v="8696"/>
    <n v="787"/>
    <x v="24"/>
  </r>
  <r>
    <x v="1"/>
    <x v="10"/>
    <x v="16"/>
    <n v="6575"/>
    <n v="923"/>
    <x v="2"/>
  </r>
  <r>
    <x v="1"/>
    <x v="10"/>
    <x v="11"/>
    <n v="182"/>
    <n v="18"/>
    <x v="29"/>
  </r>
  <r>
    <x v="1"/>
    <x v="10"/>
    <x v="51"/>
    <n v="3"/>
    <n v="3"/>
    <x v="10"/>
  </r>
  <r>
    <x v="1"/>
    <x v="11"/>
    <x v="0"/>
    <n v="0"/>
    <n v="0"/>
    <x v="21"/>
  </r>
  <r>
    <x v="1"/>
    <x v="11"/>
    <x v="0"/>
    <n v="0"/>
    <n v="0"/>
    <x v="9"/>
  </r>
  <r>
    <x v="1"/>
    <x v="11"/>
    <x v="0"/>
    <n v="0"/>
    <n v="0"/>
    <x v="11"/>
  </r>
  <r>
    <x v="1"/>
    <x v="11"/>
    <x v="0"/>
    <n v="0"/>
    <n v="0"/>
    <x v="1"/>
  </r>
  <r>
    <x v="1"/>
    <x v="11"/>
    <x v="19"/>
    <n v="24479"/>
    <n v="735"/>
    <x v="4"/>
  </r>
  <r>
    <x v="1"/>
    <x v="11"/>
    <x v="14"/>
    <n v="41190"/>
    <n v="1442"/>
    <x v="4"/>
  </r>
  <r>
    <x v="1"/>
    <x v="11"/>
    <x v="39"/>
    <n v="68902"/>
    <n v="4534"/>
    <x v="4"/>
  </r>
  <r>
    <x v="1"/>
    <x v="11"/>
    <x v="59"/>
    <n v="1947"/>
    <n v="122"/>
    <x v="4"/>
  </r>
  <r>
    <x v="1"/>
    <x v="11"/>
    <x v="7"/>
    <n v="22290"/>
    <n v="1469"/>
    <x v="4"/>
  </r>
  <r>
    <x v="1"/>
    <x v="11"/>
    <x v="16"/>
    <n v="5250"/>
    <n v="726"/>
    <x v="8"/>
  </r>
  <r>
    <x v="1"/>
    <x v="11"/>
    <x v="22"/>
    <n v="7620"/>
    <n v="1101"/>
    <x v="12"/>
  </r>
  <r>
    <x v="1"/>
    <x v="11"/>
    <x v="11"/>
    <n v="113"/>
    <n v="32"/>
    <x v="23"/>
  </r>
  <r>
    <x v="1"/>
    <x v="11"/>
    <x v="2"/>
    <n v="721"/>
    <n v="138"/>
    <x v="19"/>
  </r>
  <r>
    <x v="1"/>
    <x v="11"/>
    <x v="2"/>
    <n v="2626"/>
    <n v="487"/>
    <x v="9"/>
  </r>
  <r>
    <x v="1"/>
    <x v="11"/>
    <x v="17"/>
    <n v="2025"/>
    <n v="341"/>
    <x v="8"/>
  </r>
  <r>
    <x v="1"/>
    <x v="11"/>
    <x v="43"/>
    <n v="100929"/>
    <n v="4414"/>
    <x v="10"/>
  </r>
  <r>
    <x v="1"/>
    <x v="11"/>
    <x v="44"/>
    <n v="42404"/>
    <n v="1719"/>
    <x v="10"/>
  </r>
  <r>
    <x v="1"/>
    <x v="11"/>
    <x v="13"/>
    <n v="8882"/>
    <n v="781"/>
    <x v="17"/>
  </r>
  <r>
    <x v="1"/>
    <x v="11"/>
    <x v="13"/>
    <n v="10980"/>
    <n v="1438"/>
    <x v="13"/>
  </r>
  <r>
    <x v="1"/>
    <x v="12"/>
    <x v="1"/>
    <n v="1073"/>
    <n v="102"/>
    <x v="2"/>
  </r>
  <r>
    <x v="1"/>
    <x v="12"/>
    <x v="3"/>
    <n v="4319"/>
    <n v="867"/>
    <x v="3"/>
  </r>
  <r>
    <x v="1"/>
    <x v="12"/>
    <x v="3"/>
    <n v="2"/>
    <n v="0"/>
    <x v="0"/>
  </r>
  <r>
    <x v="1"/>
    <x v="12"/>
    <x v="8"/>
    <n v="14"/>
    <n v="3"/>
    <x v="4"/>
  </r>
  <r>
    <x v="1"/>
    <x v="12"/>
    <x v="28"/>
    <n v="3323"/>
    <n v="419"/>
    <x v="7"/>
  </r>
  <r>
    <x v="1"/>
    <x v="12"/>
    <x v="40"/>
    <n v="5"/>
    <n v="0"/>
    <x v="21"/>
  </r>
  <r>
    <x v="1"/>
    <x v="12"/>
    <x v="2"/>
    <n v="160"/>
    <n v="22"/>
    <x v="8"/>
  </r>
  <r>
    <x v="1"/>
    <x v="12"/>
    <x v="2"/>
    <n v="236"/>
    <n v="19"/>
    <x v="12"/>
  </r>
  <r>
    <x v="1"/>
    <x v="12"/>
    <x v="53"/>
    <n v="20832"/>
    <n v="865"/>
    <x v="10"/>
  </r>
  <r>
    <x v="1"/>
    <x v="12"/>
    <x v="47"/>
    <n v="44426"/>
    <n v="1510"/>
    <x v="10"/>
  </r>
  <r>
    <x v="1"/>
    <x v="12"/>
    <x v="36"/>
    <n v="1109"/>
    <n v="239"/>
    <x v="8"/>
  </r>
  <r>
    <x v="1"/>
    <x v="15"/>
    <x v="0"/>
    <n v="0"/>
    <n v="0"/>
    <x v="20"/>
  </r>
  <r>
    <x v="2"/>
    <x v="6"/>
    <x v="0"/>
    <n v="0"/>
    <n v="0"/>
    <x v="19"/>
  </r>
  <r>
    <x v="2"/>
    <x v="6"/>
    <x v="0"/>
    <n v="0"/>
    <n v="0"/>
    <x v="9"/>
  </r>
  <r>
    <x v="2"/>
    <x v="6"/>
    <x v="0"/>
    <n v="0"/>
    <n v="0"/>
    <x v="11"/>
  </r>
  <r>
    <x v="2"/>
    <x v="6"/>
    <x v="14"/>
    <n v="12111"/>
    <n v="621"/>
    <x v="4"/>
  </r>
  <r>
    <x v="2"/>
    <x v="6"/>
    <x v="20"/>
    <n v="40008"/>
    <n v="1570"/>
    <x v="4"/>
  </r>
  <r>
    <x v="2"/>
    <x v="6"/>
    <x v="25"/>
    <n v="61690"/>
    <n v="6111"/>
    <x v="4"/>
  </r>
  <r>
    <x v="2"/>
    <x v="6"/>
    <x v="59"/>
    <n v="3855"/>
    <n v="285"/>
    <x v="4"/>
  </r>
  <r>
    <x v="2"/>
    <x v="6"/>
    <x v="56"/>
    <n v="352"/>
    <n v="107"/>
    <x v="4"/>
  </r>
  <r>
    <x v="2"/>
    <x v="6"/>
    <x v="52"/>
    <n v="21595"/>
    <n v="2496"/>
    <x v="4"/>
  </r>
  <r>
    <x v="2"/>
    <x v="6"/>
    <x v="11"/>
    <n v="216"/>
    <n v="41"/>
    <x v="23"/>
  </r>
  <r>
    <x v="2"/>
    <x v="6"/>
    <x v="2"/>
    <n v="5324"/>
    <n v="851"/>
    <x v="2"/>
  </r>
  <r>
    <x v="2"/>
    <x v="6"/>
    <x v="17"/>
    <n v="6635"/>
    <n v="861"/>
    <x v="8"/>
  </r>
  <r>
    <x v="2"/>
    <x v="6"/>
    <x v="43"/>
    <n v="103367"/>
    <n v="6061"/>
    <x v="10"/>
  </r>
  <r>
    <x v="2"/>
    <x v="6"/>
    <x v="44"/>
    <n v="35425"/>
    <n v="1636"/>
    <x v="10"/>
  </r>
  <r>
    <x v="2"/>
    <x v="7"/>
    <x v="0"/>
    <n v="8"/>
    <n v="8"/>
    <x v="4"/>
  </r>
  <r>
    <x v="2"/>
    <x v="7"/>
    <x v="0"/>
    <n v="0"/>
    <n v="0"/>
    <x v="12"/>
  </r>
  <r>
    <x v="2"/>
    <x v="7"/>
    <x v="37"/>
    <n v="7700"/>
    <n v="232"/>
    <x v="28"/>
  </r>
  <r>
    <x v="2"/>
    <x v="7"/>
    <x v="1"/>
    <n v="194"/>
    <n v="17"/>
    <x v="2"/>
  </r>
  <r>
    <x v="2"/>
    <x v="7"/>
    <x v="1"/>
    <n v="509"/>
    <n v="68"/>
    <x v="0"/>
  </r>
  <r>
    <x v="2"/>
    <x v="7"/>
    <x v="61"/>
    <n v="2358"/>
    <n v="0"/>
    <x v="1"/>
  </r>
  <r>
    <x v="2"/>
    <x v="7"/>
    <x v="61"/>
    <n v="1"/>
    <n v="1"/>
    <x v="18"/>
  </r>
  <r>
    <x v="2"/>
    <x v="7"/>
    <x v="3"/>
    <n v="2"/>
    <n v="2"/>
    <x v="18"/>
  </r>
  <r>
    <x v="2"/>
    <x v="7"/>
    <x v="4"/>
    <n v="13350"/>
    <n v="632"/>
    <x v="4"/>
  </r>
  <r>
    <x v="2"/>
    <x v="7"/>
    <x v="46"/>
    <n v="19862"/>
    <n v="744"/>
    <x v="4"/>
  </r>
  <r>
    <x v="2"/>
    <x v="7"/>
    <x v="26"/>
    <n v="5675"/>
    <n v="571"/>
    <x v="15"/>
  </r>
  <r>
    <x v="2"/>
    <x v="7"/>
    <x v="34"/>
    <n v="22518"/>
    <n v="1770"/>
    <x v="4"/>
  </r>
  <r>
    <x v="2"/>
    <x v="7"/>
    <x v="11"/>
    <n v="112"/>
    <n v="16"/>
    <x v="12"/>
  </r>
  <r>
    <x v="2"/>
    <x v="7"/>
    <x v="11"/>
    <n v="828"/>
    <n v="73"/>
    <x v="6"/>
  </r>
  <r>
    <x v="2"/>
    <x v="7"/>
    <x v="11"/>
    <n v="106"/>
    <n v="20"/>
    <x v="26"/>
  </r>
  <r>
    <x v="2"/>
    <x v="7"/>
    <x v="2"/>
    <n v="704"/>
    <n v="121"/>
    <x v="8"/>
  </r>
  <r>
    <x v="2"/>
    <x v="7"/>
    <x v="2"/>
    <n v="531"/>
    <n v="105"/>
    <x v="12"/>
  </r>
  <r>
    <x v="2"/>
    <x v="7"/>
    <x v="2"/>
    <n v="262"/>
    <n v="50"/>
    <x v="0"/>
  </r>
  <r>
    <x v="2"/>
    <x v="7"/>
    <x v="18"/>
    <n v="16826"/>
    <n v="1057"/>
    <x v="10"/>
  </r>
  <r>
    <x v="2"/>
    <x v="7"/>
    <x v="54"/>
    <n v="82838"/>
    <n v="3402"/>
    <x v="10"/>
  </r>
  <r>
    <x v="2"/>
    <x v="7"/>
    <x v="13"/>
    <n v="846"/>
    <n v="133"/>
    <x v="11"/>
  </r>
  <r>
    <x v="2"/>
    <x v="0"/>
    <x v="0"/>
    <n v="0"/>
    <n v="0"/>
    <x v="13"/>
  </r>
  <r>
    <x v="2"/>
    <x v="0"/>
    <x v="55"/>
    <n v="13356"/>
    <n v="832"/>
    <x v="4"/>
  </r>
  <r>
    <x v="2"/>
    <x v="0"/>
    <x v="20"/>
    <n v="32"/>
    <n v="32"/>
    <x v="14"/>
  </r>
  <r>
    <x v="2"/>
    <x v="0"/>
    <x v="9"/>
    <n v="479"/>
    <n v="34"/>
    <x v="5"/>
  </r>
  <r>
    <x v="2"/>
    <x v="0"/>
    <x v="16"/>
    <n v="2198"/>
    <n v="255"/>
    <x v="16"/>
  </r>
  <r>
    <x v="2"/>
    <x v="0"/>
    <x v="16"/>
    <n v="18060"/>
    <n v="1389"/>
    <x v="24"/>
  </r>
  <r>
    <x v="2"/>
    <x v="0"/>
    <x v="11"/>
    <n v="158"/>
    <n v="33"/>
    <x v="29"/>
  </r>
  <r>
    <x v="2"/>
    <x v="0"/>
    <x v="11"/>
    <n v="4315"/>
    <n v="1855"/>
    <x v="25"/>
  </r>
  <r>
    <x v="2"/>
    <x v="0"/>
    <x v="51"/>
    <n v="11"/>
    <n v="11"/>
    <x v="10"/>
  </r>
  <r>
    <x v="2"/>
    <x v="1"/>
    <x v="0"/>
    <n v="0"/>
    <n v="0"/>
    <x v="9"/>
  </r>
  <r>
    <x v="2"/>
    <x v="1"/>
    <x v="0"/>
    <n v="0"/>
    <n v="0"/>
    <x v="11"/>
  </r>
  <r>
    <x v="2"/>
    <x v="1"/>
    <x v="61"/>
    <n v="12583"/>
    <n v="1092"/>
    <x v="3"/>
  </r>
  <r>
    <x v="2"/>
    <x v="1"/>
    <x v="14"/>
    <n v="8881"/>
    <n v="607"/>
    <x v="4"/>
  </r>
  <r>
    <x v="2"/>
    <x v="1"/>
    <x v="59"/>
    <n v="3164"/>
    <n v="258"/>
    <x v="4"/>
  </r>
  <r>
    <x v="2"/>
    <x v="1"/>
    <x v="56"/>
    <n v="214"/>
    <n v="58"/>
    <x v="4"/>
  </r>
  <r>
    <x v="2"/>
    <x v="1"/>
    <x v="62"/>
    <n v="2916"/>
    <n v="310"/>
    <x v="4"/>
  </r>
  <r>
    <x v="2"/>
    <x v="1"/>
    <x v="11"/>
    <n v="173"/>
    <n v="45"/>
    <x v="23"/>
  </r>
  <r>
    <x v="2"/>
    <x v="1"/>
    <x v="2"/>
    <n v="1359"/>
    <n v="309"/>
    <x v="19"/>
  </r>
  <r>
    <x v="2"/>
    <x v="1"/>
    <x v="2"/>
    <n v="3211"/>
    <n v="568"/>
    <x v="2"/>
  </r>
  <r>
    <x v="2"/>
    <x v="1"/>
    <x v="17"/>
    <n v="11127"/>
    <n v="1522"/>
    <x v="8"/>
  </r>
  <r>
    <x v="2"/>
    <x v="1"/>
    <x v="43"/>
    <n v="89387"/>
    <n v="6189"/>
    <x v="10"/>
  </r>
  <r>
    <x v="2"/>
    <x v="1"/>
    <x v="44"/>
    <n v="77460"/>
    <n v="5731"/>
    <x v="10"/>
  </r>
  <r>
    <x v="2"/>
    <x v="1"/>
    <x v="36"/>
    <n v="768"/>
    <n v="144"/>
    <x v="16"/>
  </r>
  <r>
    <x v="2"/>
    <x v="1"/>
    <x v="13"/>
    <n v="1331"/>
    <n v="219"/>
    <x v="13"/>
  </r>
  <r>
    <x v="2"/>
    <x v="5"/>
    <x v="0"/>
    <n v="9"/>
    <n v="9"/>
    <x v="4"/>
  </r>
  <r>
    <x v="2"/>
    <x v="5"/>
    <x v="3"/>
    <n v="10906"/>
    <n v="1888"/>
    <x v="3"/>
  </r>
  <r>
    <x v="2"/>
    <x v="5"/>
    <x v="3"/>
    <n v="1"/>
    <n v="1"/>
    <x v="18"/>
  </r>
  <r>
    <x v="2"/>
    <x v="5"/>
    <x v="4"/>
    <n v="16153"/>
    <n v="658"/>
    <x v="4"/>
  </r>
  <r>
    <x v="2"/>
    <x v="5"/>
    <x v="14"/>
    <n v="22554"/>
    <n v="452"/>
    <x v="22"/>
  </r>
  <r>
    <x v="2"/>
    <x v="5"/>
    <x v="46"/>
    <n v="14109"/>
    <n v="658"/>
    <x v="4"/>
  </r>
  <r>
    <x v="2"/>
    <x v="5"/>
    <x v="26"/>
    <n v="5906"/>
    <n v="606"/>
    <x v="15"/>
  </r>
  <r>
    <x v="2"/>
    <x v="5"/>
    <x v="28"/>
    <n v="6532"/>
    <n v="483"/>
    <x v="24"/>
  </r>
  <r>
    <x v="2"/>
    <x v="5"/>
    <x v="34"/>
    <n v="29718"/>
    <n v="2332"/>
    <x v="4"/>
  </r>
  <r>
    <x v="2"/>
    <x v="5"/>
    <x v="40"/>
    <n v="5044"/>
    <n v="115"/>
    <x v="21"/>
  </r>
  <r>
    <x v="2"/>
    <x v="5"/>
    <x v="10"/>
    <n v="20291"/>
    <n v="495"/>
    <x v="6"/>
  </r>
  <r>
    <x v="2"/>
    <x v="5"/>
    <x v="11"/>
    <n v="104"/>
    <n v="18"/>
    <x v="12"/>
  </r>
  <r>
    <x v="2"/>
    <x v="5"/>
    <x v="11"/>
    <n v="317"/>
    <n v="102"/>
    <x v="26"/>
  </r>
  <r>
    <x v="2"/>
    <x v="5"/>
    <x v="2"/>
    <n v="463"/>
    <n v="68"/>
    <x v="8"/>
  </r>
  <r>
    <x v="2"/>
    <x v="5"/>
    <x v="2"/>
    <n v="460"/>
    <n v="84"/>
    <x v="12"/>
  </r>
  <r>
    <x v="2"/>
    <x v="5"/>
    <x v="2"/>
    <n v="82"/>
    <n v="26"/>
    <x v="15"/>
  </r>
  <r>
    <x v="2"/>
    <x v="5"/>
    <x v="2"/>
    <n v="320"/>
    <n v="75"/>
    <x v="0"/>
  </r>
  <r>
    <x v="2"/>
    <x v="5"/>
    <x v="47"/>
    <n v="95947"/>
    <n v="9257"/>
    <x v="10"/>
  </r>
  <r>
    <x v="2"/>
    <x v="5"/>
    <x v="13"/>
    <n v="817"/>
    <n v="114"/>
    <x v="11"/>
  </r>
  <r>
    <x v="2"/>
    <x v="8"/>
    <x v="0"/>
    <n v="0"/>
    <n v="0"/>
    <x v="3"/>
  </r>
  <r>
    <x v="2"/>
    <x v="8"/>
    <x v="0"/>
    <n v="0"/>
    <n v="0"/>
    <x v="13"/>
  </r>
  <r>
    <x v="2"/>
    <x v="8"/>
    <x v="3"/>
    <n v="110"/>
    <n v="21"/>
    <x v="1"/>
  </r>
  <r>
    <x v="2"/>
    <x v="8"/>
    <x v="9"/>
    <n v="429"/>
    <n v="33"/>
    <x v="5"/>
  </r>
  <r>
    <x v="2"/>
    <x v="8"/>
    <x v="16"/>
    <n v="17495"/>
    <n v="1425"/>
    <x v="24"/>
  </r>
  <r>
    <x v="2"/>
    <x v="8"/>
    <x v="16"/>
    <n v="10616"/>
    <n v="1342"/>
    <x v="2"/>
  </r>
  <r>
    <x v="2"/>
    <x v="8"/>
    <x v="11"/>
    <n v="143"/>
    <n v="26"/>
    <x v="29"/>
  </r>
  <r>
    <x v="2"/>
    <x v="8"/>
    <x v="51"/>
    <n v="2"/>
    <n v="2"/>
    <x v="10"/>
  </r>
  <r>
    <x v="2"/>
    <x v="9"/>
    <x v="0"/>
    <n v="0"/>
    <n v="0"/>
    <x v="9"/>
  </r>
  <r>
    <x v="2"/>
    <x v="9"/>
    <x v="0"/>
    <n v="0"/>
    <n v="0"/>
    <x v="11"/>
  </r>
  <r>
    <x v="2"/>
    <x v="9"/>
    <x v="0"/>
    <n v="0"/>
    <n v="0"/>
    <x v="1"/>
  </r>
  <r>
    <x v="2"/>
    <x v="9"/>
    <x v="61"/>
    <n v="13918"/>
    <n v="1083"/>
    <x v="3"/>
  </r>
  <r>
    <x v="2"/>
    <x v="9"/>
    <x v="19"/>
    <n v="9036"/>
    <n v="452"/>
    <x v="4"/>
  </r>
  <r>
    <x v="2"/>
    <x v="9"/>
    <x v="59"/>
    <n v="3514"/>
    <n v="255"/>
    <x v="4"/>
  </r>
  <r>
    <x v="2"/>
    <x v="9"/>
    <x v="7"/>
    <n v="42167"/>
    <n v="4408"/>
    <x v="4"/>
  </r>
  <r>
    <x v="2"/>
    <x v="9"/>
    <x v="16"/>
    <n v="7125"/>
    <n v="532"/>
    <x v="8"/>
  </r>
  <r>
    <x v="2"/>
    <x v="9"/>
    <x v="22"/>
    <n v="6823"/>
    <n v="1038"/>
    <x v="12"/>
  </r>
  <r>
    <x v="2"/>
    <x v="9"/>
    <x v="11"/>
    <n v="163"/>
    <n v="38"/>
    <x v="23"/>
  </r>
  <r>
    <x v="2"/>
    <x v="9"/>
    <x v="2"/>
    <n v="1022"/>
    <n v="225"/>
    <x v="19"/>
  </r>
  <r>
    <x v="2"/>
    <x v="9"/>
    <x v="2"/>
    <n v="4272"/>
    <n v="769"/>
    <x v="2"/>
  </r>
  <r>
    <x v="2"/>
    <x v="9"/>
    <x v="2"/>
    <n v="4581"/>
    <n v="788"/>
    <x v="9"/>
  </r>
  <r>
    <x v="2"/>
    <x v="9"/>
    <x v="17"/>
    <n v="14356"/>
    <n v="1560"/>
    <x v="8"/>
  </r>
  <r>
    <x v="2"/>
    <x v="9"/>
    <x v="43"/>
    <n v="104188"/>
    <n v="6782"/>
    <x v="10"/>
  </r>
  <r>
    <x v="2"/>
    <x v="9"/>
    <x v="44"/>
    <n v="95557"/>
    <n v="5192"/>
    <x v="10"/>
  </r>
  <r>
    <x v="2"/>
    <x v="9"/>
    <x v="13"/>
    <n v="10463"/>
    <n v="1092"/>
    <x v="17"/>
  </r>
  <r>
    <x v="2"/>
    <x v="9"/>
    <x v="13"/>
    <n v="1069"/>
    <n v="141"/>
    <x v="13"/>
  </r>
  <r>
    <x v="2"/>
    <x v="3"/>
    <x v="0"/>
    <n v="0"/>
    <n v="0"/>
    <x v="27"/>
  </r>
  <r>
    <x v="2"/>
    <x v="3"/>
    <x v="3"/>
    <n v="11795"/>
    <n v="1791"/>
    <x v="3"/>
  </r>
  <r>
    <x v="2"/>
    <x v="3"/>
    <x v="3"/>
    <n v="1"/>
    <n v="1"/>
    <x v="18"/>
  </r>
  <r>
    <x v="2"/>
    <x v="3"/>
    <x v="4"/>
    <n v="9776"/>
    <n v="338"/>
    <x v="4"/>
  </r>
  <r>
    <x v="2"/>
    <x v="3"/>
    <x v="8"/>
    <n v="320"/>
    <n v="65"/>
    <x v="4"/>
  </r>
  <r>
    <x v="2"/>
    <x v="3"/>
    <x v="46"/>
    <n v="7447"/>
    <n v="378"/>
    <x v="4"/>
  </r>
  <r>
    <x v="2"/>
    <x v="3"/>
    <x v="28"/>
    <n v="8098"/>
    <n v="2053"/>
    <x v="24"/>
  </r>
  <r>
    <x v="2"/>
    <x v="3"/>
    <x v="28"/>
    <n v="18042"/>
    <n v="2188"/>
    <x v="7"/>
  </r>
  <r>
    <x v="2"/>
    <x v="3"/>
    <x v="34"/>
    <n v="21059"/>
    <n v="1320"/>
    <x v="4"/>
  </r>
  <r>
    <x v="2"/>
    <x v="3"/>
    <x v="40"/>
    <n v="18812"/>
    <n v="121"/>
    <x v="21"/>
  </r>
  <r>
    <x v="2"/>
    <x v="3"/>
    <x v="10"/>
    <n v="19092"/>
    <n v="456"/>
    <x v="6"/>
  </r>
  <r>
    <x v="2"/>
    <x v="3"/>
    <x v="11"/>
    <n v="285"/>
    <n v="91"/>
    <x v="26"/>
  </r>
  <r>
    <x v="2"/>
    <x v="3"/>
    <x v="2"/>
    <n v="265"/>
    <n v="47"/>
    <x v="8"/>
  </r>
  <r>
    <x v="2"/>
    <x v="3"/>
    <x v="2"/>
    <n v="372"/>
    <n v="86"/>
    <x v="12"/>
  </r>
  <r>
    <x v="2"/>
    <x v="3"/>
    <x v="2"/>
    <n v="70"/>
    <n v="25"/>
    <x v="15"/>
  </r>
  <r>
    <x v="2"/>
    <x v="3"/>
    <x v="53"/>
    <n v="74562"/>
    <n v="5149"/>
    <x v="10"/>
  </r>
  <r>
    <x v="2"/>
    <x v="3"/>
    <x v="47"/>
    <n v="94894"/>
    <n v="6555"/>
    <x v="10"/>
  </r>
  <r>
    <x v="2"/>
    <x v="3"/>
    <x v="36"/>
    <n v="1012"/>
    <n v="220"/>
    <x v="8"/>
  </r>
  <r>
    <x v="2"/>
    <x v="3"/>
    <x v="13"/>
    <n v="995"/>
    <n v="193"/>
    <x v="11"/>
  </r>
  <r>
    <x v="2"/>
    <x v="2"/>
    <x v="0"/>
    <n v="0"/>
    <n v="0"/>
    <x v="17"/>
  </r>
  <r>
    <x v="2"/>
    <x v="2"/>
    <x v="0"/>
    <n v="0"/>
    <n v="0"/>
    <x v="3"/>
  </r>
  <r>
    <x v="2"/>
    <x v="2"/>
    <x v="0"/>
    <n v="0"/>
    <n v="0"/>
    <x v="13"/>
  </r>
  <r>
    <x v="2"/>
    <x v="2"/>
    <x v="3"/>
    <n v="119"/>
    <n v="21"/>
    <x v="1"/>
  </r>
  <r>
    <x v="2"/>
    <x v="2"/>
    <x v="21"/>
    <n v="11492"/>
    <n v="1496"/>
    <x v="4"/>
  </r>
  <r>
    <x v="2"/>
    <x v="2"/>
    <x v="16"/>
    <n v="7190"/>
    <n v="871"/>
    <x v="2"/>
  </r>
  <r>
    <x v="2"/>
    <x v="2"/>
    <x v="11"/>
    <n v="184"/>
    <n v="27"/>
    <x v="29"/>
  </r>
  <r>
    <x v="2"/>
    <x v="2"/>
    <x v="11"/>
    <n v="833"/>
    <n v="97"/>
    <x v="13"/>
  </r>
  <r>
    <x v="2"/>
    <x v="2"/>
    <x v="51"/>
    <n v="2"/>
    <n v="2"/>
    <x v="10"/>
  </r>
  <r>
    <x v="2"/>
    <x v="2"/>
    <x v="24"/>
    <n v="5691"/>
    <n v="472"/>
    <x v="16"/>
  </r>
  <r>
    <x v="2"/>
    <x v="4"/>
    <x v="0"/>
    <n v="0"/>
    <n v="0"/>
    <x v="21"/>
  </r>
  <r>
    <x v="2"/>
    <x v="4"/>
    <x v="0"/>
    <n v="0"/>
    <n v="0"/>
    <x v="11"/>
  </r>
  <r>
    <x v="2"/>
    <x v="4"/>
    <x v="0"/>
    <n v="0"/>
    <n v="0"/>
    <x v="1"/>
  </r>
  <r>
    <x v="2"/>
    <x v="4"/>
    <x v="61"/>
    <n v="14785"/>
    <n v="704"/>
    <x v="2"/>
  </r>
  <r>
    <x v="2"/>
    <x v="4"/>
    <x v="19"/>
    <n v="5503"/>
    <n v="247"/>
    <x v="4"/>
  </r>
  <r>
    <x v="2"/>
    <x v="4"/>
    <x v="19"/>
    <n v="1018"/>
    <n v="32"/>
    <x v="22"/>
  </r>
  <r>
    <x v="2"/>
    <x v="4"/>
    <x v="14"/>
    <n v="7030"/>
    <n v="326"/>
    <x v="4"/>
  </r>
  <r>
    <x v="2"/>
    <x v="4"/>
    <x v="39"/>
    <n v="82130"/>
    <n v="5966"/>
    <x v="4"/>
  </r>
  <r>
    <x v="2"/>
    <x v="4"/>
    <x v="7"/>
    <n v="45581"/>
    <n v="4184"/>
    <x v="4"/>
  </r>
  <r>
    <x v="2"/>
    <x v="4"/>
    <x v="16"/>
    <n v="5796"/>
    <n v="467"/>
    <x v="8"/>
  </r>
  <r>
    <x v="2"/>
    <x v="4"/>
    <x v="63"/>
    <n v="14813"/>
    <n v="913"/>
    <x v="4"/>
  </r>
  <r>
    <x v="2"/>
    <x v="4"/>
    <x v="22"/>
    <n v="10903"/>
    <n v="1581"/>
    <x v="19"/>
  </r>
  <r>
    <x v="2"/>
    <x v="4"/>
    <x v="22"/>
    <n v="7982"/>
    <n v="1544"/>
    <x v="12"/>
  </r>
  <r>
    <x v="2"/>
    <x v="4"/>
    <x v="11"/>
    <n v="198"/>
    <n v="43"/>
    <x v="23"/>
  </r>
  <r>
    <x v="2"/>
    <x v="4"/>
    <x v="2"/>
    <n v="571"/>
    <n v="113"/>
    <x v="19"/>
  </r>
  <r>
    <x v="2"/>
    <x v="4"/>
    <x v="2"/>
    <n v="3738"/>
    <n v="645"/>
    <x v="9"/>
  </r>
  <r>
    <x v="2"/>
    <x v="4"/>
    <x v="44"/>
    <n v="83661"/>
    <n v="4457"/>
    <x v="10"/>
  </r>
  <r>
    <x v="2"/>
    <x v="4"/>
    <x v="13"/>
    <n v="8482"/>
    <n v="825"/>
    <x v="17"/>
  </r>
  <r>
    <x v="2"/>
    <x v="4"/>
    <x v="13"/>
    <n v="904"/>
    <n v="120"/>
    <x v="13"/>
  </r>
  <r>
    <x v="2"/>
    <x v="10"/>
    <x v="0"/>
    <n v="0"/>
    <n v="0"/>
    <x v="20"/>
  </r>
  <r>
    <x v="2"/>
    <x v="10"/>
    <x v="0"/>
    <n v="0"/>
    <n v="0"/>
    <x v="27"/>
  </r>
  <r>
    <x v="2"/>
    <x v="10"/>
    <x v="3"/>
    <n v="8556"/>
    <n v="1745"/>
    <x v="3"/>
  </r>
  <r>
    <x v="2"/>
    <x v="10"/>
    <x v="3"/>
    <n v="477"/>
    <n v="63"/>
    <x v="0"/>
  </r>
  <r>
    <x v="2"/>
    <x v="10"/>
    <x v="14"/>
    <n v="6990"/>
    <n v="205"/>
    <x v="22"/>
  </r>
  <r>
    <x v="2"/>
    <x v="10"/>
    <x v="8"/>
    <n v="39"/>
    <n v="2"/>
    <x v="4"/>
  </r>
  <r>
    <x v="2"/>
    <x v="10"/>
    <x v="57"/>
    <n v="41536"/>
    <n v="5598"/>
    <x v="4"/>
  </r>
  <r>
    <x v="2"/>
    <x v="10"/>
    <x v="28"/>
    <n v="1119"/>
    <n v="140"/>
    <x v="24"/>
  </r>
  <r>
    <x v="2"/>
    <x v="10"/>
    <x v="28"/>
    <n v="11247"/>
    <n v="1454"/>
    <x v="7"/>
  </r>
  <r>
    <x v="2"/>
    <x v="10"/>
    <x v="27"/>
    <n v="1144"/>
    <n v="147"/>
    <x v="29"/>
  </r>
  <r>
    <x v="2"/>
    <x v="10"/>
    <x v="40"/>
    <n v="19661"/>
    <n v="146"/>
    <x v="21"/>
  </r>
  <r>
    <x v="2"/>
    <x v="10"/>
    <x v="10"/>
    <n v="12"/>
    <n v="2"/>
    <x v="6"/>
  </r>
  <r>
    <x v="2"/>
    <x v="10"/>
    <x v="2"/>
    <n v="356"/>
    <n v="48"/>
    <x v="12"/>
  </r>
  <r>
    <x v="2"/>
    <x v="10"/>
    <x v="2"/>
    <n v="14"/>
    <n v="4"/>
    <x v="15"/>
  </r>
  <r>
    <x v="2"/>
    <x v="10"/>
    <x v="53"/>
    <n v="70293"/>
    <n v="3709"/>
    <x v="10"/>
  </r>
  <r>
    <x v="2"/>
    <x v="10"/>
    <x v="47"/>
    <n v="97516"/>
    <n v="5215"/>
    <x v="10"/>
  </r>
  <r>
    <x v="2"/>
    <x v="10"/>
    <x v="36"/>
    <n v="1075"/>
    <n v="230"/>
    <x v="8"/>
  </r>
  <r>
    <x v="2"/>
    <x v="11"/>
    <x v="0"/>
    <n v="0"/>
    <n v="0"/>
    <x v="17"/>
  </r>
  <r>
    <x v="2"/>
    <x v="11"/>
    <x v="0"/>
    <n v="0"/>
    <n v="0"/>
    <x v="3"/>
  </r>
  <r>
    <x v="2"/>
    <x v="11"/>
    <x v="0"/>
    <n v="0"/>
    <n v="0"/>
    <x v="13"/>
  </r>
  <r>
    <x v="2"/>
    <x v="11"/>
    <x v="1"/>
    <n v="6858"/>
    <n v="1224"/>
    <x v="13"/>
  </r>
  <r>
    <x v="2"/>
    <x v="11"/>
    <x v="3"/>
    <n v="120"/>
    <n v="22"/>
    <x v="1"/>
  </r>
  <r>
    <x v="2"/>
    <x v="11"/>
    <x v="58"/>
    <n v="63923"/>
    <n v="3596"/>
    <x v="4"/>
  </r>
  <r>
    <x v="2"/>
    <x v="11"/>
    <x v="27"/>
    <n v="8526"/>
    <n v="1387"/>
    <x v="23"/>
  </r>
  <r>
    <x v="2"/>
    <x v="11"/>
    <x v="16"/>
    <n v="8263"/>
    <n v="877"/>
    <x v="2"/>
  </r>
  <r>
    <x v="2"/>
    <x v="11"/>
    <x v="11"/>
    <n v="199"/>
    <n v="51"/>
    <x v="13"/>
  </r>
  <r>
    <x v="2"/>
    <x v="12"/>
    <x v="0"/>
    <n v="0"/>
    <n v="0"/>
    <x v="21"/>
  </r>
  <r>
    <x v="2"/>
    <x v="12"/>
    <x v="0"/>
    <n v="0"/>
    <n v="0"/>
    <x v="1"/>
  </r>
  <r>
    <x v="2"/>
    <x v="12"/>
    <x v="19"/>
    <n v="16556"/>
    <n v="383"/>
    <x v="4"/>
  </r>
  <r>
    <x v="2"/>
    <x v="12"/>
    <x v="39"/>
    <n v="24705"/>
    <n v="997"/>
    <x v="4"/>
  </r>
  <r>
    <x v="2"/>
    <x v="12"/>
    <x v="7"/>
    <n v="8156"/>
    <n v="541"/>
    <x v="4"/>
  </r>
  <r>
    <x v="2"/>
    <x v="12"/>
    <x v="16"/>
    <n v="3971"/>
    <n v="343"/>
    <x v="8"/>
  </r>
  <r>
    <x v="2"/>
    <x v="12"/>
    <x v="22"/>
    <n v="3512"/>
    <n v="385"/>
    <x v="19"/>
  </r>
  <r>
    <x v="2"/>
    <x v="12"/>
    <x v="22"/>
    <n v="4720"/>
    <n v="615"/>
    <x v="12"/>
  </r>
  <r>
    <x v="2"/>
    <x v="12"/>
    <x v="2"/>
    <n v="349"/>
    <n v="13"/>
    <x v="19"/>
  </r>
  <r>
    <x v="2"/>
    <x v="12"/>
    <x v="2"/>
    <n v="1"/>
    <n v="0"/>
    <x v="5"/>
  </r>
  <r>
    <x v="2"/>
    <x v="12"/>
    <x v="2"/>
    <n v="680"/>
    <n v="74"/>
    <x v="9"/>
  </r>
  <r>
    <x v="2"/>
    <x v="12"/>
    <x v="13"/>
    <n v="3573"/>
    <n v="327"/>
    <x v="17"/>
  </r>
  <r>
    <x v="2"/>
    <x v="13"/>
    <x v="36"/>
    <n v="0"/>
    <n v="0"/>
    <x v="8"/>
  </r>
  <r>
    <x v="2"/>
    <x v="6"/>
    <x v="0"/>
    <n v="0"/>
    <n v="0"/>
    <x v="1"/>
  </r>
  <r>
    <x v="2"/>
    <x v="6"/>
    <x v="19"/>
    <n v="14508"/>
    <n v="654"/>
    <x v="4"/>
  </r>
  <r>
    <x v="2"/>
    <x v="6"/>
    <x v="9"/>
    <n v="2021"/>
    <n v="119"/>
    <x v="12"/>
  </r>
  <r>
    <x v="2"/>
    <x v="6"/>
    <x v="9"/>
    <n v="18288"/>
    <n v="2960"/>
    <x v="2"/>
  </r>
  <r>
    <x v="2"/>
    <x v="6"/>
    <x v="16"/>
    <n v="5507"/>
    <n v="554"/>
    <x v="8"/>
  </r>
  <r>
    <x v="2"/>
    <x v="6"/>
    <x v="63"/>
    <n v="5595"/>
    <n v="231"/>
    <x v="4"/>
  </r>
  <r>
    <x v="2"/>
    <x v="6"/>
    <x v="22"/>
    <n v="7022"/>
    <n v="981"/>
    <x v="12"/>
  </r>
  <r>
    <x v="2"/>
    <x v="6"/>
    <x v="2"/>
    <n v="1"/>
    <n v="0"/>
    <x v="5"/>
  </r>
  <r>
    <x v="2"/>
    <x v="6"/>
    <x v="2"/>
    <n v="163"/>
    <n v="30"/>
    <x v="24"/>
  </r>
  <r>
    <x v="2"/>
    <x v="6"/>
    <x v="2"/>
    <n v="210"/>
    <n v="59"/>
    <x v="17"/>
  </r>
  <r>
    <x v="2"/>
    <x v="6"/>
    <x v="2"/>
    <n v="358"/>
    <n v="78"/>
    <x v="3"/>
  </r>
  <r>
    <x v="2"/>
    <x v="6"/>
    <x v="2"/>
    <n v="122"/>
    <n v="43"/>
    <x v="11"/>
  </r>
  <r>
    <x v="2"/>
    <x v="6"/>
    <x v="29"/>
    <n v="99832"/>
    <n v="9117"/>
    <x v="10"/>
  </r>
  <r>
    <x v="2"/>
    <x v="6"/>
    <x v="13"/>
    <n v="16716"/>
    <n v="1852"/>
    <x v="13"/>
  </r>
  <r>
    <x v="2"/>
    <x v="7"/>
    <x v="0"/>
    <n v="0"/>
    <n v="0"/>
    <x v="6"/>
  </r>
  <r>
    <x v="2"/>
    <x v="7"/>
    <x v="61"/>
    <n v="9488"/>
    <n v="0"/>
    <x v="0"/>
  </r>
  <r>
    <x v="2"/>
    <x v="7"/>
    <x v="3"/>
    <n v="9045"/>
    <n v="1660"/>
    <x v="3"/>
  </r>
  <r>
    <x v="2"/>
    <x v="7"/>
    <x v="49"/>
    <n v="15364"/>
    <n v="3806"/>
    <x v="4"/>
  </r>
  <r>
    <x v="2"/>
    <x v="7"/>
    <x v="30"/>
    <n v="2255"/>
    <n v="118"/>
    <x v="4"/>
  </r>
  <r>
    <x v="2"/>
    <x v="7"/>
    <x v="42"/>
    <n v="17299"/>
    <n v="1361"/>
    <x v="22"/>
  </r>
  <r>
    <x v="2"/>
    <x v="7"/>
    <x v="8"/>
    <n v="985"/>
    <n v="172"/>
    <x v="4"/>
  </r>
  <r>
    <x v="2"/>
    <x v="7"/>
    <x v="57"/>
    <n v="54723"/>
    <n v="8237"/>
    <x v="4"/>
  </r>
  <r>
    <x v="2"/>
    <x v="7"/>
    <x v="63"/>
    <n v="153"/>
    <n v="16"/>
    <x v="22"/>
  </r>
  <r>
    <x v="2"/>
    <x v="7"/>
    <x v="22"/>
    <n v="11865"/>
    <n v="1635"/>
    <x v="19"/>
  </r>
  <r>
    <x v="2"/>
    <x v="7"/>
    <x v="10"/>
    <n v="20977"/>
    <n v="663"/>
    <x v="6"/>
  </r>
  <r>
    <x v="2"/>
    <x v="7"/>
    <x v="11"/>
    <n v="6323"/>
    <n v="1628"/>
    <x v="0"/>
  </r>
  <r>
    <x v="2"/>
    <x v="7"/>
    <x v="53"/>
    <n v="55325"/>
    <n v="4497"/>
    <x v="10"/>
  </r>
  <r>
    <x v="2"/>
    <x v="7"/>
    <x v="31"/>
    <n v="52122"/>
    <n v="2255"/>
    <x v="10"/>
  </r>
  <r>
    <x v="2"/>
    <x v="7"/>
    <x v="24"/>
    <n v="2728"/>
    <n v="380"/>
    <x v="8"/>
  </r>
  <r>
    <x v="2"/>
    <x v="0"/>
    <x v="41"/>
    <n v="32349"/>
    <n v="2791"/>
    <x v="4"/>
  </r>
  <r>
    <x v="2"/>
    <x v="0"/>
    <x v="15"/>
    <n v="60795"/>
    <n v="4376"/>
    <x v="4"/>
  </r>
  <r>
    <x v="2"/>
    <x v="0"/>
    <x v="5"/>
    <n v="45930"/>
    <n v="4792"/>
    <x v="4"/>
  </r>
  <r>
    <x v="2"/>
    <x v="0"/>
    <x v="33"/>
    <n v="475"/>
    <n v="113"/>
    <x v="4"/>
  </r>
  <r>
    <x v="2"/>
    <x v="0"/>
    <x v="58"/>
    <n v="44794"/>
    <n v="5843"/>
    <x v="4"/>
  </r>
  <r>
    <x v="2"/>
    <x v="0"/>
    <x v="27"/>
    <n v="17013"/>
    <n v="2337"/>
    <x v="23"/>
  </r>
  <r>
    <x v="2"/>
    <x v="0"/>
    <x v="27"/>
    <n v="8466"/>
    <n v="763"/>
    <x v="19"/>
  </r>
  <r>
    <x v="2"/>
    <x v="0"/>
    <x v="16"/>
    <n v="10798"/>
    <n v="1102"/>
    <x v="2"/>
  </r>
  <r>
    <x v="2"/>
    <x v="0"/>
    <x v="11"/>
    <n v="11473"/>
    <n v="1788"/>
    <x v="7"/>
  </r>
  <r>
    <x v="2"/>
    <x v="0"/>
    <x v="11"/>
    <n v="2985"/>
    <n v="873"/>
    <x v="1"/>
  </r>
  <r>
    <x v="2"/>
    <x v="0"/>
    <x v="17"/>
    <n v="15027"/>
    <n v="1833"/>
    <x v="16"/>
  </r>
  <r>
    <x v="2"/>
    <x v="0"/>
    <x v="35"/>
    <n v="84130"/>
    <n v="2741"/>
    <x v="10"/>
  </r>
  <r>
    <x v="2"/>
    <x v="0"/>
    <x v="12"/>
    <n v="50"/>
    <n v="50"/>
    <x v="10"/>
  </r>
  <r>
    <x v="2"/>
    <x v="1"/>
    <x v="0"/>
    <n v="0"/>
    <n v="0"/>
    <x v="19"/>
  </r>
  <r>
    <x v="2"/>
    <x v="1"/>
    <x v="0"/>
    <n v="0"/>
    <n v="0"/>
    <x v="1"/>
  </r>
  <r>
    <x v="2"/>
    <x v="1"/>
    <x v="0"/>
    <n v="0"/>
    <n v="0"/>
    <x v="0"/>
  </r>
  <r>
    <x v="2"/>
    <x v="1"/>
    <x v="61"/>
    <n v="12764"/>
    <n v="681"/>
    <x v="2"/>
  </r>
  <r>
    <x v="2"/>
    <x v="1"/>
    <x v="19"/>
    <n v="13572"/>
    <n v="715"/>
    <x v="4"/>
  </r>
  <r>
    <x v="2"/>
    <x v="1"/>
    <x v="19"/>
    <n v="6862"/>
    <n v="235"/>
    <x v="22"/>
  </r>
  <r>
    <x v="2"/>
    <x v="1"/>
    <x v="19"/>
    <n v="0"/>
    <n v="0"/>
    <x v="18"/>
  </r>
  <r>
    <x v="2"/>
    <x v="1"/>
    <x v="20"/>
    <n v="34714"/>
    <n v="1622"/>
    <x v="4"/>
  </r>
  <r>
    <x v="2"/>
    <x v="1"/>
    <x v="15"/>
    <n v="0"/>
    <n v="0"/>
    <x v="14"/>
  </r>
  <r>
    <x v="2"/>
    <x v="1"/>
    <x v="9"/>
    <n v="5505"/>
    <n v="338"/>
    <x v="12"/>
  </r>
  <r>
    <x v="2"/>
    <x v="1"/>
    <x v="9"/>
    <n v="23391"/>
    <n v="3248"/>
    <x v="2"/>
  </r>
  <r>
    <x v="2"/>
    <x v="1"/>
    <x v="16"/>
    <n v="8333"/>
    <n v="902"/>
    <x v="8"/>
  </r>
  <r>
    <x v="2"/>
    <x v="1"/>
    <x v="22"/>
    <n v="4046"/>
    <n v="746"/>
    <x v="12"/>
  </r>
  <r>
    <x v="2"/>
    <x v="1"/>
    <x v="23"/>
    <n v="21"/>
    <n v="5"/>
    <x v="24"/>
  </r>
  <r>
    <x v="2"/>
    <x v="1"/>
    <x v="2"/>
    <n v="1"/>
    <n v="0"/>
    <x v="5"/>
  </r>
  <r>
    <x v="2"/>
    <x v="1"/>
    <x v="2"/>
    <n v="315"/>
    <n v="69"/>
    <x v="24"/>
  </r>
  <r>
    <x v="2"/>
    <x v="1"/>
    <x v="2"/>
    <n v="10348"/>
    <n v="926"/>
    <x v="17"/>
  </r>
  <r>
    <x v="2"/>
    <x v="1"/>
    <x v="2"/>
    <n v="318"/>
    <n v="73"/>
    <x v="3"/>
  </r>
  <r>
    <x v="2"/>
    <x v="1"/>
    <x v="2"/>
    <n v="109"/>
    <n v="33"/>
    <x v="11"/>
  </r>
  <r>
    <x v="2"/>
    <x v="1"/>
    <x v="29"/>
    <n v="102916"/>
    <n v="9520"/>
    <x v="10"/>
  </r>
  <r>
    <x v="2"/>
    <x v="1"/>
    <x v="13"/>
    <n v="8444"/>
    <n v="856"/>
    <x v="2"/>
  </r>
  <r>
    <x v="2"/>
    <x v="5"/>
    <x v="0"/>
    <n v="0"/>
    <n v="0"/>
    <x v="6"/>
  </r>
  <r>
    <x v="2"/>
    <x v="5"/>
    <x v="37"/>
    <n v="8985"/>
    <n v="305"/>
    <x v="28"/>
  </r>
  <r>
    <x v="2"/>
    <x v="5"/>
    <x v="38"/>
    <n v="29263"/>
    <n v="2464"/>
    <x v="4"/>
  </r>
  <r>
    <x v="2"/>
    <x v="5"/>
    <x v="49"/>
    <n v="12822"/>
    <n v="3152"/>
    <x v="4"/>
  </r>
  <r>
    <x v="2"/>
    <x v="5"/>
    <x v="30"/>
    <n v="2517"/>
    <n v="86"/>
    <x v="4"/>
  </r>
  <r>
    <x v="2"/>
    <x v="5"/>
    <x v="42"/>
    <n v="19577"/>
    <n v="1434"/>
    <x v="22"/>
  </r>
  <r>
    <x v="2"/>
    <x v="5"/>
    <x v="8"/>
    <n v="556"/>
    <n v="117"/>
    <x v="4"/>
  </r>
  <r>
    <x v="2"/>
    <x v="5"/>
    <x v="57"/>
    <n v="61859"/>
    <n v="8241"/>
    <x v="4"/>
  </r>
  <r>
    <x v="2"/>
    <x v="5"/>
    <x v="9"/>
    <n v="3211"/>
    <n v="190"/>
    <x v="19"/>
  </r>
  <r>
    <x v="2"/>
    <x v="5"/>
    <x v="63"/>
    <n v="471"/>
    <n v="36"/>
    <x v="22"/>
  </r>
  <r>
    <x v="2"/>
    <x v="5"/>
    <x v="23"/>
    <n v="234"/>
    <n v="58"/>
    <x v="2"/>
  </r>
  <r>
    <x v="2"/>
    <x v="5"/>
    <x v="11"/>
    <n v="10144"/>
    <n v="2664"/>
    <x v="0"/>
  </r>
  <r>
    <x v="2"/>
    <x v="5"/>
    <x v="53"/>
    <n v="71455"/>
    <n v="6365"/>
    <x v="10"/>
  </r>
  <r>
    <x v="2"/>
    <x v="5"/>
    <x v="31"/>
    <n v="61709"/>
    <n v="2287"/>
    <x v="10"/>
  </r>
  <r>
    <x v="2"/>
    <x v="5"/>
    <x v="24"/>
    <n v="1766"/>
    <n v="258"/>
    <x v="8"/>
  </r>
  <r>
    <x v="2"/>
    <x v="8"/>
    <x v="0"/>
    <n v="0"/>
    <n v="0"/>
    <x v="2"/>
  </r>
  <r>
    <x v="2"/>
    <x v="8"/>
    <x v="5"/>
    <n v="35001"/>
    <n v="3830"/>
    <x v="4"/>
  </r>
  <r>
    <x v="2"/>
    <x v="8"/>
    <x v="33"/>
    <n v="378"/>
    <n v="95"/>
    <x v="4"/>
  </r>
  <r>
    <x v="2"/>
    <x v="8"/>
    <x v="58"/>
    <n v="38545"/>
    <n v="5317"/>
    <x v="4"/>
  </r>
  <r>
    <x v="2"/>
    <x v="8"/>
    <x v="28"/>
    <n v="6553"/>
    <n v="719"/>
    <x v="2"/>
  </r>
  <r>
    <x v="2"/>
    <x v="8"/>
    <x v="27"/>
    <n v="16908"/>
    <n v="2542"/>
    <x v="23"/>
  </r>
  <r>
    <x v="2"/>
    <x v="8"/>
    <x v="27"/>
    <n v="9147"/>
    <n v="741"/>
    <x v="19"/>
  </r>
  <r>
    <x v="2"/>
    <x v="8"/>
    <x v="11"/>
    <n v="8265"/>
    <n v="1227"/>
    <x v="7"/>
  </r>
  <r>
    <x v="2"/>
    <x v="8"/>
    <x v="11"/>
    <n v="521"/>
    <n v="139"/>
    <x v="1"/>
  </r>
  <r>
    <x v="2"/>
    <x v="8"/>
    <x v="2"/>
    <n v="117"/>
    <n v="14"/>
    <x v="16"/>
  </r>
  <r>
    <x v="2"/>
    <x v="8"/>
    <x v="17"/>
    <n v="15384"/>
    <n v="1639"/>
    <x v="16"/>
  </r>
  <r>
    <x v="2"/>
    <x v="8"/>
    <x v="35"/>
    <n v="67930"/>
    <n v="1759"/>
    <x v="10"/>
  </r>
  <r>
    <x v="2"/>
    <x v="8"/>
    <x v="12"/>
    <n v="34"/>
    <n v="34"/>
    <x v="10"/>
  </r>
  <r>
    <x v="2"/>
    <x v="9"/>
    <x v="0"/>
    <n v="0"/>
    <n v="0"/>
    <x v="19"/>
  </r>
  <r>
    <x v="2"/>
    <x v="9"/>
    <x v="0"/>
    <n v="0"/>
    <n v="0"/>
    <x v="0"/>
  </r>
  <r>
    <x v="2"/>
    <x v="9"/>
    <x v="61"/>
    <n v="14714"/>
    <n v="678"/>
    <x v="2"/>
  </r>
  <r>
    <x v="2"/>
    <x v="9"/>
    <x v="19"/>
    <n v="4211"/>
    <n v="123"/>
    <x v="22"/>
  </r>
  <r>
    <x v="2"/>
    <x v="9"/>
    <x v="20"/>
    <n v="44915"/>
    <n v="2546"/>
    <x v="4"/>
  </r>
  <r>
    <x v="2"/>
    <x v="9"/>
    <x v="15"/>
    <n v="0"/>
    <n v="0"/>
    <x v="14"/>
  </r>
  <r>
    <x v="2"/>
    <x v="9"/>
    <x v="50"/>
    <n v="34670"/>
    <n v="979"/>
    <x v="27"/>
  </r>
  <r>
    <x v="2"/>
    <x v="9"/>
    <x v="9"/>
    <n v="5911"/>
    <n v="395"/>
    <x v="12"/>
  </r>
  <r>
    <x v="2"/>
    <x v="9"/>
    <x v="63"/>
    <n v="20243"/>
    <n v="901"/>
    <x v="4"/>
  </r>
  <r>
    <x v="2"/>
    <x v="9"/>
    <x v="23"/>
    <n v="38"/>
    <n v="35"/>
    <x v="24"/>
  </r>
  <r>
    <x v="2"/>
    <x v="9"/>
    <x v="2"/>
    <n v="3"/>
    <n v="0"/>
    <x v="5"/>
  </r>
  <r>
    <x v="2"/>
    <x v="9"/>
    <x v="2"/>
    <n v="182"/>
    <n v="47"/>
    <x v="24"/>
  </r>
  <r>
    <x v="2"/>
    <x v="9"/>
    <x v="2"/>
    <n v="14120"/>
    <n v="1427"/>
    <x v="17"/>
  </r>
  <r>
    <x v="2"/>
    <x v="9"/>
    <x v="2"/>
    <n v="370"/>
    <n v="95"/>
    <x v="3"/>
  </r>
  <r>
    <x v="2"/>
    <x v="9"/>
    <x v="2"/>
    <n v="125"/>
    <n v="45"/>
    <x v="11"/>
  </r>
  <r>
    <x v="2"/>
    <x v="9"/>
    <x v="2"/>
    <n v="2000"/>
    <n v="577"/>
    <x v="1"/>
  </r>
  <r>
    <x v="2"/>
    <x v="9"/>
    <x v="29"/>
    <n v="105128"/>
    <n v="7030"/>
    <x v="10"/>
  </r>
  <r>
    <x v="2"/>
    <x v="9"/>
    <x v="36"/>
    <n v="805"/>
    <n v="159"/>
    <x v="16"/>
  </r>
  <r>
    <x v="2"/>
    <x v="9"/>
    <x v="13"/>
    <n v="7205"/>
    <n v="756"/>
    <x v="2"/>
  </r>
  <r>
    <x v="2"/>
    <x v="3"/>
    <x v="0"/>
    <n v="0"/>
    <n v="0"/>
    <x v="20"/>
  </r>
  <r>
    <x v="2"/>
    <x v="3"/>
    <x v="0"/>
    <n v="7"/>
    <n v="7"/>
    <x v="4"/>
  </r>
  <r>
    <x v="2"/>
    <x v="3"/>
    <x v="0"/>
    <n v="0"/>
    <n v="0"/>
    <x v="6"/>
  </r>
  <r>
    <x v="2"/>
    <x v="3"/>
    <x v="37"/>
    <n v="8920"/>
    <n v="329"/>
    <x v="28"/>
  </r>
  <r>
    <x v="2"/>
    <x v="3"/>
    <x v="38"/>
    <n v="24799"/>
    <n v="1848"/>
    <x v="4"/>
  </r>
  <r>
    <x v="2"/>
    <x v="3"/>
    <x v="49"/>
    <n v="11395"/>
    <n v="2844"/>
    <x v="4"/>
  </r>
  <r>
    <x v="2"/>
    <x v="3"/>
    <x v="30"/>
    <n v="2437"/>
    <n v="83"/>
    <x v="4"/>
  </r>
  <r>
    <x v="2"/>
    <x v="3"/>
    <x v="42"/>
    <n v="41311"/>
    <n v="2403"/>
    <x v="22"/>
  </r>
  <r>
    <x v="2"/>
    <x v="3"/>
    <x v="57"/>
    <n v="52442"/>
    <n v="6836"/>
    <x v="4"/>
  </r>
  <r>
    <x v="2"/>
    <x v="3"/>
    <x v="9"/>
    <n v="3583"/>
    <n v="347"/>
    <x v="19"/>
  </r>
  <r>
    <x v="2"/>
    <x v="3"/>
    <x v="63"/>
    <n v="490"/>
    <n v="25"/>
    <x v="22"/>
  </r>
  <r>
    <x v="2"/>
    <x v="3"/>
    <x v="23"/>
    <n v="234"/>
    <n v="58"/>
    <x v="2"/>
  </r>
  <r>
    <x v="2"/>
    <x v="3"/>
    <x v="11"/>
    <n v="76"/>
    <n v="10"/>
    <x v="12"/>
  </r>
  <r>
    <x v="2"/>
    <x v="3"/>
    <x v="31"/>
    <n v="39639"/>
    <n v="1363"/>
    <x v="10"/>
  </r>
  <r>
    <x v="2"/>
    <x v="3"/>
    <x v="24"/>
    <n v="3673"/>
    <n v="439"/>
    <x v="8"/>
  </r>
  <r>
    <x v="2"/>
    <x v="3"/>
    <x v="13"/>
    <n v="11051"/>
    <n v="829"/>
    <x v="19"/>
  </r>
  <r>
    <x v="2"/>
    <x v="2"/>
    <x v="0"/>
    <n v="0"/>
    <n v="0"/>
    <x v="2"/>
  </r>
  <r>
    <x v="2"/>
    <x v="2"/>
    <x v="5"/>
    <n v="38983"/>
    <n v="3826"/>
    <x v="4"/>
  </r>
  <r>
    <x v="2"/>
    <x v="2"/>
    <x v="6"/>
    <n v="4630"/>
    <n v="208"/>
    <x v="4"/>
  </r>
  <r>
    <x v="2"/>
    <x v="2"/>
    <x v="6"/>
    <n v="146"/>
    <n v="22"/>
    <x v="22"/>
  </r>
  <r>
    <x v="2"/>
    <x v="2"/>
    <x v="33"/>
    <n v="323"/>
    <n v="55"/>
    <x v="4"/>
  </r>
  <r>
    <x v="2"/>
    <x v="2"/>
    <x v="58"/>
    <n v="37846"/>
    <n v="5023"/>
    <x v="4"/>
  </r>
  <r>
    <x v="2"/>
    <x v="2"/>
    <x v="28"/>
    <n v="6636"/>
    <n v="702"/>
    <x v="2"/>
  </r>
  <r>
    <x v="2"/>
    <x v="2"/>
    <x v="9"/>
    <n v="421"/>
    <n v="46"/>
    <x v="5"/>
  </r>
  <r>
    <x v="2"/>
    <x v="2"/>
    <x v="27"/>
    <n v="15362"/>
    <n v="2463"/>
    <x v="23"/>
  </r>
  <r>
    <x v="2"/>
    <x v="2"/>
    <x v="16"/>
    <n v="8572"/>
    <n v="795"/>
    <x v="24"/>
  </r>
  <r>
    <x v="2"/>
    <x v="2"/>
    <x v="11"/>
    <n v="2104"/>
    <n v="305"/>
    <x v="7"/>
  </r>
  <r>
    <x v="2"/>
    <x v="2"/>
    <x v="2"/>
    <n v="188"/>
    <n v="16"/>
    <x v="16"/>
  </r>
  <r>
    <x v="2"/>
    <x v="2"/>
    <x v="35"/>
    <n v="49308"/>
    <n v="1245"/>
    <x v="10"/>
  </r>
  <r>
    <x v="2"/>
    <x v="2"/>
    <x v="12"/>
    <n v="6"/>
    <n v="6"/>
    <x v="10"/>
  </r>
  <r>
    <x v="2"/>
    <x v="4"/>
    <x v="0"/>
    <n v="0"/>
    <n v="0"/>
    <x v="19"/>
  </r>
  <r>
    <x v="2"/>
    <x v="4"/>
    <x v="0"/>
    <n v="0"/>
    <n v="0"/>
    <x v="9"/>
  </r>
  <r>
    <x v="2"/>
    <x v="4"/>
    <x v="0"/>
    <n v="0"/>
    <n v="0"/>
    <x v="10"/>
  </r>
  <r>
    <x v="2"/>
    <x v="4"/>
    <x v="0"/>
    <n v="0"/>
    <n v="0"/>
    <x v="0"/>
  </r>
  <r>
    <x v="2"/>
    <x v="4"/>
    <x v="61"/>
    <n v="15393"/>
    <n v="1143"/>
    <x v="3"/>
  </r>
  <r>
    <x v="2"/>
    <x v="4"/>
    <x v="3"/>
    <n v="16742"/>
    <n v="2698"/>
    <x v="9"/>
  </r>
  <r>
    <x v="2"/>
    <x v="4"/>
    <x v="48"/>
    <n v="22703"/>
    <n v="620"/>
    <x v="4"/>
  </r>
  <r>
    <x v="2"/>
    <x v="4"/>
    <x v="20"/>
    <n v="41452"/>
    <n v="2012"/>
    <x v="4"/>
  </r>
  <r>
    <x v="2"/>
    <x v="4"/>
    <x v="15"/>
    <n v="0"/>
    <n v="0"/>
    <x v="14"/>
  </r>
  <r>
    <x v="2"/>
    <x v="4"/>
    <x v="50"/>
    <n v="30273"/>
    <n v="501"/>
    <x v="27"/>
  </r>
  <r>
    <x v="2"/>
    <x v="4"/>
    <x v="23"/>
    <n v="6"/>
    <n v="1"/>
    <x v="24"/>
  </r>
  <r>
    <x v="2"/>
    <x v="4"/>
    <x v="2"/>
    <n v="5"/>
    <n v="1"/>
    <x v="5"/>
  </r>
  <r>
    <x v="2"/>
    <x v="4"/>
    <x v="2"/>
    <n v="169"/>
    <n v="33"/>
    <x v="24"/>
  </r>
  <r>
    <x v="2"/>
    <x v="4"/>
    <x v="2"/>
    <n v="4281"/>
    <n v="419"/>
    <x v="17"/>
  </r>
  <r>
    <x v="2"/>
    <x v="4"/>
    <x v="2"/>
    <n v="79"/>
    <n v="16"/>
    <x v="11"/>
  </r>
  <r>
    <x v="2"/>
    <x v="4"/>
    <x v="2"/>
    <n v="1932"/>
    <n v="536"/>
    <x v="1"/>
  </r>
  <r>
    <x v="2"/>
    <x v="4"/>
    <x v="17"/>
    <n v="9271"/>
    <n v="1008"/>
    <x v="8"/>
  </r>
  <r>
    <x v="2"/>
    <x v="4"/>
    <x v="29"/>
    <n v="109340"/>
    <n v="6275"/>
    <x v="10"/>
  </r>
  <r>
    <x v="2"/>
    <x v="4"/>
    <x v="18"/>
    <n v="20083"/>
    <n v="888"/>
    <x v="10"/>
  </r>
  <r>
    <x v="2"/>
    <x v="4"/>
    <x v="43"/>
    <n v="108162"/>
    <n v="6604"/>
    <x v="10"/>
  </r>
  <r>
    <x v="2"/>
    <x v="4"/>
    <x v="13"/>
    <n v="7566"/>
    <n v="859"/>
    <x v="2"/>
  </r>
  <r>
    <x v="2"/>
    <x v="10"/>
    <x v="0"/>
    <n v="5"/>
    <n v="5"/>
    <x v="4"/>
  </r>
  <r>
    <x v="2"/>
    <x v="10"/>
    <x v="37"/>
    <n v="3514"/>
    <n v="121"/>
    <x v="28"/>
  </r>
  <r>
    <x v="2"/>
    <x v="10"/>
    <x v="1"/>
    <n v="3455"/>
    <n v="491"/>
    <x v="2"/>
  </r>
  <r>
    <x v="2"/>
    <x v="10"/>
    <x v="3"/>
    <n v="1"/>
    <n v="1"/>
    <x v="18"/>
  </r>
  <r>
    <x v="2"/>
    <x v="10"/>
    <x v="38"/>
    <n v="67865"/>
    <n v="2737"/>
    <x v="4"/>
  </r>
  <r>
    <x v="2"/>
    <x v="10"/>
    <x v="20"/>
    <n v="37"/>
    <n v="37"/>
    <x v="14"/>
  </r>
  <r>
    <x v="2"/>
    <x v="10"/>
    <x v="30"/>
    <n v="958"/>
    <n v="23"/>
    <x v="4"/>
  </r>
  <r>
    <x v="2"/>
    <x v="10"/>
    <x v="26"/>
    <n v="6274"/>
    <n v="947"/>
    <x v="25"/>
  </r>
  <r>
    <x v="2"/>
    <x v="10"/>
    <x v="9"/>
    <n v="3150"/>
    <n v="210"/>
    <x v="19"/>
  </r>
  <r>
    <x v="2"/>
    <x v="10"/>
    <x v="11"/>
    <n v="45"/>
    <n v="5"/>
    <x v="12"/>
  </r>
  <r>
    <x v="2"/>
    <x v="10"/>
    <x v="43"/>
    <n v="4665"/>
    <n v="284"/>
    <x v="20"/>
  </r>
  <r>
    <x v="2"/>
    <x v="10"/>
    <x v="24"/>
    <n v="556"/>
    <n v="52"/>
    <x v="8"/>
  </r>
  <r>
    <x v="2"/>
    <x v="10"/>
    <x v="13"/>
    <n v="5233"/>
    <n v="420"/>
    <x v="19"/>
  </r>
  <r>
    <x v="2"/>
    <x v="11"/>
    <x v="0"/>
    <n v="0"/>
    <n v="0"/>
    <x v="2"/>
  </r>
  <r>
    <x v="2"/>
    <x v="11"/>
    <x v="5"/>
    <n v="21761"/>
    <n v="1720"/>
    <x v="4"/>
  </r>
  <r>
    <x v="2"/>
    <x v="11"/>
    <x v="25"/>
    <n v="49027"/>
    <n v="3673"/>
    <x v="4"/>
  </r>
  <r>
    <x v="2"/>
    <x v="11"/>
    <x v="6"/>
    <n v="2611"/>
    <n v="67"/>
    <x v="4"/>
  </r>
  <r>
    <x v="2"/>
    <x v="11"/>
    <x v="52"/>
    <n v="20427"/>
    <n v="1688"/>
    <x v="4"/>
  </r>
  <r>
    <x v="2"/>
    <x v="11"/>
    <x v="33"/>
    <n v="200"/>
    <n v="34"/>
    <x v="4"/>
  </r>
  <r>
    <x v="2"/>
    <x v="11"/>
    <x v="9"/>
    <n v="268"/>
    <n v="17"/>
    <x v="5"/>
  </r>
  <r>
    <x v="2"/>
    <x v="11"/>
    <x v="16"/>
    <n v="4412"/>
    <n v="199"/>
    <x v="24"/>
  </r>
  <r>
    <x v="2"/>
    <x v="11"/>
    <x v="11"/>
    <n v="14"/>
    <n v="1"/>
    <x v="29"/>
  </r>
  <r>
    <x v="2"/>
    <x v="11"/>
    <x v="11"/>
    <n v="1426"/>
    <n v="122"/>
    <x v="7"/>
  </r>
  <r>
    <x v="2"/>
    <x v="11"/>
    <x v="2"/>
    <n v="311"/>
    <n v="14"/>
    <x v="16"/>
  </r>
  <r>
    <x v="2"/>
    <x v="11"/>
    <x v="12"/>
    <n v="10"/>
    <n v="10"/>
    <x v="10"/>
  </r>
  <r>
    <x v="2"/>
    <x v="11"/>
    <x v="51"/>
    <n v="1"/>
    <n v="1"/>
    <x v="10"/>
  </r>
  <r>
    <x v="2"/>
    <x v="12"/>
    <x v="0"/>
    <n v="0"/>
    <n v="0"/>
    <x v="19"/>
  </r>
  <r>
    <x v="2"/>
    <x v="12"/>
    <x v="0"/>
    <n v="0"/>
    <n v="0"/>
    <x v="12"/>
  </r>
  <r>
    <x v="2"/>
    <x v="12"/>
    <x v="0"/>
    <n v="0"/>
    <n v="0"/>
    <x v="9"/>
  </r>
  <r>
    <x v="2"/>
    <x v="12"/>
    <x v="0"/>
    <n v="0"/>
    <n v="0"/>
    <x v="10"/>
  </r>
  <r>
    <x v="2"/>
    <x v="12"/>
    <x v="0"/>
    <n v="0"/>
    <n v="0"/>
    <x v="0"/>
  </r>
  <r>
    <x v="2"/>
    <x v="12"/>
    <x v="1"/>
    <n v="3677"/>
    <n v="695"/>
    <x v="3"/>
  </r>
  <r>
    <x v="2"/>
    <x v="12"/>
    <x v="3"/>
    <n v="3458"/>
    <n v="497"/>
    <x v="9"/>
  </r>
  <r>
    <x v="2"/>
    <x v="12"/>
    <x v="48"/>
    <n v="15396"/>
    <n v="287"/>
    <x v="4"/>
  </r>
  <r>
    <x v="2"/>
    <x v="12"/>
    <x v="14"/>
    <n v="1836"/>
    <n v="69"/>
    <x v="4"/>
  </r>
  <r>
    <x v="2"/>
    <x v="12"/>
    <x v="20"/>
    <n v="27330"/>
    <n v="704"/>
    <x v="4"/>
  </r>
  <r>
    <x v="2"/>
    <x v="12"/>
    <x v="15"/>
    <n v="0"/>
    <n v="0"/>
    <x v="14"/>
  </r>
  <r>
    <x v="2"/>
    <x v="12"/>
    <x v="2"/>
    <n v="1462"/>
    <n v="352"/>
    <x v="1"/>
  </r>
  <r>
    <x v="2"/>
    <x v="12"/>
    <x v="2"/>
    <n v="4688"/>
    <n v="929"/>
    <x v="0"/>
  </r>
  <r>
    <x v="2"/>
    <x v="12"/>
    <x v="17"/>
    <n v="1116"/>
    <n v="233"/>
    <x v="8"/>
  </r>
  <r>
    <x v="2"/>
    <x v="12"/>
    <x v="43"/>
    <n v="62321"/>
    <n v="2888"/>
    <x v="10"/>
  </r>
  <r>
    <x v="2"/>
    <x v="12"/>
    <x v="44"/>
    <n v="55039"/>
    <n v="2652"/>
    <x v="10"/>
  </r>
  <r>
    <x v="2"/>
    <x v="12"/>
    <x v="54"/>
    <n v="47813"/>
    <n v="2104"/>
    <x v="10"/>
  </r>
  <r>
    <x v="2"/>
    <x v="12"/>
    <x v="13"/>
    <n v="2541"/>
    <n v="164"/>
    <x v="2"/>
  </r>
  <r>
    <x v="2"/>
    <x v="13"/>
    <x v="0"/>
    <n v="0"/>
    <n v="0"/>
    <x v="4"/>
  </r>
  <r>
    <x v="2"/>
    <x v="13"/>
    <x v="38"/>
    <n v="3"/>
    <n v="0"/>
    <x v="4"/>
  </r>
  <r>
    <x v="2"/>
    <x v="6"/>
    <x v="0"/>
    <n v="0"/>
    <n v="0"/>
    <x v="0"/>
  </r>
  <r>
    <x v="2"/>
    <x v="6"/>
    <x v="37"/>
    <n v="4749"/>
    <n v="179"/>
    <x v="28"/>
  </r>
  <r>
    <x v="2"/>
    <x v="6"/>
    <x v="1"/>
    <n v="7818"/>
    <n v="1327"/>
    <x v="3"/>
  </r>
  <r>
    <x v="2"/>
    <x v="6"/>
    <x v="3"/>
    <n v="13935"/>
    <n v="2236"/>
    <x v="9"/>
  </r>
  <r>
    <x v="2"/>
    <x v="6"/>
    <x v="48"/>
    <n v="26836"/>
    <n v="936"/>
    <x v="4"/>
  </r>
  <r>
    <x v="2"/>
    <x v="6"/>
    <x v="27"/>
    <n v="3912"/>
    <n v="390"/>
    <x v="19"/>
  </r>
  <r>
    <x v="2"/>
    <x v="6"/>
    <x v="23"/>
    <n v="33"/>
    <n v="8"/>
    <x v="24"/>
  </r>
  <r>
    <x v="2"/>
    <x v="6"/>
    <x v="23"/>
    <n v="22"/>
    <n v="1"/>
    <x v="30"/>
  </r>
  <r>
    <x v="2"/>
    <x v="6"/>
    <x v="11"/>
    <n v="1202"/>
    <n v="146"/>
    <x v="13"/>
  </r>
  <r>
    <x v="2"/>
    <x v="6"/>
    <x v="31"/>
    <n v="45800"/>
    <n v="2347"/>
    <x v="10"/>
  </r>
  <r>
    <x v="2"/>
    <x v="6"/>
    <x v="54"/>
    <n v="67425"/>
    <n v="2987"/>
    <x v="10"/>
  </r>
  <r>
    <x v="2"/>
    <x v="6"/>
    <x v="13"/>
    <n v="3002"/>
    <n v="248"/>
    <x v="2"/>
  </r>
  <r>
    <x v="2"/>
    <x v="7"/>
    <x v="0"/>
    <n v="0"/>
    <n v="0"/>
    <x v="11"/>
  </r>
  <r>
    <x v="2"/>
    <x v="7"/>
    <x v="0"/>
    <n v="0"/>
    <n v="0"/>
    <x v="1"/>
  </r>
  <r>
    <x v="2"/>
    <x v="7"/>
    <x v="1"/>
    <n v="153"/>
    <n v="24"/>
    <x v="1"/>
  </r>
  <r>
    <x v="2"/>
    <x v="7"/>
    <x v="19"/>
    <n v="4661"/>
    <n v="178"/>
    <x v="22"/>
  </r>
  <r>
    <x v="2"/>
    <x v="7"/>
    <x v="55"/>
    <n v="11747"/>
    <n v="759"/>
    <x v="4"/>
  </r>
  <r>
    <x v="2"/>
    <x v="7"/>
    <x v="38"/>
    <n v="22562"/>
    <n v="2090"/>
    <x v="4"/>
  </r>
  <r>
    <x v="2"/>
    <x v="7"/>
    <x v="14"/>
    <n v="11214"/>
    <n v="715"/>
    <x v="4"/>
  </r>
  <r>
    <x v="2"/>
    <x v="7"/>
    <x v="39"/>
    <n v="61462"/>
    <n v="7102"/>
    <x v="4"/>
  </r>
  <r>
    <x v="2"/>
    <x v="7"/>
    <x v="26"/>
    <n v="4245"/>
    <n v="548"/>
    <x v="25"/>
  </r>
  <r>
    <x v="2"/>
    <x v="7"/>
    <x v="16"/>
    <n v="8375"/>
    <n v="986"/>
    <x v="8"/>
  </r>
  <r>
    <x v="2"/>
    <x v="7"/>
    <x v="11"/>
    <n v="195"/>
    <n v="45"/>
    <x v="23"/>
  </r>
  <r>
    <x v="2"/>
    <x v="7"/>
    <x v="11"/>
    <n v="1911"/>
    <n v="569"/>
    <x v="1"/>
  </r>
  <r>
    <x v="2"/>
    <x v="7"/>
    <x v="17"/>
    <n v="14605"/>
    <n v="1818"/>
    <x v="16"/>
  </r>
  <r>
    <x v="2"/>
    <x v="7"/>
    <x v="35"/>
    <n v="81466"/>
    <n v="2970"/>
    <x v="10"/>
  </r>
  <r>
    <x v="2"/>
    <x v="7"/>
    <x v="35"/>
    <n v="0"/>
    <n v="0"/>
    <x v="18"/>
  </r>
  <r>
    <x v="2"/>
    <x v="7"/>
    <x v="13"/>
    <n v="14987"/>
    <n v="1445"/>
    <x v="17"/>
  </r>
  <r>
    <x v="2"/>
    <x v="7"/>
    <x v="13"/>
    <n v="2427"/>
    <n v="316"/>
    <x v="13"/>
  </r>
  <r>
    <x v="2"/>
    <x v="0"/>
    <x v="0"/>
    <n v="0"/>
    <n v="0"/>
    <x v="19"/>
  </r>
  <r>
    <x v="2"/>
    <x v="0"/>
    <x v="0"/>
    <n v="0"/>
    <n v="0"/>
    <x v="27"/>
  </r>
  <r>
    <x v="2"/>
    <x v="0"/>
    <x v="3"/>
    <n v="574"/>
    <n v="82"/>
    <x v="0"/>
  </r>
  <r>
    <x v="2"/>
    <x v="0"/>
    <x v="20"/>
    <n v="36763"/>
    <n v="1676"/>
    <x v="4"/>
  </r>
  <r>
    <x v="2"/>
    <x v="0"/>
    <x v="25"/>
    <n v="57371"/>
    <n v="5052"/>
    <x v="4"/>
  </r>
  <r>
    <x v="2"/>
    <x v="0"/>
    <x v="6"/>
    <n v="52"/>
    <n v="8"/>
    <x v="22"/>
  </r>
  <r>
    <x v="2"/>
    <x v="0"/>
    <x v="56"/>
    <n v="192"/>
    <n v="32"/>
    <x v="4"/>
  </r>
  <r>
    <x v="2"/>
    <x v="0"/>
    <x v="52"/>
    <n v="17652"/>
    <n v="1580"/>
    <x v="4"/>
  </r>
  <r>
    <x v="2"/>
    <x v="0"/>
    <x v="42"/>
    <n v="18802"/>
    <n v="1924"/>
    <x v="22"/>
  </r>
  <r>
    <x v="2"/>
    <x v="0"/>
    <x v="57"/>
    <n v="55256"/>
    <n v="7301"/>
    <x v="4"/>
  </r>
  <r>
    <x v="2"/>
    <x v="0"/>
    <x v="62"/>
    <n v="3478"/>
    <n v="328"/>
    <x v="4"/>
  </r>
  <r>
    <x v="2"/>
    <x v="0"/>
    <x v="28"/>
    <n v="3330"/>
    <n v="275"/>
    <x v="24"/>
  </r>
  <r>
    <x v="2"/>
    <x v="0"/>
    <x v="28"/>
    <n v="30880"/>
    <n v="2979"/>
    <x v="7"/>
  </r>
  <r>
    <x v="2"/>
    <x v="0"/>
    <x v="27"/>
    <n v="3776"/>
    <n v="521"/>
    <x v="29"/>
  </r>
  <r>
    <x v="2"/>
    <x v="0"/>
    <x v="40"/>
    <n v="4092"/>
    <n v="161"/>
    <x v="21"/>
  </r>
  <r>
    <x v="2"/>
    <x v="0"/>
    <x v="2"/>
    <n v="368"/>
    <n v="74"/>
    <x v="12"/>
  </r>
  <r>
    <x v="2"/>
    <x v="0"/>
    <x v="2"/>
    <n v="13244"/>
    <n v="1118"/>
    <x v="17"/>
  </r>
  <r>
    <x v="2"/>
    <x v="0"/>
    <x v="2"/>
    <n v="343"/>
    <n v="101"/>
    <x v="3"/>
  </r>
  <r>
    <x v="2"/>
    <x v="0"/>
    <x v="53"/>
    <n v="57996"/>
    <n v="4690"/>
    <x v="10"/>
  </r>
  <r>
    <x v="2"/>
    <x v="0"/>
    <x v="29"/>
    <n v="104543"/>
    <n v="9445"/>
    <x v="10"/>
  </r>
  <r>
    <x v="2"/>
    <x v="0"/>
    <x v="36"/>
    <n v="1170"/>
    <n v="243"/>
    <x v="8"/>
  </r>
  <r>
    <x v="2"/>
    <x v="0"/>
    <x v="36"/>
    <n v="690"/>
    <n v="150"/>
    <x v="16"/>
  </r>
  <r>
    <x v="2"/>
    <x v="1"/>
    <x v="0"/>
    <n v="12"/>
    <n v="12"/>
    <x v="4"/>
  </r>
  <r>
    <x v="2"/>
    <x v="1"/>
    <x v="37"/>
    <n v="8091"/>
    <n v="317"/>
    <x v="28"/>
  </r>
  <r>
    <x v="2"/>
    <x v="1"/>
    <x v="3"/>
    <n v="17511"/>
    <n v="2405"/>
    <x v="9"/>
  </r>
  <r>
    <x v="2"/>
    <x v="1"/>
    <x v="48"/>
    <n v="37052"/>
    <n v="1395"/>
    <x v="4"/>
  </r>
  <r>
    <x v="2"/>
    <x v="1"/>
    <x v="50"/>
    <n v="32550"/>
    <n v="932"/>
    <x v="27"/>
  </r>
  <r>
    <x v="2"/>
    <x v="1"/>
    <x v="58"/>
    <n v="38785"/>
    <n v="5242"/>
    <x v="4"/>
  </r>
  <r>
    <x v="2"/>
    <x v="1"/>
    <x v="27"/>
    <n v="8157"/>
    <n v="647"/>
    <x v="19"/>
  </r>
  <r>
    <x v="2"/>
    <x v="1"/>
    <x v="11"/>
    <n v="810"/>
    <n v="116"/>
    <x v="13"/>
  </r>
  <r>
    <x v="2"/>
    <x v="1"/>
    <x v="2"/>
    <n v="217"/>
    <n v="53"/>
    <x v="0"/>
  </r>
  <r>
    <x v="2"/>
    <x v="1"/>
    <x v="31"/>
    <n v="57944"/>
    <n v="2624"/>
    <x v="10"/>
  </r>
  <r>
    <x v="2"/>
    <x v="1"/>
    <x v="54"/>
    <n v="79690"/>
    <n v="4137"/>
    <x v="10"/>
  </r>
  <r>
    <x v="2"/>
    <x v="5"/>
    <x v="0"/>
    <n v="0"/>
    <n v="0"/>
    <x v="1"/>
  </r>
  <r>
    <x v="2"/>
    <x v="5"/>
    <x v="19"/>
    <n v="6217"/>
    <n v="191"/>
    <x v="22"/>
  </r>
  <r>
    <x v="2"/>
    <x v="5"/>
    <x v="55"/>
    <n v="12345"/>
    <n v="778"/>
    <x v="4"/>
  </r>
  <r>
    <x v="2"/>
    <x v="5"/>
    <x v="39"/>
    <n v="73843"/>
    <n v="6500"/>
    <x v="4"/>
  </r>
  <r>
    <x v="2"/>
    <x v="5"/>
    <x v="26"/>
    <n v="11547"/>
    <n v="1487"/>
    <x v="25"/>
  </r>
  <r>
    <x v="2"/>
    <x v="5"/>
    <x v="16"/>
    <n v="8507"/>
    <n v="817"/>
    <x v="8"/>
  </r>
  <r>
    <x v="2"/>
    <x v="5"/>
    <x v="16"/>
    <n v="2145"/>
    <n v="153"/>
    <x v="16"/>
  </r>
  <r>
    <x v="2"/>
    <x v="5"/>
    <x v="16"/>
    <n v="15363"/>
    <n v="1360"/>
    <x v="24"/>
  </r>
  <r>
    <x v="2"/>
    <x v="5"/>
    <x v="22"/>
    <n v="6334"/>
    <n v="1064"/>
    <x v="19"/>
  </r>
  <r>
    <x v="2"/>
    <x v="5"/>
    <x v="2"/>
    <n v="3"/>
    <n v="0"/>
    <x v="5"/>
  </r>
  <r>
    <x v="2"/>
    <x v="5"/>
    <x v="2"/>
    <n v="94"/>
    <n v="19"/>
    <x v="11"/>
  </r>
  <r>
    <x v="2"/>
    <x v="5"/>
    <x v="35"/>
    <n v="67732"/>
    <n v="1993"/>
    <x v="10"/>
  </r>
  <r>
    <x v="2"/>
    <x v="5"/>
    <x v="13"/>
    <n v="11699"/>
    <n v="1149"/>
    <x v="17"/>
  </r>
  <r>
    <x v="2"/>
    <x v="5"/>
    <x v="13"/>
    <n v="1121"/>
    <n v="144"/>
    <x v="13"/>
  </r>
  <r>
    <x v="2"/>
    <x v="8"/>
    <x v="0"/>
    <n v="0"/>
    <n v="0"/>
    <x v="19"/>
  </r>
  <r>
    <x v="2"/>
    <x v="8"/>
    <x v="0"/>
    <n v="0"/>
    <n v="0"/>
    <x v="9"/>
  </r>
  <r>
    <x v="2"/>
    <x v="8"/>
    <x v="0"/>
    <n v="0"/>
    <n v="0"/>
    <x v="27"/>
  </r>
  <r>
    <x v="2"/>
    <x v="8"/>
    <x v="3"/>
    <n v="626"/>
    <n v="89"/>
    <x v="0"/>
  </r>
  <r>
    <x v="2"/>
    <x v="8"/>
    <x v="41"/>
    <n v="31792"/>
    <n v="2633"/>
    <x v="4"/>
  </r>
  <r>
    <x v="2"/>
    <x v="8"/>
    <x v="20"/>
    <n v="47658"/>
    <n v="2571"/>
    <x v="4"/>
  </r>
  <r>
    <x v="2"/>
    <x v="8"/>
    <x v="25"/>
    <n v="66340"/>
    <n v="7327"/>
    <x v="4"/>
  </r>
  <r>
    <x v="2"/>
    <x v="8"/>
    <x v="6"/>
    <n v="85"/>
    <n v="11"/>
    <x v="22"/>
  </r>
  <r>
    <x v="2"/>
    <x v="8"/>
    <x v="59"/>
    <n v="3498"/>
    <n v="281"/>
    <x v="4"/>
  </r>
  <r>
    <x v="2"/>
    <x v="8"/>
    <x v="56"/>
    <n v="146"/>
    <n v="21"/>
    <x v="4"/>
  </r>
  <r>
    <x v="2"/>
    <x v="8"/>
    <x v="52"/>
    <n v="41265"/>
    <n v="4060"/>
    <x v="4"/>
  </r>
  <r>
    <x v="2"/>
    <x v="8"/>
    <x v="42"/>
    <n v="36759"/>
    <n v="1632"/>
    <x v="22"/>
  </r>
  <r>
    <x v="2"/>
    <x v="8"/>
    <x v="57"/>
    <n v="48963"/>
    <n v="7194"/>
    <x v="4"/>
  </r>
  <r>
    <x v="2"/>
    <x v="8"/>
    <x v="62"/>
    <n v="421"/>
    <n v="83"/>
    <x v="4"/>
  </r>
  <r>
    <x v="2"/>
    <x v="8"/>
    <x v="28"/>
    <n v="7270"/>
    <n v="930"/>
    <x v="24"/>
  </r>
  <r>
    <x v="2"/>
    <x v="8"/>
    <x v="28"/>
    <n v="23509"/>
    <n v="2588"/>
    <x v="7"/>
  </r>
  <r>
    <x v="2"/>
    <x v="8"/>
    <x v="27"/>
    <n v="3904"/>
    <n v="576"/>
    <x v="29"/>
  </r>
  <r>
    <x v="2"/>
    <x v="8"/>
    <x v="63"/>
    <n v="222"/>
    <n v="7"/>
    <x v="22"/>
  </r>
  <r>
    <x v="2"/>
    <x v="8"/>
    <x v="2"/>
    <n v="15059"/>
    <n v="1160"/>
    <x v="17"/>
  </r>
  <r>
    <x v="2"/>
    <x v="8"/>
    <x v="53"/>
    <n v="70864"/>
    <n v="5389"/>
    <x v="10"/>
  </r>
  <r>
    <x v="2"/>
    <x v="8"/>
    <x v="29"/>
    <n v="105860"/>
    <n v="7897"/>
    <x v="10"/>
  </r>
  <r>
    <x v="2"/>
    <x v="8"/>
    <x v="36"/>
    <n v="1097"/>
    <n v="238"/>
    <x v="8"/>
  </r>
  <r>
    <x v="2"/>
    <x v="8"/>
    <x v="36"/>
    <n v="680"/>
    <n v="138"/>
    <x v="16"/>
  </r>
  <r>
    <x v="2"/>
    <x v="9"/>
    <x v="0"/>
    <n v="12"/>
    <n v="12"/>
    <x v="4"/>
  </r>
  <r>
    <x v="2"/>
    <x v="9"/>
    <x v="37"/>
    <n v="8988"/>
    <n v="293"/>
    <x v="28"/>
  </r>
  <r>
    <x v="2"/>
    <x v="9"/>
    <x v="1"/>
    <n v="12932"/>
    <n v="1976"/>
    <x v="13"/>
  </r>
  <r>
    <x v="2"/>
    <x v="9"/>
    <x v="3"/>
    <n v="18266"/>
    <n v="2376"/>
    <x v="9"/>
  </r>
  <r>
    <x v="2"/>
    <x v="9"/>
    <x v="48"/>
    <n v="32129"/>
    <n v="1116"/>
    <x v="4"/>
  </r>
  <r>
    <x v="2"/>
    <x v="9"/>
    <x v="4"/>
    <n v="15949"/>
    <n v="575"/>
    <x v="4"/>
  </r>
  <r>
    <x v="2"/>
    <x v="9"/>
    <x v="5"/>
    <n v="37343"/>
    <n v="3745"/>
    <x v="4"/>
  </r>
  <r>
    <x v="2"/>
    <x v="9"/>
    <x v="58"/>
    <n v="32070"/>
    <n v="4653"/>
    <x v="4"/>
  </r>
  <r>
    <x v="2"/>
    <x v="9"/>
    <x v="9"/>
    <n v="22175"/>
    <n v="2727"/>
    <x v="2"/>
  </r>
  <r>
    <x v="2"/>
    <x v="9"/>
    <x v="27"/>
    <n v="6233"/>
    <n v="498"/>
    <x v="19"/>
  </r>
  <r>
    <x v="2"/>
    <x v="9"/>
    <x v="11"/>
    <n v="90"/>
    <n v="15"/>
    <x v="12"/>
  </r>
  <r>
    <x v="2"/>
    <x v="9"/>
    <x v="11"/>
    <n v="7374"/>
    <n v="1202"/>
    <x v="7"/>
  </r>
  <r>
    <x v="2"/>
    <x v="9"/>
    <x v="11"/>
    <n v="996"/>
    <n v="113"/>
    <x v="13"/>
  </r>
  <r>
    <x v="2"/>
    <x v="9"/>
    <x v="2"/>
    <n v="356"/>
    <n v="54"/>
    <x v="8"/>
  </r>
  <r>
    <x v="2"/>
    <x v="9"/>
    <x v="2"/>
    <n v="10064"/>
    <n v="2359"/>
    <x v="0"/>
  </r>
  <r>
    <x v="2"/>
    <x v="9"/>
    <x v="54"/>
    <n v="86543"/>
    <n v="4557"/>
    <x v="10"/>
  </r>
  <r>
    <x v="2"/>
    <x v="9"/>
    <x v="13"/>
    <n v="880"/>
    <n v="184"/>
    <x v="11"/>
  </r>
  <r>
    <x v="2"/>
    <x v="3"/>
    <x v="0"/>
    <n v="0"/>
    <n v="0"/>
    <x v="1"/>
  </r>
  <r>
    <x v="2"/>
    <x v="3"/>
    <x v="19"/>
    <n v="5154"/>
    <n v="189"/>
    <x v="22"/>
  </r>
  <r>
    <x v="2"/>
    <x v="3"/>
    <x v="55"/>
    <n v="0"/>
    <n v="0"/>
    <x v="4"/>
  </r>
  <r>
    <x v="2"/>
    <x v="3"/>
    <x v="15"/>
    <n v="0"/>
    <n v="0"/>
    <x v="14"/>
  </r>
  <r>
    <x v="2"/>
    <x v="3"/>
    <x v="39"/>
    <n v="75155"/>
    <n v="5862"/>
    <x v="4"/>
  </r>
  <r>
    <x v="2"/>
    <x v="3"/>
    <x v="26"/>
    <n v="14914"/>
    <n v="1781"/>
    <x v="25"/>
  </r>
  <r>
    <x v="2"/>
    <x v="3"/>
    <x v="16"/>
    <n v="5303"/>
    <n v="401"/>
    <x v="8"/>
  </r>
  <r>
    <x v="2"/>
    <x v="3"/>
    <x v="16"/>
    <n v="2396"/>
    <n v="113"/>
    <x v="16"/>
  </r>
  <r>
    <x v="2"/>
    <x v="3"/>
    <x v="16"/>
    <n v="9454"/>
    <n v="836"/>
    <x v="24"/>
  </r>
  <r>
    <x v="2"/>
    <x v="3"/>
    <x v="22"/>
    <n v="13750"/>
    <n v="1832"/>
    <x v="19"/>
  </r>
  <r>
    <x v="2"/>
    <x v="3"/>
    <x v="11"/>
    <n v="175"/>
    <n v="34"/>
    <x v="29"/>
  </r>
  <r>
    <x v="2"/>
    <x v="3"/>
    <x v="2"/>
    <n v="3"/>
    <n v="0"/>
    <x v="5"/>
  </r>
  <r>
    <x v="2"/>
    <x v="3"/>
    <x v="2"/>
    <n v="123"/>
    <n v="38"/>
    <x v="11"/>
  </r>
  <r>
    <x v="2"/>
    <x v="3"/>
    <x v="51"/>
    <n v="5"/>
    <n v="5"/>
    <x v="10"/>
  </r>
  <r>
    <x v="2"/>
    <x v="3"/>
    <x v="13"/>
    <n v="6968"/>
    <n v="652"/>
    <x v="17"/>
  </r>
  <r>
    <x v="2"/>
    <x v="2"/>
    <x v="0"/>
    <n v="0"/>
    <n v="0"/>
    <x v="19"/>
  </r>
  <r>
    <x v="2"/>
    <x v="2"/>
    <x v="0"/>
    <n v="0"/>
    <n v="0"/>
    <x v="9"/>
  </r>
  <r>
    <x v="2"/>
    <x v="2"/>
    <x v="0"/>
    <n v="0"/>
    <n v="0"/>
    <x v="27"/>
  </r>
  <r>
    <x v="2"/>
    <x v="2"/>
    <x v="3"/>
    <n v="655"/>
    <n v="88"/>
    <x v="0"/>
  </r>
  <r>
    <x v="2"/>
    <x v="2"/>
    <x v="41"/>
    <n v="33990"/>
    <n v="2599"/>
    <x v="4"/>
  </r>
  <r>
    <x v="2"/>
    <x v="2"/>
    <x v="20"/>
    <n v="40912"/>
    <n v="1946"/>
    <x v="4"/>
  </r>
  <r>
    <x v="2"/>
    <x v="2"/>
    <x v="25"/>
    <n v="65961"/>
    <n v="6588"/>
    <x v="4"/>
  </r>
  <r>
    <x v="2"/>
    <x v="2"/>
    <x v="59"/>
    <n v="3077"/>
    <n v="149"/>
    <x v="4"/>
  </r>
  <r>
    <x v="2"/>
    <x v="2"/>
    <x v="56"/>
    <n v="162"/>
    <n v="22"/>
    <x v="4"/>
  </r>
  <r>
    <x v="2"/>
    <x v="2"/>
    <x v="52"/>
    <n v="42691"/>
    <n v="4192"/>
    <x v="4"/>
  </r>
  <r>
    <x v="2"/>
    <x v="2"/>
    <x v="42"/>
    <n v="41647"/>
    <n v="1953"/>
    <x v="22"/>
  </r>
  <r>
    <x v="2"/>
    <x v="2"/>
    <x v="57"/>
    <n v="53718"/>
    <n v="6898"/>
    <x v="4"/>
  </r>
  <r>
    <x v="2"/>
    <x v="2"/>
    <x v="62"/>
    <n v="277"/>
    <n v="29"/>
    <x v="4"/>
  </r>
  <r>
    <x v="2"/>
    <x v="2"/>
    <x v="28"/>
    <n v="14874"/>
    <n v="2087"/>
    <x v="7"/>
  </r>
  <r>
    <x v="2"/>
    <x v="2"/>
    <x v="9"/>
    <n v="3476"/>
    <n v="237"/>
    <x v="19"/>
  </r>
  <r>
    <x v="2"/>
    <x v="2"/>
    <x v="27"/>
    <n v="4270"/>
    <n v="700"/>
    <x v="29"/>
  </r>
  <r>
    <x v="2"/>
    <x v="2"/>
    <x v="63"/>
    <n v="385"/>
    <n v="20"/>
    <x v="22"/>
  </r>
  <r>
    <x v="2"/>
    <x v="2"/>
    <x v="53"/>
    <n v="80675"/>
    <n v="5310"/>
    <x v="10"/>
  </r>
  <r>
    <x v="2"/>
    <x v="2"/>
    <x v="43"/>
    <n v="110508"/>
    <n v="6666"/>
    <x v="10"/>
  </r>
  <r>
    <x v="2"/>
    <x v="2"/>
    <x v="44"/>
    <n v="86385"/>
    <n v="4693"/>
    <x v="10"/>
  </r>
  <r>
    <x v="2"/>
    <x v="2"/>
    <x v="36"/>
    <n v="1046"/>
    <n v="242"/>
    <x v="8"/>
  </r>
  <r>
    <x v="2"/>
    <x v="2"/>
    <x v="36"/>
    <n v="0"/>
    <n v="0"/>
    <x v="16"/>
  </r>
  <r>
    <x v="2"/>
    <x v="4"/>
    <x v="0"/>
    <n v="10"/>
    <n v="10"/>
    <x v="4"/>
  </r>
  <r>
    <x v="2"/>
    <x v="4"/>
    <x v="0"/>
    <n v="0"/>
    <n v="0"/>
    <x v="2"/>
  </r>
  <r>
    <x v="2"/>
    <x v="4"/>
    <x v="37"/>
    <n v="6764"/>
    <n v="220"/>
    <x v="28"/>
  </r>
  <r>
    <x v="2"/>
    <x v="4"/>
    <x v="1"/>
    <n v="9973"/>
    <n v="1651"/>
    <x v="13"/>
  </r>
  <r>
    <x v="2"/>
    <x v="4"/>
    <x v="4"/>
    <n v="9653"/>
    <n v="293"/>
    <x v="4"/>
  </r>
  <r>
    <x v="2"/>
    <x v="4"/>
    <x v="5"/>
    <n v="36322"/>
    <n v="3265"/>
    <x v="4"/>
  </r>
  <r>
    <x v="2"/>
    <x v="4"/>
    <x v="58"/>
    <n v="34662"/>
    <n v="4687"/>
    <x v="4"/>
  </r>
  <r>
    <x v="2"/>
    <x v="4"/>
    <x v="46"/>
    <n v="33"/>
    <n v="0"/>
    <x v="4"/>
  </r>
  <r>
    <x v="2"/>
    <x v="4"/>
    <x v="28"/>
    <n v="3192"/>
    <n v="364"/>
    <x v="2"/>
  </r>
  <r>
    <x v="2"/>
    <x v="4"/>
    <x v="9"/>
    <n v="3531"/>
    <n v="242"/>
    <x v="12"/>
  </r>
  <r>
    <x v="2"/>
    <x v="4"/>
    <x v="9"/>
    <n v="19815"/>
    <n v="3259"/>
    <x v="2"/>
  </r>
  <r>
    <x v="2"/>
    <x v="4"/>
    <x v="11"/>
    <n v="61"/>
    <n v="3"/>
    <x v="12"/>
  </r>
  <r>
    <x v="2"/>
    <x v="4"/>
    <x v="11"/>
    <n v="2262"/>
    <n v="243"/>
    <x v="7"/>
  </r>
  <r>
    <x v="2"/>
    <x v="4"/>
    <x v="11"/>
    <n v="701"/>
    <n v="69"/>
    <x v="13"/>
  </r>
  <r>
    <x v="2"/>
    <x v="4"/>
    <x v="2"/>
    <n v="283"/>
    <n v="40"/>
    <x v="8"/>
  </r>
  <r>
    <x v="2"/>
    <x v="4"/>
    <x v="2"/>
    <n v="190"/>
    <n v="16"/>
    <x v="16"/>
  </r>
  <r>
    <x v="2"/>
    <x v="4"/>
    <x v="2"/>
    <n v="8527"/>
    <n v="1883"/>
    <x v="0"/>
  </r>
  <r>
    <x v="2"/>
    <x v="4"/>
    <x v="64"/>
    <n v="1947"/>
    <n v="103"/>
    <x v="10"/>
  </r>
  <r>
    <x v="2"/>
    <x v="4"/>
    <x v="54"/>
    <n v="82363"/>
    <n v="4896"/>
    <x v="10"/>
  </r>
  <r>
    <x v="2"/>
    <x v="4"/>
    <x v="13"/>
    <n v="735"/>
    <n v="123"/>
    <x v="11"/>
  </r>
  <r>
    <x v="2"/>
    <x v="10"/>
    <x v="0"/>
    <n v="0"/>
    <n v="0"/>
    <x v="6"/>
  </r>
  <r>
    <x v="2"/>
    <x v="10"/>
    <x v="0"/>
    <n v="0"/>
    <n v="0"/>
    <x v="13"/>
  </r>
  <r>
    <x v="2"/>
    <x v="10"/>
    <x v="3"/>
    <n v="93"/>
    <n v="23"/>
    <x v="1"/>
  </r>
  <r>
    <x v="2"/>
    <x v="10"/>
    <x v="49"/>
    <n v="6720"/>
    <n v="1843"/>
    <x v="4"/>
  </r>
  <r>
    <x v="2"/>
    <x v="10"/>
    <x v="15"/>
    <n v="0"/>
    <n v="0"/>
    <x v="14"/>
  </r>
  <r>
    <x v="2"/>
    <x v="10"/>
    <x v="16"/>
    <n v="4045"/>
    <n v="187"/>
    <x v="16"/>
  </r>
  <r>
    <x v="2"/>
    <x v="10"/>
    <x v="16"/>
    <n v="9287"/>
    <n v="846"/>
    <x v="24"/>
  </r>
  <r>
    <x v="2"/>
    <x v="10"/>
    <x v="22"/>
    <n v="12522"/>
    <n v="1699"/>
    <x v="19"/>
  </r>
  <r>
    <x v="2"/>
    <x v="10"/>
    <x v="11"/>
    <n v="61"/>
    <n v="8"/>
    <x v="29"/>
  </r>
  <r>
    <x v="2"/>
    <x v="10"/>
    <x v="2"/>
    <n v="0"/>
    <n v="0"/>
    <x v="5"/>
  </r>
  <r>
    <x v="2"/>
    <x v="10"/>
    <x v="2"/>
    <n v="48"/>
    <n v="5"/>
    <x v="11"/>
  </r>
  <r>
    <x v="2"/>
    <x v="10"/>
    <x v="2"/>
    <n v="1958"/>
    <n v="569"/>
    <x v="1"/>
  </r>
  <r>
    <x v="2"/>
    <x v="10"/>
    <x v="51"/>
    <n v="5"/>
    <n v="5"/>
    <x v="10"/>
  </r>
  <r>
    <x v="2"/>
    <x v="11"/>
    <x v="0"/>
    <n v="0"/>
    <n v="0"/>
    <x v="9"/>
  </r>
  <r>
    <x v="2"/>
    <x v="11"/>
    <x v="41"/>
    <n v="26305"/>
    <n v="1544"/>
    <x v="4"/>
  </r>
  <r>
    <x v="2"/>
    <x v="11"/>
    <x v="59"/>
    <n v="2117"/>
    <n v="121"/>
    <x v="4"/>
  </r>
  <r>
    <x v="2"/>
    <x v="11"/>
    <x v="56"/>
    <n v="124"/>
    <n v="9"/>
    <x v="4"/>
  </r>
  <r>
    <x v="2"/>
    <x v="11"/>
    <x v="57"/>
    <n v="30290"/>
    <n v="3798"/>
    <x v="4"/>
  </r>
  <r>
    <x v="2"/>
    <x v="11"/>
    <x v="9"/>
    <n v="2050"/>
    <n v="144"/>
    <x v="19"/>
  </r>
  <r>
    <x v="2"/>
    <x v="11"/>
    <x v="27"/>
    <n v="151"/>
    <n v="43"/>
    <x v="29"/>
  </r>
  <r>
    <x v="2"/>
    <x v="11"/>
    <x v="2"/>
    <n v="979"/>
    <n v="154"/>
    <x v="19"/>
  </r>
  <r>
    <x v="2"/>
    <x v="11"/>
    <x v="43"/>
    <n v="99003"/>
    <n v="4917"/>
    <x v="10"/>
  </r>
  <r>
    <x v="2"/>
    <x v="11"/>
    <x v="44"/>
    <n v="94859"/>
    <n v="4625"/>
    <x v="10"/>
  </r>
  <r>
    <x v="2"/>
    <x v="12"/>
    <x v="0"/>
    <n v="0"/>
    <n v="0"/>
    <x v="4"/>
  </r>
  <r>
    <x v="2"/>
    <x v="12"/>
    <x v="0"/>
    <n v="0"/>
    <n v="0"/>
    <x v="2"/>
  </r>
  <r>
    <x v="2"/>
    <x v="12"/>
    <x v="1"/>
    <n v="2698"/>
    <n v="280"/>
    <x v="2"/>
  </r>
  <r>
    <x v="2"/>
    <x v="12"/>
    <x v="1"/>
    <n v="3114"/>
    <n v="473"/>
    <x v="13"/>
  </r>
  <r>
    <x v="2"/>
    <x v="12"/>
    <x v="3"/>
    <n v="4238"/>
    <n v="795"/>
    <x v="3"/>
  </r>
  <r>
    <x v="2"/>
    <x v="12"/>
    <x v="4"/>
    <n v="8257"/>
    <n v="288"/>
    <x v="4"/>
  </r>
  <r>
    <x v="2"/>
    <x v="12"/>
    <x v="5"/>
    <n v="9185"/>
    <n v="681"/>
    <x v="4"/>
  </r>
  <r>
    <x v="2"/>
    <x v="12"/>
    <x v="6"/>
    <n v="52"/>
    <n v="6"/>
    <x v="4"/>
  </r>
  <r>
    <x v="2"/>
    <x v="12"/>
    <x v="58"/>
    <n v="35345"/>
    <n v="1236"/>
    <x v="4"/>
  </r>
  <r>
    <x v="2"/>
    <x v="12"/>
    <x v="9"/>
    <n v="1274"/>
    <n v="66"/>
    <x v="12"/>
  </r>
  <r>
    <x v="2"/>
    <x v="12"/>
    <x v="9"/>
    <n v="9070"/>
    <n v="894"/>
    <x v="2"/>
  </r>
  <r>
    <x v="2"/>
    <x v="12"/>
    <x v="11"/>
    <n v="31"/>
    <n v="3"/>
    <x v="12"/>
  </r>
  <r>
    <x v="2"/>
    <x v="12"/>
    <x v="11"/>
    <n v="514"/>
    <n v="13"/>
    <x v="7"/>
  </r>
  <r>
    <x v="2"/>
    <x v="12"/>
    <x v="2"/>
    <n v="259"/>
    <n v="13"/>
    <x v="8"/>
  </r>
  <r>
    <x v="2"/>
    <x v="12"/>
    <x v="2"/>
    <n v="0"/>
    <n v="0"/>
    <x v="16"/>
  </r>
  <r>
    <x v="2"/>
    <x v="12"/>
    <x v="2"/>
    <n v="32"/>
    <n v="2"/>
    <x v="24"/>
  </r>
  <r>
    <x v="2"/>
    <x v="12"/>
    <x v="47"/>
    <n v="60791"/>
    <n v="2802"/>
    <x v="10"/>
  </r>
  <r>
    <x v="2"/>
    <x v="15"/>
    <x v="13"/>
    <n v="3"/>
    <n v="3"/>
    <x v="1"/>
  </r>
  <r>
    <x v="2"/>
    <x v="6"/>
    <x v="0"/>
    <n v="0"/>
    <n v="0"/>
    <x v="2"/>
  </r>
  <r>
    <x v="2"/>
    <x v="6"/>
    <x v="3"/>
    <n v="9220"/>
    <n v="1695"/>
    <x v="3"/>
  </r>
  <r>
    <x v="2"/>
    <x v="6"/>
    <x v="4"/>
    <n v="12191"/>
    <n v="638"/>
    <x v="4"/>
  </r>
  <r>
    <x v="2"/>
    <x v="6"/>
    <x v="5"/>
    <n v="67968"/>
    <n v="7729"/>
    <x v="4"/>
  </r>
  <r>
    <x v="2"/>
    <x v="6"/>
    <x v="6"/>
    <n v="3111"/>
    <n v="378"/>
    <x v="4"/>
  </r>
  <r>
    <x v="2"/>
    <x v="6"/>
    <x v="7"/>
    <n v="49109"/>
    <n v="5099"/>
    <x v="4"/>
  </r>
  <r>
    <x v="2"/>
    <x v="6"/>
    <x v="58"/>
    <n v="62266"/>
    <n v="8192"/>
    <x v="4"/>
  </r>
  <r>
    <x v="2"/>
    <x v="6"/>
    <x v="9"/>
    <n v="258"/>
    <n v="23"/>
    <x v="5"/>
  </r>
  <r>
    <x v="2"/>
    <x v="6"/>
    <x v="11"/>
    <n v="6916"/>
    <n v="1033"/>
    <x v="7"/>
  </r>
  <r>
    <x v="2"/>
    <x v="6"/>
    <x v="2"/>
    <n v="343"/>
    <n v="67"/>
    <x v="8"/>
  </r>
  <r>
    <x v="2"/>
    <x v="6"/>
    <x v="2"/>
    <n v="812"/>
    <n v="177"/>
    <x v="19"/>
  </r>
  <r>
    <x v="2"/>
    <x v="6"/>
    <x v="2"/>
    <n v="3941"/>
    <n v="817"/>
    <x v="9"/>
  </r>
  <r>
    <x v="2"/>
    <x v="6"/>
    <x v="2"/>
    <n v="175"/>
    <n v="47"/>
    <x v="0"/>
  </r>
  <r>
    <x v="2"/>
    <x v="6"/>
    <x v="12"/>
    <n v="27"/>
    <n v="27"/>
    <x v="10"/>
  </r>
  <r>
    <x v="2"/>
    <x v="6"/>
    <x v="13"/>
    <n v="830"/>
    <n v="97"/>
    <x v="11"/>
  </r>
  <r>
    <x v="2"/>
    <x v="7"/>
    <x v="0"/>
    <n v="0"/>
    <n v="0"/>
    <x v="10"/>
  </r>
  <r>
    <x v="2"/>
    <x v="7"/>
    <x v="0"/>
    <n v="0"/>
    <n v="0"/>
    <x v="13"/>
  </r>
  <r>
    <x v="2"/>
    <x v="7"/>
    <x v="61"/>
    <n v="12684"/>
    <n v="571"/>
    <x v="3"/>
  </r>
  <r>
    <x v="2"/>
    <x v="7"/>
    <x v="14"/>
    <n v="31992"/>
    <n v="811"/>
    <x v="22"/>
  </r>
  <r>
    <x v="2"/>
    <x v="7"/>
    <x v="15"/>
    <n v="61856"/>
    <n v="5155"/>
    <x v="4"/>
  </r>
  <r>
    <x v="2"/>
    <x v="7"/>
    <x v="15"/>
    <n v="0"/>
    <n v="0"/>
    <x v="14"/>
  </r>
  <r>
    <x v="2"/>
    <x v="7"/>
    <x v="16"/>
    <n v="1847"/>
    <n v="226"/>
    <x v="16"/>
  </r>
  <r>
    <x v="2"/>
    <x v="7"/>
    <x v="16"/>
    <n v="12174"/>
    <n v="1317"/>
    <x v="2"/>
  </r>
  <r>
    <x v="2"/>
    <x v="7"/>
    <x v="2"/>
    <n v="5"/>
    <n v="1"/>
    <x v="5"/>
  </r>
  <r>
    <x v="2"/>
    <x v="7"/>
    <x v="2"/>
    <n v="301"/>
    <n v="56"/>
    <x v="24"/>
  </r>
  <r>
    <x v="2"/>
    <x v="7"/>
    <x v="2"/>
    <n v="14"/>
    <n v="6"/>
    <x v="15"/>
  </r>
  <r>
    <x v="2"/>
    <x v="7"/>
    <x v="2"/>
    <n v="114"/>
    <n v="31"/>
    <x v="11"/>
  </r>
  <r>
    <x v="2"/>
    <x v="7"/>
    <x v="2"/>
    <n v="88"/>
    <n v="22"/>
    <x v="1"/>
  </r>
  <r>
    <x v="2"/>
    <x v="7"/>
    <x v="17"/>
    <n v="7185"/>
    <n v="943"/>
    <x v="8"/>
  </r>
  <r>
    <x v="2"/>
    <x v="7"/>
    <x v="47"/>
    <n v="89846"/>
    <n v="9323"/>
    <x v="10"/>
  </r>
  <r>
    <x v="2"/>
    <x v="0"/>
    <x v="0"/>
    <n v="0"/>
    <n v="0"/>
    <x v="17"/>
  </r>
  <r>
    <x v="2"/>
    <x v="0"/>
    <x v="0"/>
    <n v="0"/>
    <n v="0"/>
    <x v="3"/>
  </r>
  <r>
    <x v="2"/>
    <x v="0"/>
    <x v="3"/>
    <n v="160"/>
    <n v="35"/>
    <x v="1"/>
  </r>
  <r>
    <x v="2"/>
    <x v="0"/>
    <x v="19"/>
    <n v="15832"/>
    <n v="774"/>
    <x v="4"/>
  </r>
  <r>
    <x v="2"/>
    <x v="0"/>
    <x v="59"/>
    <n v="2976"/>
    <n v="199"/>
    <x v="4"/>
  </r>
  <r>
    <x v="2"/>
    <x v="0"/>
    <x v="65"/>
    <n v="18174"/>
    <n v="961"/>
    <x v="4"/>
  </r>
  <r>
    <x v="2"/>
    <x v="0"/>
    <x v="26"/>
    <n v="15932"/>
    <n v="1821"/>
    <x v="13"/>
  </r>
  <r>
    <x v="2"/>
    <x v="0"/>
    <x v="9"/>
    <n v="4212"/>
    <n v="298"/>
    <x v="19"/>
  </r>
  <r>
    <x v="2"/>
    <x v="0"/>
    <x v="63"/>
    <n v="122"/>
    <n v="7"/>
    <x v="22"/>
  </r>
  <r>
    <x v="2"/>
    <x v="0"/>
    <x v="22"/>
    <n v="5214"/>
    <n v="937"/>
    <x v="12"/>
  </r>
  <r>
    <x v="2"/>
    <x v="0"/>
    <x v="23"/>
    <n v="1"/>
    <n v="0"/>
    <x v="2"/>
  </r>
  <r>
    <x v="2"/>
    <x v="0"/>
    <x v="11"/>
    <n v="10155"/>
    <n v="2713"/>
    <x v="0"/>
  </r>
  <r>
    <x v="2"/>
    <x v="0"/>
    <x v="24"/>
    <n v="2575"/>
    <n v="364"/>
    <x v="8"/>
  </r>
  <r>
    <x v="2"/>
    <x v="0"/>
    <x v="24"/>
    <n v="7016"/>
    <n v="939"/>
    <x v="16"/>
  </r>
  <r>
    <x v="2"/>
    <x v="1"/>
    <x v="0"/>
    <n v="0"/>
    <n v="0"/>
    <x v="21"/>
  </r>
  <r>
    <x v="2"/>
    <x v="1"/>
    <x v="0"/>
    <n v="0"/>
    <n v="0"/>
    <x v="2"/>
  </r>
  <r>
    <x v="2"/>
    <x v="1"/>
    <x v="3"/>
    <n v="9445"/>
    <n v="1836"/>
    <x v="3"/>
  </r>
  <r>
    <x v="2"/>
    <x v="1"/>
    <x v="4"/>
    <n v="16381"/>
    <n v="685"/>
    <x v="4"/>
  </r>
  <r>
    <x v="2"/>
    <x v="1"/>
    <x v="5"/>
    <n v="28698"/>
    <n v="3073"/>
    <x v="4"/>
  </r>
  <r>
    <x v="2"/>
    <x v="1"/>
    <x v="25"/>
    <n v="949"/>
    <n v="188"/>
    <x v="22"/>
  </r>
  <r>
    <x v="2"/>
    <x v="1"/>
    <x v="6"/>
    <n v="5244"/>
    <n v="459"/>
    <x v="4"/>
  </r>
  <r>
    <x v="2"/>
    <x v="1"/>
    <x v="7"/>
    <n v="40261"/>
    <n v="4936"/>
    <x v="4"/>
  </r>
  <r>
    <x v="2"/>
    <x v="1"/>
    <x v="8"/>
    <n v="634"/>
    <n v="129"/>
    <x v="4"/>
  </r>
  <r>
    <x v="2"/>
    <x v="1"/>
    <x v="28"/>
    <n v="4636"/>
    <n v="551"/>
    <x v="2"/>
  </r>
  <r>
    <x v="2"/>
    <x v="1"/>
    <x v="9"/>
    <n v="428"/>
    <n v="31"/>
    <x v="5"/>
  </r>
  <r>
    <x v="2"/>
    <x v="1"/>
    <x v="10"/>
    <n v="19493"/>
    <n v="550"/>
    <x v="6"/>
  </r>
  <r>
    <x v="2"/>
    <x v="1"/>
    <x v="11"/>
    <n v="9614"/>
    <n v="1478"/>
    <x v="7"/>
  </r>
  <r>
    <x v="2"/>
    <x v="1"/>
    <x v="2"/>
    <n v="529"/>
    <n v="93"/>
    <x v="8"/>
  </r>
  <r>
    <x v="2"/>
    <x v="1"/>
    <x v="2"/>
    <n v="179"/>
    <n v="33"/>
    <x v="16"/>
  </r>
  <r>
    <x v="2"/>
    <x v="1"/>
    <x v="2"/>
    <n v="4591"/>
    <n v="837"/>
    <x v="9"/>
  </r>
  <r>
    <x v="2"/>
    <x v="1"/>
    <x v="12"/>
    <n v="43"/>
    <n v="43"/>
    <x v="10"/>
  </r>
  <r>
    <x v="2"/>
    <x v="1"/>
    <x v="13"/>
    <n v="668"/>
    <n v="98"/>
    <x v="11"/>
  </r>
  <r>
    <x v="2"/>
    <x v="5"/>
    <x v="0"/>
    <n v="0"/>
    <n v="0"/>
    <x v="12"/>
  </r>
  <r>
    <x v="2"/>
    <x v="5"/>
    <x v="0"/>
    <n v="1"/>
    <n v="1"/>
    <x v="10"/>
  </r>
  <r>
    <x v="2"/>
    <x v="5"/>
    <x v="0"/>
    <n v="0"/>
    <n v="0"/>
    <x v="13"/>
  </r>
  <r>
    <x v="2"/>
    <x v="5"/>
    <x v="61"/>
    <n v="12973"/>
    <n v="1059"/>
    <x v="3"/>
  </r>
  <r>
    <x v="2"/>
    <x v="5"/>
    <x v="14"/>
    <n v="8918"/>
    <n v="577"/>
    <x v="4"/>
  </r>
  <r>
    <x v="2"/>
    <x v="5"/>
    <x v="15"/>
    <n v="58147"/>
    <n v="4139"/>
    <x v="4"/>
  </r>
  <r>
    <x v="2"/>
    <x v="5"/>
    <x v="15"/>
    <n v="0"/>
    <n v="0"/>
    <x v="14"/>
  </r>
  <r>
    <x v="2"/>
    <x v="5"/>
    <x v="16"/>
    <n v="10237"/>
    <n v="1262"/>
    <x v="2"/>
  </r>
  <r>
    <x v="2"/>
    <x v="5"/>
    <x v="11"/>
    <n v="64"/>
    <n v="4"/>
    <x v="6"/>
  </r>
  <r>
    <x v="2"/>
    <x v="5"/>
    <x v="11"/>
    <n v="2910"/>
    <n v="884"/>
    <x v="1"/>
  </r>
  <r>
    <x v="2"/>
    <x v="5"/>
    <x v="2"/>
    <n v="0"/>
    <n v="0"/>
    <x v="1"/>
  </r>
  <r>
    <x v="2"/>
    <x v="5"/>
    <x v="17"/>
    <n v="13746"/>
    <n v="1632"/>
    <x v="8"/>
  </r>
  <r>
    <x v="2"/>
    <x v="5"/>
    <x v="17"/>
    <n v="15919"/>
    <n v="1715"/>
    <x v="16"/>
  </r>
  <r>
    <x v="2"/>
    <x v="5"/>
    <x v="18"/>
    <n v="19695"/>
    <n v="1104"/>
    <x v="10"/>
  </r>
  <r>
    <x v="2"/>
    <x v="8"/>
    <x v="0"/>
    <n v="0"/>
    <n v="0"/>
    <x v="17"/>
  </r>
  <r>
    <x v="2"/>
    <x v="8"/>
    <x v="0"/>
    <n v="1"/>
    <n v="0"/>
    <x v="18"/>
  </r>
  <r>
    <x v="2"/>
    <x v="8"/>
    <x v="61"/>
    <n v="13536"/>
    <n v="677"/>
    <x v="2"/>
  </r>
  <r>
    <x v="2"/>
    <x v="8"/>
    <x v="19"/>
    <n v="12429"/>
    <n v="693"/>
    <x v="4"/>
  </r>
  <r>
    <x v="2"/>
    <x v="8"/>
    <x v="20"/>
    <n v="38"/>
    <n v="38"/>
    <x v="14"/>
  </r>
  <r>
    <x v="2"/>
    <x v="8"/>
    <x v="21"/>
    <n v="13143"/>
    <n v="1423"/>
    <x v="4"/>
  </r>
  <r>
    <x v="2"/>
    <x v="8"/>
    <x v="9"/>
    <n v="3759"/>
    <n v="293"/>
    <x v="19"/>
  </r>
  <r>
    <x v="2"/>
    <x v="8"/>
    <x v="63"/>
    <n v="20493"/>
    <n v="1098"/>
    <x v="4"/>
  </r>
  <r>
    <x v="2"/>
    <x v="8"/>
    <x v="22"/>
    <n v="3842"/>
    <n v="687"/>
    <x v="12"/>
  </r>
  <r>
    <x v="2"/>
    <x v="8"/>
    <x v="22"/>
    <n v="1904"/>
    <n v="304"/>
    <x v="13"/>
  </r>
  <r>
    <x v="2"/>
    <x v="8"/>
    <x v="11"/>
    <n v="5445"/>
    <n v="2156"/>
    <x v="25"/>
  </r>
  <r>
    <x v="2"/>
    <x v="8"/>
    <x v="2"/>
    <n v="266"/>
    <n v="70"/>
    <x v="3"/>
  </r>
  <r>
    <x v="2"/>
    <x v="8"/>
    <x v="24"/>
    <n v="5723"/>
    <n v="711"/>
    <x v="16"/>
  </r>
  <r>
    <x v="2"/>
    <x v="9"/>
    <x v="0"/>
    <n v="0"/>
    <n v="0"/>
    <x v="21"/>
  </r>
  <r>
    <x v="2"/>
    <x v="9"/>
    <x v="0"/>
    <n v="0"/>
    <n v="0"/>
    <x v="2"/>
  </r>
  <r>
    <x v="2"/>
    <x v="9"/>
    <x v="3"/>
    <n v="11633"/>
    <n v="1798"/>
    <x v="3"/>
  </r>
  <r>
    <x v="2"/>
    <x v="9"/>
    <x v="25"/>
    <n v="967"/>
    <n v="190"/>
    <x v="22"/>
  </r>
  <r>
    <x v="2"/>
    <x v="9"/>
    <x v="6"/>
    <n v="4936"/>
    <n v="307"/>
    <x v="4"/>
  </r>
  <r>
    <x v="2"/>
    <x v="9"/>
    <x v="8"/>
    <n v="461"/>
    <n v="107"/>
    <x v="4"/>
  </r>
  <r>
    <x v="2"/>
    <x v="9"/>
    <x v="28"/>
    <n v="2196"/>
    <n v="257"/>
    <x v="2"/>
  </r>
  <r>
    <x v="2"/>
    <x v="9"/>
    <x v="9"/>
    <n v="605"/>
    <n v="55"/>
    <x v="5"/>
  </r>
  <r>
    <x v="2"/>
    <x v="9"/>
    <x v="10"/>
    <n v="21162"/>
    <n v="531"/>
    <x v="6"/>
  </r>
  <r>
    <x v="2"/>
    <x v="9"/>
    <x v="2"/>
    <n v="115"/>
    <n v="7"/>
    <x v="16"/>
  </r>
  <r>
    <x v="2"/>
    <x v="9"/>
    <x v="31"/>
    <n v="56746"/>
    <n v="2254"/>
    <x v="10"/>
  </r>
  <r>
    <x v="2"/>
    <x v="3"/>
    <x v="0"/>
    <n v="0"/>
    <n v="0"/>
    <x v="12"/>
  </r>
  <r>
    <x v="2"/>
    <x v="3"/>
    <x v="0"/>
    <n v="0"/>
    <n v="0"/>
    <x v="10"/>
  </r>
  <r>
    <x v="2"/>
    <x v="3"/>
    <x v="0"/>
    <n v="0"/>
    <n v="0"/>
    <x v="13"/>
  </r>
  <r>
    <x v="2"/>
    <x v="3"/>
    <x v="61"/>
    <n v="14021"/>
    <n v="900"/>
    <x v="3"/>
  </r>
  <r>
    <x v="2"/>
    <x v="3"/>
    <x v="14"/>
    <n v="11829"/>
    <n v="566"/>
    <x v="4"/>
  </r>
  <r>
    <x v="2"/>
    <x v="3"/>
    <x v="15"/>
    <n v="60005"/>
    <n v="3342"/>
    <x v="4"/>
  </r>
  <r>
    <x v="2"/>
    <x v="3"/>
    <x v="26"/>
    <n v="6423"/>
    <n v="634"/>
    <x v="15"/>
  </r>
  <r>
    <x v="2"/>
    <x v="3"/>
    <x v="27"/>
    <n v="15949"/>
    <n v="2384"/>
    <x v="23"/>
  </r>
  <r>
    <x v="2"/>
    <x v="3"/>
    <x v="16"/>
    <n v="7885"/>
    <n v="812"/>
    <x v="2"/>
  </r>
  <r>
    <x v="2"/>
    <x v="3"/>
    <x v="11"/>
    <n v="1017"/>
    <n v="154"/>
    <x v="6"/>
  </r>
  <r>
    <x v="2"/>
    <x v="3"/>
    <x v="2"/>
    <n v="1883"/>
    <n v="561"/>
    <x v="1"/>
  </r>
  <r>
    <x v="2"/>
    <x v="3"/>
    <x v="17"/>
    <n v="16693"/>
    <n v="1755"/>
    <x v="8"/>
  </r>
  <r>
    <x v="2"/>
    <x v="3"/>
    <x v="17"/>
    <n v="11949"/>
    <n v="1232"/>
    <x v="16"/>
  </r>
  <r>
    <x v="2"/>
    <x v="3"/>
    <x v="35"/>
    <n v="52101"/>
    <n v="1319"/>
    <x v="10"/>
  </r>
  <r>
    <x v="2"/>
    <x v="3"/>
    <x v="18"/>
    <n v="19881"/>
    <n v="992"/>
    <x v="10"/>
  </r>
  <r>
    <x v="2"/>
    <x v="2"/>
    <x v="61"/>
    <n v="14744"/>
    <n v="620"/>
    <x v="2"/>
  </r>
  <r>
    <x v="2"/>
    <x v="2"/>
    <x v="19"/>
    <n v="5963"/>
    <n v="262"/>
    <x v="4"/>
  </r>
  <r>
    <x v="2"/>
    <x v="2"/>
    <x v="20"/>
    <n v="42"/>
    <n v="42"/>
    <x v="14"/>
  </r>
  <r>
    <x v="2"/>
    <x v="2"/>
    <x v="28"/>
    <n v="3183"/>
    <n v="308"/>
    <x v="24"/>
  </r>
  <r>
    <x v="2"/>
    <x v="2"/>
    <x v="63"/>
    <n v="15081"/>
    <n v="930"/>
    <x v="4"/>
  </r>
  <r>
    <x v="2"/>
    <x v="2"/>
    <x v="22"/>
    <n v="8571"/>
    <n v="1432"/>
    <x v="12"/>
  </r>
  <r>
    <x v="2"/>
    <x v="2"/>
    <x v="23"/>
    <n v="6"/>
    <n v="2"/>
    <x v="24"/>
  </r>
  <r>
    <x v="2"/>
    <x v="2"/>
    <x v="11"/>
    <n v="11088"/>
    <n v="2535"/>
    <x v="25"/>
  </r>
  <r>
    <x v="2"/>
    <x v="2"/>
    <x v="2"/>
    <n v="14031"/>
    <n v="1361"/>
    <x v="17"/>
  </r>
  <r>
    <x v="2"/>
    <x v="2"/>
    <x v="2"/>
    <n v="345"/>
    <n v="91"/>
    <x v="3"/>
  </r>
  <r>
    <x v="2"/>
    <x v="2"/>
    <x v="29"/>
    <n v="106489"/>
    <n v="6658"/>
    <x v="10"/>
  </r>
  <r>
    <x v="2"/>
    <x v="4"/>
    <x v="0"/>
    <n v="0"/>
    <n v="0"/>
    <x v="20"/>
  </r>
  <r>
    <x v="2"/>
    <x v="4"/>
    <x v="3"/>
    <n v="11090"/>
    <n v="2108"/>
    <x v="3"/>
  </r>
  <r>
    <x v="2"/>
    <x v="4"/>
    <x v="25"/>
    <n v="264"/>
    <n v="39"/>
    <x v="22"/>
  </r>
  <r>
    <x v="2"/>
    <x v="4"/>
    <x v="6"/>
    <n v="4093"/>
    <n v="144"/>
    <x v="4"/>
  </r>
  <r>
    <x v="2"/>
    <x v="4"/>
    <x v="30"/>
    <n v="2375"/>
    <n v="65"/>
    <x v="4"/>
  </r>
  <r>
    <x v="2"/>
    <x v="4"/>
    <x v="8"/>
    <n v="169"/>
    <n v="26"/>
    <x v="4"/>
  </r>
  <r>
    <x v="2"/>
    <x v="4"/>
    <x v="9"/>
    <n v="325"/>
    <n v="23"/>
    <x v="5"/>
  </r>
  <r>
    <x v="2"/>
    <x v="4"/>
    <x v="10"/>
    <n v="16596"/>
    <n v="430"/>
    <x v="6"/>
  </r>
  <r>
    <x v="2"/>
    <x v="4"/>
    <x v="2"/>
    <n v="4083"/>
    <n v="627"/>
    <x v="2"/>
  </r>
  <r>
    <x v="2"/>
    <x v="4"/>
    <x v="31"/>
    <n v="31755"/>
    <n v="877"/>
    <x v="10"/>
  </r>
  <r>
    <x v="2"/>
    <x v="10"/>
    <x v="0"/>
    <n v="0"/>
    <n v="0"/>
    <x v="12"/>
  </r>
  <r>
    <x v="2"/>
    <x v="10"/>
    <x v="0"/>
    <n v="0"/>
    <n v="0"/>
    <x v="10"/>
  </r>
  <r>
    <x v="2"/>
    <x v="10"/>
    <x v="61"/>
    <n v="6172"/>
    <n v="502"/>
    <x v="3"/>
  </r>
  <r>
    <x v="2"/>
    <x v="10"/>
    <x v="14"/>
    <n v="3516"/>
    <n v="219"/>
    <x v="4"/>
  </r>
  <r>
    <x v="2"/>
    <x v="10"/>
    <x v="15"/>
    <n v="58914"/>
    <n v="2567"/>
    <x v="4"/>
  </r>
  <r>
    <x v="2"/>
    <x v="10"/>
    <x v="39"/>
    <n v="78455"/>
    <n v="5350"/>
    <x v="4"/>
  </r>
  <r>
    <x v="2"/>
    <x v="10"/>
    <x v="33"/>
    <n v="197"/>
    <n v="27"/>
    <x v="4"/>
  </r>
  <r>
    <x v="2"/>
    <x v="10"/>
    <x v="26"/>
    <n v="460"/>
    <n v="61"/>
    <x v="15"/>
  </r>
  <r>
    <x v="2"/>
    <x v="10"/>
    <x v="27"/>
    <n v="10345"/>
    <n v="1750"/>
    <x v="23"/>
  </r>
  <r>
    <x v="2"/>
    <x v="10"/>
    <x v="16"/>
    <n v="8251"/>
    <n v="1007"/>
    <x v="2"/>
  </r>
  <r>
    <x v="2"/>
    <x v="10"/>
    <x v="34"/>
    <n v="551"/>
    <n v="39"/>
    <x v="4"/>
  </r>
  <r>
    <x v="2"/>
    <x v="10"/>
    <x v="11"/>
    <n v="2"/>
    <n v="1"/>
    <x v="6"/>
  </r>
  <r>
    <x v="2"/>
    <x v="10"/>
    <x v="11"/>
    <n v="393"/>
    <n v="136"/>
    <x v="26"/>
  </r>
  <r>
    <x v="2"/>
    <x v="10"/>
    <x v="17"/>
    <n v="3926"/>
    <n v="430"/>
    <x v="8"/>
  </r>
  <r>
    <x v="2"/>
    <x v="10"/>
    <x v="17"/>
    <n v="4278"/>
    <n v="432"/>
    <x v="16"/>
  </r>
  <r>
    <x v="2"/>
    <x v="10"/>
    <x v="35"/>
    <n v="47253"/>
    <n v="1081"/>
    <x v="10"/>
  </r>
  <r>
    <x v="2"/>
    <x v="10"/>
    <x v="18"/>
    <n v="1126"/>
    <n v="46"/>
    <x v="10"/>
  </r>
  <r>
    <x v="2"/>
    <x v="10"/>
    <x v="13"/>
    <n v="8106"/>
    <n v="869"/>
    <x v="17"/>
  </r>
  <r>
    <x v="2"/>
    <x v="11"/>
    <x v="0"/>
    <n v="0"/>
    <n v="0"/>
    <x v="19"/>
  </r>
  <r>
    <x v="2"/>
    <x v="11"/>
    <x v="0"/>
    <n v="0"/>
    <n v="0"/>
    <x v="0"/>
  </r>
  <r>
    <x v="2"/>
    <x v="11"/>
    <x v="3"/>
    <n v="436"/>
    <n v="58"/>
    <x v="0"/>
  </r>
  <r>
    <x v="2"/>
    <x v="11"/>
    <x v="19"/>
    <n v="19828"/>
    <n v="673"/>
    <x v="4"/>
  </r>
  <r>
    <x v="2"/>
    <x v="11"/>
    <x v="20"/>
    <n v="48112"/>
    <n v="1461"/>
    <x v="4"/>
  </r>
  <r>
    <x v="2"/>
    <x v="11"/>
    <x v="20"/>
    <n v="35"/>
    <n v="35"/>
    <x v="14"/>
  </r>
  <r>
    <x v="2"/>
    <x v="11"/>
    <x v="28"/>
    <n v="9777"/>
    <n v="1259"/>
    <x v="7"/>
  </r>
  <r>
    <x v="2"/>
    <x v="11"/>
    <x v="22"/>
    <n v="7144"/>
    <n v="1042"/>
    <x v="12"/>
  </r>
  <r>
    <x v="2"/>
    <x v="11"/>
    <x v="11"/>
    <n v="10974"/>
    <n v="2586"/>
    <x v="25"/>
  </r>
  <r>
    <x v="2"/>
    <x v="11"/>
    <x v="2"/>
    <n v="75"/>
    <n v="18"/>
    <x v="17"/>
  </r>
  <r>
    <x v="2"/>
    <x v="11"/>
    <x v="2"/>
    <n v="239"/>
    <n v="32"/>
    <x v="3"/>
  </r>
  <r>
    <x v="2"/>
    <x v="11"/>
    <x v="29"/>
    <n v="99234"/>
    <n v="4832"/>
    <x v="10"/>
  </r>
  <r>
    <x v="2"/>
    <x v="11"/>
    <x v="36"/>
    <n v="1012"/>
    <n v="221"/>
    <x v="8"/>
  </r>
  <r>
    <x v="2"/>
    <x v="11"/>
    <x v="13"/>
    <n v="4500"/>
    <n v="395"/>
    <x v="2"/>
  </r>
  <r>
    <x v="2"/>
    <x v="12"/>
    <x v="0"/>
    <n v="0"/>
    <n v="0"/>
    <x v="20"/>
  </r>
  <r>
    <x v="2"/>
    <x v="12"/>
    <x v="0"/>
    <n v="0"/>
    <n v="0"/>
    <x v="11"/>
  </r>
  <r>
    <x v="2"/>
    <x v="12"/>
    <x v="38"/>
    <n v="43742"/>
    <n v="1294"/>
    <x v="4"/>
  </r>
  <r>
    <x v="2"/>
    <x v="12"/>
    <x v="8"/>
    <n v="28"/>
    <n v="1"/>
    <x v="4"/>
  </r>
  <r>
    <x v="2"/>
    <x v="12"/>
    <x v="11"/>
    <n v="34"/>
    <n v="8"/>
    <x v="23"/>
  </r>
  <r>
    <x v="2"/>
    <x v="12"/>
    <x v="11"/>
    <n v="103"/>
    <n v="4"/>
    <x v="13"/>
  </r>
  <r>
    <x v="2"/>
    <x v="12"/>
    <x v="2"/>
    <n v="2372"/>
    <n v="59"/>
    <x v="2"/>
  </r>
  <r>
    <x v="2"/>
    <x v="12"/>
    <x v="31"/>
    <n v="19118"/>
    <n v="507"/>
    <x v="10"/>
  </r>
  <r>
    <x v="2"/>
    <x v="12"/>
    <x v="13"/>
    <n v="1"/>
    <n v="0"/>
    <x v="13"/>
  </r>
  <r>
    <x v="2"/>
    <x v="15"/>
    <x v="17"/>
    <n v="0"/>
    <n v="0"/>
    <x v="1"/>
  </r>
  <r>
    <x v="2"/>
    <x v="6"/>
    <x v="3"/>
    <n v="713"/>
    <n v="100"/>
    <x v="0"/>
  </r>
  <r>
    <x v="2"/>
    <x v="6"/>
    <x v="38"/>
    <n v="21897"/>
    <n v="2127"/>
    <x v="4"/>
  </r>
  <r>
    <x v="2"/>
    <x v="6"/>
    <x v="41"/>
    <n v="42142"/>
    <n v="4202"/>
    <x v="4"/>
  </r>
  <r>
    <x v="2"/>
    <x v="6"/>
    <x v="15"/>
    <n v="61669"/>
    <n v="4931"/>
    <x v="4"/>
  </r>
  <r>
    <x v="2"/>
    <x v="6"/>
    <x v="30"/>
    <n v="3180"/>
    <n v="166"/>
    <x v="4"/>
  </r>
  <r>
    <x v="2"/>
    <x v="6"/>
    <x v="42"/>
    <n v="802"/>
    <n v="91"/>
    <x v="22"/>
  </r>
  <r>
    <x v="2"/>
    <x v="6"/>
    <x v="8"/>
    <n v="137"/>
    <n v="28"/>
    <x v="4"/>
  </r>
  <r>
    <x v="2"/>
    <x v="6"/>
    <x v="57"/>
    <n v="47996"/>
    <n v="6878"/>
    <x v="4"/>
  </r>
  <r>
    <x v="2"/>
    <x v="6"/>
    <x v="28"/>
    <n v="15310"/>
    <n v="1836"/>
    <x v="7"/>
  </r>
  <r>
    <x v="2"/>
    <x v="6"/>
    <x v="9"/>
    <n v="2465"/>
    <n v="234"/>
    <x v="19"/>
  </r>
  <r>
    <x v="2"/>
    <x v="6"/>
    <x v="27"/>
    <n v="2575"/>
    <n v="460"/>
    <x v="29"/>
  </r>
  <r>
    <x v="2"/>
    <x v="6"/>
    <x v="10"/>
    <n v="22469"/>
    <n v="900"/>
    <x v="6"/>
  </r>
  <r>
    <x v="2"/>
    <x v="6"/>
    <x v="2"/>
    <n v="16"/>
    <n v="4"/>
    <x v="15"/>
  </r>
  <r>
    <x v="2"/>
    <x v="6"/>
    <x v="17"/>
    <n v="14293"/>
    <n v="1608"/>
    <x v="16"/>
  </r>
  <r>
    <x v="2"/>
    <x v="6"/>
    <x v="53"/>
    <n v="64226"/>
    <n v="4503"/>
    <x v="10"/>
  </r>
  <r>
    <x v="2"/>
    <x v="6"/>
    <x v="32"/>
    <n v="3911"/>
    <n v="308"/>
    <x v="2"/>
  </r>
  <r>
    <x v="2"/>
    <x v="7"/>
    <x v="0"/>
    <n v="0"/>
    <n v="0"/>
    <x v="2"/>
  </r>
  <r>
    <x v="2"/>
    <x v="7"/>
    <x v="0"/>
    <n v="0"/>
    <n v="0"/>
    <x v="17"/>
  </r>
  <r>
    <x v="2"/>
    <x v="7"/>
    <x v="1"/>
    <n v="108"/>
    <n v="8"/>
    <x v="30"/>
  </r>
  <r>
    <x v="2"/>
    <x v="7"/>
    <x v="5"/>
    <n v="62151"/>
    <n v="8078"/>
    <x v="4"/>
  </r>
  <r>
    <x v="2"/>
    <x v="7"/>
    <x v="33"/>
    <n v="547"/>
    <n v="155"/>
    <x v="4"/>
  </r>
  <r>
    <x v="2"/>
    <x v="7"/>
    <x v="58"/>
    <n v="47903"/>
    <n v="6584"/>
    <x v="4"/>
  </r>
  <r>
    <x v="2"/>
    <x v="7"/>
    <x v="21"/>
    <n v="46"/>
    <n v="4"/>
    <x v="22"/>
  </r>
  <r>
    <x v="2"/>
    <x v="7"/>
    <x v="9"/>
    <n v="3605"/>
    <n v="276"/>
    <x v="12"/>
  </r>
  <r>
    <x v="2"/>
    <x v="7"/>
    <x v="9"/>
    <n v="20541"/>
    <n v="3158"/>
    <x v="2"/>
  </r>
  <r>
    <x v="2"/>
    <x v="7"/>
    <x v="27"/>
    <n v="16225"/>
    <n v="2350"/>
    <x v="23"/>
  </r>
  <r>
    <x v="2"/>
    <x v="7"/>
    <x v="27"/>
    <n v="6566"/>
    <n v="611"/>
    <x v="19"/>
  </r>
  <r>
    <x v="2"/>
    <x v="7"/>
    <x v="11"/>
    <n v="6831"/>
    <n v="1022"/>
    <x v="7"/>
  </r>
  <r>
    <x v="2"/>
    <x v="7"/>
    <x v="11"/>
    <n v="712"/>
    <n v="106"/>
    <x v="13"/>
  </r>
  <r>
    <x v="2"/>
    <x v="7"/>
    <x v="2"/>
    <n v="204"/>
    <n v="62"/>
    <x v="16"/>
  </r>
  <r>
    <x v="2"/>
    <x v="7"/>
    <x v="2"/>
    <n v="380"/>
    <n v="86"/>
    <x v="3"/>
  </r>
  <r>
    <x v="2"/>
    <x v="7"/>
    <x v="24"/>
    <n v="6400"/>
    <n v="848"/>
    <x v="16"/>
  </r>
  <r>
    <x v="2"/>
    <x v="0"/>
    <x v="0"/>
    <n v="0"/>
    <n v="0"/>
    <x v="21"/>
  </r>
  <r>
    <x v="2"/>
    <x v="0"/>
    <x v="0"/>
    <n v="0"/>
    <n v="0"/>
    <x v="6"/>
  </r>
  <r>
    <x v="2"/>
    <x v="0"/>
    <x v="0"/>
    <n v="0"/>
    <n v="0"/>
    <x v="0"/>
  </r>
  <r>
    <x v="2"/>
    <x v="0"/>
    <x v="61"/>
    <n v="12146"/>
    <n v="610"/>
    <x v="2"/>
  </r>
  <r>
    <x v="2"/>
    <x v="0"/>
    <x v="19"/>
    <n v="5805"/>
    <n v="182"/>
    <x v="22"/>
  </r>
  <r>
    <x v="2"/>
    <x v="0"/>
    <x v="49"/>
    <n v="13413"/>
    <n v="3252"/>
    <x v="4"/>
  </r>
  <r>
    <x v="2"/>
    <x v="0"/>
    <x v="15"/>
    <n v="0"/>
    <n v="0"/>
    <x v="14"/>
  </r>
  <r>
    <x v="2"/>
    <x v="0"/>
    <x v="39"/>
    <n v="80209"/>
    <n v="6228"/>
    <x v="4"/>
  </r>
  <r>
    <x v="2"/>
    <x v="0"/>
    <x v="50"/>
    <n v="37197"/>
    <n v="1022"/>
    <x v="27"/>
  </r>
  <r>
    <x v="2"/>
    <x v="0"/>
    <x v="22"/>
    <n v="8393"/>
    <n v="1393"/>
    <x v="19"/>
  </r>
  <r>
    <x v="2"/>
    <x v="0"/>
    <x v="23"/>
    <n v="30"/>
    <n v="11"/>
    <x v="24"/>
  </r>
  <r>
    <x v="2"/>
    <x v="0"/>
    <x v="2"/>
    <n v="4"/>
    <n v="0"/>
    <x v="5"/>
  </r>
  <r>
    <x v="2"/>
    <x v="0"/>
    <x v="2"/>
    <n v="126"/>
    <n v="23"/>
    <x v="11"/>
  </r>
  <r>
    <x v="2"/>
    <x v="0"/>
    <x v="2"/>
    <n v="13"/>
    <n v="3"/>
    <x v="1"/>
  </r>
  <r>
    <x v="2"/>
    <x v="0"/>
    <x v="13"/>
    <n v="8791"/>
    <n v="857"/>
    <x v="2"/>
  </r>
  <r>
    <x v="2"/>
    <x v="1"/>
    <x v="3"/>
    <n v="611"/>
    <n v="79"/>
    <x v="0"/>
  </r>
  <r>
    <x v="2"/>
    <x v="1"/>
    <x v="38"/>
    <n v="32409"/>
    <n v="3042"/>
    <x v="4"/>
  </r>
  <r>
    <x v="2"/>
    <x v="1"/>
    <x v="41"/>
    <n v="26342"/>
    <n v="2541"/>
    <x v="4"/>
  </r>
  <r>
    <x v="2"/>
    <x v="1"/>
    <x v="15"/>
    <n v="56153"/>
    <n v="4400"/>
    <x v="4"/>
  </r>
  <r>
    <x v="2"/>
    <x v="1"/>
    <x v="30"/>
    <n v="2170"/>
    <n v="95"/>
    <x v="4"/>
  </r>
  <r>
    <x v="2"/>
    <x v="1"/>
    <x v="42"/>
    <n v="18521"/>
    <n v="1630"/>
    <x v="22"/>
  </r>
  <r>
    <x v="2"/>
    <x v="1"/>
    <x v="57"/>
    <n v="51384"/>
    <n v="6900"/>
    <x v="4"/>
  </r>
  <r>
    <x v="2"/>
    <x v="1"/>
    <x v="9"/>
    <n v="3512"/>
    <n v="241"/>
    <x v="19"/>
  </r>
  <r>
    <x v="2"/>
    <x v="1"/>
    <x v="27"/>
    <n v="3735"/>
    <n v="498"/>
    <x v="29"/>
  </r>
  <r>
    <x v="2"/>
    <x v="1"/>
    <x v="63"/>
    <n v="176"/>
    <n v="10"/>
    <x v="22"/>
  </r>
  <r>
    <x v="2"/>
    <x v="1"/>
    <x v="22"/>
    <n v="6685"/>
    <n v="1425"/>
    <x v="13"/>
  </r>
  <r>
    <x v="2"/>
    <x v="1"/>
    <x v="11"/>
    <n v="2498"/>
    <n v="752"/>
    <x v="1"/>
  </r>
  <r>
    <x v="2"/>
    <x v="1"/>
    <x v="17"/>
    <n v="13080"/>
    <n v="1714"/>
    <x v="16"/>
  </r>
  <r>
    <x v="2"/>
    <x v="1"/>
    <x v="35"/>
    <n v="63263"/>
    <n v="2070"/>
    <x v="10"/>
  </r>
  <r>
    <x v="2"/>
    <x v="5"/>
    <x v="0"/>
    <n v="0"/>
    <n v="0"/>
    <x v="2"/>
  </r>
  <r>
    <x v="2"/>
    <x v="5"/>
    <x v="5"/>
    <n v="40749"/>
    <n v="4631"/>
    <x v="4"/>
  </r>
  <r>
    <x v="2"/>
    <x v="5"/>
    <x v="6"/>
    <n v="4938"/>
    <n v="373"/>
    <x v="4"/>
  </r>
  <r>
    <x v="2"/>
    <x v="5"/>
    <x v="6"/>
    <n v="124"/>
    <n v="14"/>
    <x v="22"/>
  </r>
  <r>
    <x v="2"/>
    <x v="5"/>
    <x v="33"/>
    <n v="336"/>
    <n v="70"/>
    <x v="4"/>
  </r>
  <r>
    <x v="2"/>
    <x v="5"/>
    <x v="58"/>
    <n v="39341"/>
    <n v="5622"/>
    <x v="4"/>
  </r>
  <r>
    <x v="2"/>
    <x v="5"/>
    <x v="28"/>
    <n v="6423"/>
    <n v="672"/>
    <x v="2"/>
  </r>
  <r>
    <x v="2"/>
    <x v="5"/>
    <x v="9"/>
    <n v="5589"/>
    <n v="451"/>
    <x v="12"/>
  </r>
  <r>
    <x v="2"/>
    <x v="5"/>
    <x v="9"/>
    <n v="21963"/>
    <n v="3387"/>
    <x v="2"/>
  </r>
  <r>
    <x v="2"/>
    <x v="5"/>
    <x v="27"/>
    <n v="15749"/>
    <n v="2507"/>
    <x v="23"/>
  </r>
  <r>
    <x v="2"/>
    <x v="5"/>
    <x v="11"/>
    <n v="8335"/>
    <n v="1094"/>
    <x v="7"/>
  </r>
  <r>
    <x v="2"/>
    <x v="5"/>
    <x v="2"/>
    <n v="138"/>
    <n v="11"/>
    <x v="16"/>
  </r>
  <r>
    <x v="2"/>
    <x v="5"/>
    <x v="2"/>
    <n v="289"/>
    <n v="72"/>
    <x v="24"/>
  </r>
  <r>
    <x v="2"/>
    <x v="5"/>
    <x v="2"/>
    <n v="10335"/>
    <n v="837"/>
    <x v="17"/>
  </r>
  <r>
    <x v="2"/>
    <x v="5"/>
    <x v="2"/>
    <n v="271"/>
    <n v="78"/>
    <x v="3"/>
  </r>
  <r>
    <x v="2"/>
    <x v="5"/>
    <x v="29"/>
    <n v="106661"/>
    <n v="9218"/>
    <x v="10"/>
  </r>
  <r>
    <x v="2"/>
    <x v="8"/>
    <x v="0"/>
    <n v="0"/>
    <n v="0"/>
    <x v="6"/>
  </r>
  <r>
    <x v="2"/>
    <x v="8"/>
    <x v="0"/>
    <n v="0"/>
    <n v="0"/>
    <x v="10"/>
  </r>
  <r>
    <x v="2"/>
    <x v="8"/>
    <x v="0"/>
    <n v="0"/>
    <n v="0"/>
    <x v="0"/>
  </r>
  <r>
    <x v="2"/>
    <x v="8"/>
    <x v="3"/>
    <n v="17233"/>
    <n v="2148"/>
    <x v="9"/>
  </r>
  <r>
    <x v="2"/>
    <x v="8"/>
    <x v="48"/>
    <n v="32634"/>
    <n v="1271"/>
    <x v="4"/>
  </r>
  <r>
    <x v="2"/>
    <x v="8"/>
    <x v="49"/>
    <n v="13707"/>
    <n v="3689"/>
    <x v="4"/>
  </r>
  <r>
    <x v="2"/>
    <x v="8"/>
    <x v="15"/>
    <n v="0"/>
    <n v="0"/>
    <x v="14"/>
  </r>
  <r>
    <x v="2"/>
    <x v="8"/>
    <x v="50"/>
    <n v="21272"/>
    <n v="454"/>
    <x v="27"/>
  </r>
  <r>
    <x v="2"/>
    <x v="8"/>
    <x v="42"/>
    <n v="0"/>
    <n v="0"/>
    <x v="18"/>
  </r>
  <r>
    <x v="2"/>
    <x v="8"/>
    <x v="23"/>
    <n v="48"/>
    <n v="18"/>
    <x v="24"/>
  </r>
  <r>
    <x v="2"/>
    <x v="8"/>
    <x v="23"/>
    <n v="231"/>
    <n v="81"/>
    <x v="2"/>
  </r>
  <r>
    <x v="2"/>
    <x v="8"/>
    <x v="11"/>
    <n v="3153"/>
    <n v="724"/>
    <x v="0"/>
  </r>
  <r>
    <x v="2"/>
    <x v="8"/>
    <x v="2"/>
    <n v="1"/>
    <n v="0"/>
    <x v="5"/>
  </r>
  <r>
    <x v="2"/>
    <x v="8"/>
    <x v="2"/>
    <n v="119"/>
    <n v="38"/>
    <x v="11"/>
  </r>
  <r>
    <x v="2"/>
    <x v="8"/>
    <x v="2"/>
    <n v="1592"/>
    <n v="506"/>
    <x v="1"/>
  </r>
  <r>
    <x v="2"/>
    <x v="8"/>
    <x v="31"/>
    <n v="62169"/>
    <n v="2605"/>
    <x v="10"/>
  </r>
  <r>
    <x v="2"/>
    <x v="8"/>
    <x v="24"/>
    <n v="1913"/>
    <n v="277"/>
    <x v="8"/>
  </r>
  <r>
    <x v="2"/>
    <x v="8"/>
    <x v="13"/>
    <n v="7273"/>
    <n v="790"/>
    <x v="2"/>
  </r>
  <r>
    <x v="2"/>
    <x v="9"/>
    <x v="38"/>
    <n v="38597"/>
    <n v="2829"/>
    <x v="4"/>
  </r>
  <r>
    <x v="2"/>
    <x v="9"/>
    <x v="41"/>
    <n v="33277"/>
    <n v="2506"/>
    <x v="4"/>
  </r>
  <r>
    <x v="2"/>
    <x v="9"/>
    <x v="20"/>
    <n v="30"/>
    <n v="30"/>
    <x v="14"/>
  </r>
  <r>
    <x v="2"/>
    <x v="9"/>
    <x v="15"/>
    <n v="59135"/>
    <n v="3657"/>
    <x v="4"/>
  </r>
  <r>
    <x v="2"/>
    <x v="9"/>
    <x v="30"/>
    <n v="2307"/>
    <n v="59"/>
    <x v="4"/>
  </r>
  <r>
    <x v="2"/>
    <x v="9"/>
    <x v="26"/>
    <n v="13795"/>
    <n v="1602"/>
    <x v="25"/>
  </r>
  <r>
    <x v="2"/>
    <x v="9"/>
    <x v="9"/>
    <n v="4305"/>
    <n v="357"/>
    <x v="19"/>
  </r>
  <r>
    <x v="2"/>
    <x v="9"/>
    <x v="63"/>
    <n v="331"/>
    <n v="22"/>
    <x v="22"/>
  </r>
  <r>
    <x v="2"/>
    <x v="9"/>
    <x v="17"/>
    <n v="14023"/>
    <n v="1442"/>
    <x v="16"/>
  </r>
  <r>
    <x v="2"/>
    <x v="9"/>
    <x v="35"/>
    <n v="66839"/>
    <n v="1808"/>
    <x v="10"/>
  </r>
  <r>
    <x v="2"/>
    <x v="9"/>
    <x v="12"/>
    <n v="25"/>
    <n v="25"/>
    <x v="10"/>
  </r>
  <r>
    <x v="2"/>
    <x v="3"/>
    <x v="0"/>
    <n v="0"/>
    <n v="0"/>
    <x v="19"/>
  </r>
  <r>
    <x v="2"/>
    <x v="3"/>
    <x v="0"/>
    <n v="0"/>
    <n v="0"/>
    <x v="2"/>
  </r>
  <r>
    <x v="2"/>
    <x v="3"/>
    <x v="20"/>
    <n v="43814"/>
    <n v="2136"/>
    <x v="4"/>
  </r>
  <r>
    <x v="2"/>
    <x v="3"/>
    <x v="5"/>
    <n v="32206"/>
    <n v="2967"/>
    <x v="4"/>
  </r>
  <r>
    <x v="2"/>
    <x v="3"/>
    <x v="25"/>
    <n v="62291"/>
    <n v="5802"/>
    <x v="4"/>
  </r>
  <r>
    <x v="2"/>
    <x v="3"/>
    <x v="25"/>
    <n v="970"/>
    <n v="198"/>
    <x v="22"/>
  </r>
  <r>
    <x v="2"/>
    <x v="3"/>
    <x v="6"/>
    <n v="4588"/>
    <n v="271"/>
    <x v="4"/>
  </r>
  <r>
    <x v="2"/>
    <x v="3"/>
    <x v="6"/>
    <n v="171"/>
    <n v="24"/>
    <x v="22"/>
  </r>
  <r>
    <x v="2"/>
    <x v="3"/>
    <x v="52"/>
    <n v="51894"/>
    <n v="5147"/>
    <x v="4"/>
  </r>
  <r>
    <x v="2"/>
    <x v="3"/>
    <x v="33"/>
    <n v="301"/>
    <n v="58"/>
    <x v="4"/>
  </r>
  <r>
    <x v="2"/>
    <x v="3"/>
    <x v="26"/>
    <n v="6"/>
    <n v="4"/>
    <x v="20"/>
  </r>
  <r>
    <x v="2"/>
    <x v="3"/>
    <x v="28"/>
    <n v="6339"/>
    <n v="635"/>
    <x v="2"/>
  </r>
  <r>
    <x v="2"/>
    <x v="3"/>
    <x v="9"/>
    <n v="5991"/>
    <n v="320"/>
    <x v="12"/>
  </r>
  <r>
    <x v="2"/>
    <x v="3"/>
    <x v="9"/>
    <n v="19483"/>
    <n v="2530"/>
    <x v="2"/>
  </r>
  <r>
    <x v="2"/>
    <x v="3"/>
    <x v="11"/>
    <n v="6104"/>
    <n v="844"/>
    <x v="7"/>
  </r>
  <r>
    <x v="2"/>
    <x v="3"/>
    <x v="2"/>
    <n v="129"/>
    <n v="11"/>
    <x v="16"/>
  </r>
  <r>
    <x v="2"/>
    <x v="3"/>
    <x v="2"/>
    <n v="160"/>
    <n v="31"/>
    <x v="24"/>
  </r>
  <r>
    <x v="2"/>
    <x v="3"/>
    <x v="2"/>
    <n v="13203"/>
    <n v="1412"/>
    <x v="17"/>
  </r>
  <r>
    <x v="2"/>
    <x v="3"/>
    <x v="2"/>
    <n v="321"/>
    <n v="76"/>
    <x v="3"/>
  </r>
  <r>
    <x v="2"/>
    <x v="3"/>
    <x v="29"/>
    <n v="103967"/>
    <n v="6611"/>
    <x v="10"/>
  </r>
  <r>
    <x v="2"/>
    <x v="2"/>
    <x v="0"/>
    <n v="0"/>
    <n v="0"/>
    <x v="12"/>
  </r>
  <r>
    <x v="2"/>
    <x v="2"/>
    <x v="0"/>
    <n v="0"/>
    <n v="0"/>
    <x v="6"/>
  </r>
  <r>
    <x v="2"/>
    <x v="2"/>
    <x v="0"/>
    <n v="0"/>
    <n v="0"/>
    <x v="10"/>
  </r>
  <r>
    <x v="2"/>
    <x v="2"/>
    <x v="0"/>
    <n v="0"/>
    <n v="0"/>
    <x v="0"/>
  </r>
  <r>
    <x v="2"/>
    <x v="2"/>
    <x v="37"/>
    <n v="6973"/>
    <n v="214"/>
    <x v="28"/>
  </r>
  <r>
    <x v="2"/>
    <x v="2"/>
    <x v="3"/>
    <n v="20552"/>
    <n v="2774"/>
    <x v="9"/>
  </r>
  <r>
    <x v="2"/>
    <x v="2"/>
    <x v="48"/>
    <n v="26035"/>
    <n v="806"/>
    <x v="4"/>
  </r>
  <r>
    <x v="2"/>
    <x v="2"/>
    <x v="49"/>
    <n v="13695"/>
    <n v="3593"/>
    <x v="4"/>
  </r>
  <r>
    <x v="2"/>
    <x v="2"/>
    <x v="15"/>
    <n v="0"/>
    <n v="0"/>
    <x v="14"/>
  </r>
  <r>
    <x v="2"/>
    <x v="2"/>
    <x v="50"/>
    <n v="32430"/>
    <n v="873"/>
    <x v="27"/>
  </r>
  <r>
    <x v="2"/>
    <x v="2"/>
    <x v="23"/>
    <n v="248"/>
    <n v="81"/>
    <x v="2"/>
  </r>
  <r>
    <x v="2"/>
    <x v="2"/>
    <x v="11"/>
    <n v="410"/>
    <n v="32"/>
    <x v="6"/>
  </r>
  <r>
    <x v="2"/>
    <x v="2"/>
    <x v="2"/>
    <n v="1882"/>
    <n v="513"/>
    <x v="1"/>
  </r>
  <r>
    <x v="2"/>
    <x v="2"/>
    <x v="17"/>
    <n v="16"/>
    <n v="4"/>
    <x v="1"/>
  </r>
  <r>
    <x v="2"/>
    <x v="2"/>
    <x v="31"/>
    <n v="36649"/>
    <n v="1187"/>
    <x v="10"/>
  </r>
  <r>
    <x v="2"/>
    <x v="2"/>
    <x v="18"/>
    <n v="20948"/>
    <n v="1056"/>
    <x v="10"/>
  </r>
  <r>
    <x v="2"/>
    <x v="2"/>
    <x v="43"/>
    <n v="354"/>
    <n v="26"/>
    <x v="20"/>
  </r>
  <r>
    <x v="2"/>
    <x v="2"/>
    <x v="54"/>
    <n v="80052"/>
    <n v="5079"/>
    <x v="10"/>
  </r>
  <r>
    <x v="2"/>
    <x v="2"/>
    <x v="24"/>
    <n v="2671"/>
    <n v="347"/>
    <x v="8"/>
  </r>
  <r>
    <x v="2"/>
    <x v="2"/>
    <x v="13"/>
    <n v="8565"/>
    <n v="617"/>
    <x v="19"/>
  </r>
  <r>
    <x v="2"/>
    <x v="2"/>
    <x v="13"/>
    <n v="8173"/>
    <n v="841"/>
    <x v="2"/>
  </r>
  <r>
    <x v="2"/>
    <x v="4"/>
    <x v="38"/>
    <n v="17507"/>
    <n v="1057"/>
    <x v="4"/>
  </r>
  <r>
    <x v="2"/>
    <x v="4"/>
    <x v="20"/>
    <n v="39"/>
    <n v="39"/>
    <x v="14"/>
  </r>
  <r>
    <x v="2"/>
    <x v="4"/>
    <x v="26"/>
    <n v="7210"/>
    <n v="1019"/>
    <x v="25"/>
  </r>
  <r>
    <x v="2"/>
    <x v="4"/>
    <x v="9"/>
    <n v="2158"/>
    <n v="140"/>
    <x v="19"/>
  </r>
  <r>
    <x v="2"/>
    <x v="4"/>
    <x v="16"/>
    <n v="3333"/>
    <n v="171"/>
    <x v="16"/>
  </r>
  <r>
    <x v="2"/>
    <x v="4"/>
    <x v="11"/>
    <n v="11978"/>
    <n v="2600"/>
    <x v="25"/>
  </r>
  <r>
    <x v="2"/>
    <x v="4"/>
    <x v="17"/>
    <n v="10148"/>
    <n v="857"/>
    <x v="16"/>
  </r>
  <r>
    <x v="2"/>
    <x v="4"/>
    <x v="35"/>
    <n v="39336"/>
    <n v="1035"/>
    <x v="10"/>
  </r>
  <r>
    <x v="2"/>
    <x v="4"/>
    <x v="12"/>
    <n v="12"/>
    <n v="12"/>
    <x v="10"/>
  </r>
  <r>
    <x v="2"/>
    <x v="10"/>
    <x v="0"/>
    <n v="0"/>
    <n v="0"/>
    <x v="19"/>
  </r>
  <r>
    <x v="2"/>
    <x v="10"/>
    <x v="0"/>
    <n v="0"/>
    <n v="0"/>
    <x v="2"/>
  </r>
  <r>
    <x v="2"/>
    <x v="10"/>
    <x v="20"/>
    <n v="56196"/>
    <n v="2004"/>
    <x v="4"/>
  </r>
  <r>
    <x v="2"/>
    <x v="10"/>
    <x v="25"/>
    <n v="57334"/>
    <n v="4762"/>
    <x v="4"/>
  </r>
  <r>
    <x v="2"/>
    <x v="10"/>
    <x v="6"/>
    <n v="2135"/>
    <n v="63"/>
    <x v="4"/>
  </r>
  <r>
    <x v="2"/>
    <x v="10"/>
    <x v="56"/>
    <n v="137"/>
    <n v="16"/>
    <x v="4"/>
  </r>
  <r>
    <x v="2"/>
    <x v="10"/>
    <x v="52"/>
    <n v="29652"/>
    <n v="2609"/>
    <x v="4"/>
  </r>
  <r>
    <x v="2"/>
    <x v="10"/>
    <x v="2"/>
    <n v="250"/>
    <n v="19"/>
    <x v="16"/>
  </r>
  <r>
    <x v="2"/>
    <x v="10"/>
    <x v="2"/>
    <n v="127"/>
    <n v="23"/>
    <x v="24"/>
  </r>
  <r>
    <x v="2"/>
    <x v="10"/>
    <x v="2"/>
    <n v="3878"/>
    <n v="511"/>
    <x v="2"/>
  </r>
  <r>
    <x v="2"/>
    <x v="10"/>
    <x v="2"/>
    <n v="49"/>
    <n v="17"/>
    <x v="17"/>
  </r>
  <r>
    <x v="2"/>
    <x v="10"/>
    <x v="2"/>
    <n v="253"/>
    <n v="51"/>
    <x v="3"/>
  </r>
  <r>
    <x v="2"/>
    <x v="10"/>
    <x v="29"/>
    <n v="102061"/>
    <n v="5505"/>
    <x v="10"/>
  </r>
  <r>
    <x v="2"/>
    <x v="11"/>
    <x v="0"/>
    <n v="7"/>
    <n v="7"/>
    <x v="4"/>
  </r>
  <r>
    <x v="2"/>
    <x v="11"/>
    <x v="0"/>
    <n v="0"/>
    <n v="0"/>
    <x v="12"/>
  </r>
  <r>
    <x v="2"/>
    <x v="11"/>
    <x v="0"/>
    <n v="0"/>
    <n v="0"/>
    <x v="10"/>
  </r>
  <r>
    <x v="2"/>
    <x v="11"/>
    <x v="37"/>
    <n v="4"/>
    <n v="3"/>
    <x v="28"/>
  </r>
  <r>
    <x v="2"/>
    <x v="11"/>
    <x v="1"/>
    <n v="6315"/>
    <n v="1294"/>
    <x v="3"/>
  </r>
  <r>
    <x v="2"/>
    <x v="11"/>
    <x v="3"/>
    <n v="10458"/>
    <n v="1667"/>
    <x v="9"/>
  </r>
  <r>
    <x v="2"/>
    <x v="11"/>
    <x v="48"/>
    <n v="20081"/>
    <n v="418"/>
    <x v="4"/>
  </r>
  <r>
    <x v="2"/>
    <x v="11"/>
    <x v="4"/>
    <n v="7550"/>
    <n v="189"/>
    <x v="4"/>
  </r>
  <r>
    <x v="2"/>
    <x v="11"/>
    <x v="49"/>
    <n v="7068"/>
    <n v="1972"/>
    <x v="4"/>
  </r>
  <r>
    <x v="2"/>
    <x v="11"/>
    <x v="26"/>
    <n v="270"/>
    <n v="40"/>
    <x v="15"/>
  </r>
  <r>
    <x v="2"/>
    <x v="11"/>
    <x v="11"/>
    <n v="51"/>
    <n v="3"/>
    <x v="12"/>
  </r>
  <r>
    <x v="2"/>
    <x v="11"/>
    <x v="2"/>
    <n v="7908"/>
    <n v="1686"/>
    <x v="0"/>
  </r>
  <r>
    <x v="2"/>
    <x v="11"/>
    <x v="31"/>
    <n v="27308"/>
    <n v="753"/>
    <x v="10"/>
  </r>
  <r>
    <x v="2"/>
    <x v="11"/>
    <x v="43"/>
    <n v="4442"/>
    <n v="279"/>
    <x v="20"/>
  </r>
  <r>
    <x v="2"/>
    <x v="11"/>
    <x v="54"/>
    <n v="80441"/>
    <n v="4168"/>
    <x v="10"/>
  </r>
  <r>
    <x v="2"/>
    <x v="11"/>
    <x v="24"/>
    <n v="101"/>
    <n v="10"/>
    <x v="8"/>
  </r>
  <r>
    <x v="2"/>
    <x v="11"/>
    <x v="13"/>
    <n v="5378"/>
    <n v="413"/>
    <x v="19"/>
  </r>
  <r>
    <x v="2"/>
    <x v="12"/>
    <x v="20"/>
    <n v="18"/>
    <n v="18"/>
    <x v="14"/>
  </r>
  <r>
    <x v="2"/>
    <x v="12"/>
    <x v="26"/>
    <n v="524"/>
    <n v="82"/>
    <x v="25"/>
  </r>
  <r>
    <x v="2"/>
    <x v="12"/>
    <x v="9"/>
    <n v="108"/>
    <n v="3"/>
    <x v="5"/>
  </r>
  <r>
    <x v="2"/>
    <x v="12"/>
    <x v="16"/>
    <n v="1"/>
    <n v="0"/>
    <x v="16"/>
  </r>
  <r>
    <x v="2"/>
    <x v="12"/>
    <x v="16"/>
    <n v="2120"/>
    <n v="111"/>
    <x v="24"/>
  </r>
  <r>
    <x v="2"/>
    <x v="12"/>
    <x v="11"/>
    <n v="7429"/>
    <n v="1736"/>
    <x v="25"/>
  </r>
  <r>
    <x v="2"/>
    <x v="12"/>
    <x v="35"/>
    <n v="23750"/>
    <n v="618"/>
    <x v="10"/>
  </r>
  <r>
    <x v="2"/>
    <x v="12"/>
    <x v="12"/>
    <n v="5"/>
    <n v="5"/>
    <x v="10"/>
  </r>
  <r>
    <x v="2"/>
    <x v="13"/>
    <x v="20"/>
    <n v="8"/>
    <n v="0"/>
    <x v="4"/>
  </r>
  <r>
    <x v="2"/>
    <x v="13"/>
    <x v="17"/>
    <n v="0"/>
    <n v="0"/>
    <x v="8"/>
  </r>
  <r>
    <x v="2"/>
    <x v="6"/>
    <x v="0"/>
    <n v="8"/>
    <n v="8"/>
    <x v="4"/>
  </r>
  <r>
    <x v="2"/>
    <x v="6"/>
    <x v="1"/>
    <n v="5371"/>
    <n v="583"/>
    <x v="2"/>
  </r>
  <r>
    <x v="2"/>
    <x v="6"/>
    <x v="55"/>
    <n v="6518"/>
    <n v="580"/>
    <x v="4"/>
  </r>
  <r>
    <x v="2"/>
    <x v="6"/>
    <x v="14"/>
    <n v="10671"/>
    <n v="221"/>
    <x v="22"/>
  </r>
  <r>
    <x v="2"/>
    <x v="6"/>
    <x v="20"/>
    <n v="35"/>
    <n v="35"/>
    <x v="14"/>
  </r>
  <r>
    <x v="2"/>
    <x v="6"/>
    <x v="65"/>
    <n v="2528"/>
    <n v="146"/>
    <x v="4"/>
  </r>
  <r>
    <x v="2"/>
    <x v="6"/>
    <x v="45"/>
    <n v="7214"/>
    <n v="1076"/>
    <x v="4"/>
  </r>
  <r>
    <x v="2"/>
    <x v="6"/>
    <x v="46"/>
    <n v="15199"/>
    <n v="796"/>
    <x v="4"/>
  </r>
  <r>
    <x v="2"/>
    <x v="6"/>
    <x v="26"/>
    <n v="4475"/>
    <n v="683"/>
    <x v="25"/>
  </r>
  <r>
    <x v="2"/>
    <x v="6"/>
    <x v="28"/>
    <n v="3421"/>
    <n v="537"/>
    <x v="24"/>
  </r>
  <r>
    <x v="2"/>
    <x v="6"/>
    <x v="11"/>
    <n v="53"/>
    <n v="2"/>
    <x v="12"/>
  </r>
  <r>
    <x v="2"/>
    <x v="6"/>
    <x v="11"/>
    <n v="5079"/>
    <n v="1302"/>
    <x v="25"/>
  </r>
  <r>
    <x v="2"/>
    <x v="6"/>
    <x v="47"/>
    <n v="87002"/>
    <n v="8744"/>
    <x v="10"/>
  </r>
  <r>
    <x v="2"/>
    <x v="7"/>
    <x v="0"/>
    <n v="0"/>
    <n v="0"/>
    <x v="3"/>
  </r>
  <r>
    <x v="2"/>
    <x v="7"/>
    <x v="3"/>
    <n v="182"/>
    <n v="45"/>
    <x v="1"/>
  </r>
  <r>
    <x v="2"/>
    <x v="7"/>
    <x v="25"/>
    <n v="54736"/>
    <n v="6212"/>
    <x v="4"/>
  </r>
  <r>
    <x v="2"/>
    <x v="7"/>
    <x v="25"/>
    <n v="700"/>
    <n v="121"/>
    <x v="22"/>
  </r>
  <r>
    <x v="2"/>
    <x v="7"/>
    <x v="6"/>
    <n v="2559"/>
    <n v="380"/>
    <x v="4"/>
  </r>
  <r>
    <x v="2"/>
    <x v="7"/>
    <x v="6"/>
    <n v="51"/>
    <n v="6"/>
    <x v="22"/>
  </r>
  <r>
    <x v="2"/>
    <x v="7"/>
    <x v="59"/>
    <n v="2951"/>
    <n v="207"/>
    <x v="4"/>
  </r>
  <r>
    <x v="2"/>
    <x v="7"/>
    <x v="56"/>
    <n v="261"/>
    <n v="67"/>
    <x v="4"/>
  </r>
  <r>
    <x v="2"/>
    <x v="7"/>
    <x v="52"/>
    <n v="22139"/>
    <n v="2544"/>
    <x v="4"/>
  </r>
  <r>
    <x v="2"/>
    <x v="7"/>
    <x v="62"/>
    <n v="2531"/>
    <n v="252"/>
    <x v="4"/>
  </r>
  <r>
    <x v="2"/>
    <x v="7"/>
    <x v="26"/>
    <n v="12329"/>
    <n v="1563"/>
    <x v="13"/>
  </r>
  <r>
    <x v="2"/>
    <x v="7"/>
    <x v="9"/>
    <n v="344"/>
    <n v="28"/>
    <x v="5"/>
  </r>
  <r>
    <x v="2"/>
    <x v="7"/>
    <x v="16"/>
    <n v="13575"/>
    <n v="1033"/>
    <x v="24"/>
  </r>
  <r>
    <x v="2"/>
    <x v="7"/>
    <x v="11"/>
    <n v="142"/>
    <n v="27"/>
    <x v="29"/>
  </r>
  <r>
    <x v="2"/>
    <x v="7"/>
    <x v="2"/>
    <n v="3618"/>
    <n v="619"/>
    <x v="2"/>
  </r>
  <r>
    <x v="2"/>
    <x v="7"/>
    <x v="51"/>
    <n v="5"/>
    <n v="5"/>
    <x v="10"/>
  </r>
  <r>
    <x v="2"/>
    <x v="0"/>
    <x v="0"/>
    <n v="0"/>
    <n v="0"/>
    <x v="12"/>
  </r>
  <r>
    <x v="2"/>
    <x v="0"/>
    <x v="0"/>
    <n v="0"/>
    <n v="0"/>
    <x v="9"/>
  </r>
  <r>
    <x v="2"/>
    <x v="0"/>
    <x v="0"/>
    <n v="0"/>
    <n v="0"/>
    <x v="10"/>
  </r>
  <r>
    <x v="2"/>
    <x v="0"/>
    <x v="61"/>
    <n v="12226"/>
    <n v="1118"/>
    <x v="3"/>
  </r>
  <r>
    <x v="2"/>
    <x v="0"/>
    <x v="61"/>
    <n v="1"/>
    <n v="1"/>
    <x v="18"/>
  </r>
  <r>
    <x v="2"/>
    <x v="0"/>
    <x v="3"/>
    <n v="16695"/>
    <n v="2595"/>
    <x v="9"/>
  </r>
  <r>
    <x v="2"/>
    <x v="0"/>
    <x v="48"/>
    <n v="37126"/>
    <n v="1357"/>
    <x v="4"/>
  </r>
  <r>
    <x v="2"/>
    <x v="0"/>
    <x v="4"/>
    <n v="16186"/>
    <n v="720"/>
    <x v="4"/>
  </r>
  <r>
    <x v="2"/>
    <x v="0"/>
    <x v="14"/>
    <n v="11994"/>
    <n v="917"/>
    <x v="4"/>
  </r>
  <r>
    <x v="2"/>
    <x v="0"/>
    <x v="7"/>
    <n v="44041"/>
    <n v="3882"/>
    <x v="4"/>
  </r>
  <r>
    <x v="2"/>
    <x v="0"/>
    <x v="26"/>
    <n v="5925"/>
    <n v="509"/>
    <x v="15"/>
  </r>
  <r>
    <x v="2"/>
    <x v="0"/>
    <x v="34"/>
    <n v="29234"/>
    <n v="2127"/>
    <x v="4"/>
  </r>
  <r>
    <x v="2"/>
    <x v="0"/>
    <x v="11"/>
    <n v="744"/>
    <n v="109"/>
    <x v="6"/>
  </r>
  <r>
    <x v="2"/>
    <x v="0"/>
    <x v="11"/>
    <n v="211"/>
    <n v="17"/>
    <x v="26"/>
  </r>
  <r>
    <x v="2"/>
    <x v="0"/>
    <x v="2"/>
    <n v="566"/>
    <n v="108"/>
    <x v="8"/>
  </r>
  <r>
    <x v="2"/>
    <x v="0"/>
    <x v="2"/>
    <n v="1292"/>
    <n v="307"/>
    <x v="19"/>
  </r>
  <r>
    <x v="2"/>
    <x v="0"/>
    <x v="2"/>
    <n v="4598"/>
    <n v="916"/>
    <x v="9"/>
  </r>
  <r>
    <x v="2"/>
    <x v="0"/>
    <x v="2"/>
    <n v="135"/>
    <n v="28"/>
    <x v="0"/>
  </r>
  <r>
    <x v="2"/>
    <x v="0"/>
    <x v="17"/>
    <n v="12361"/>
    <n v="1754"/>
    <x v="8"/>
  </r>
  <r>
    <x v="2"/>
    <x v="0"/>
    <x v="18"/>
    <n v="19787"/>
    <n v="1069"/>
    <x v="10"/>
  </r>
  <r>
    <x v="2"/>
    <x v="0"/>
    <x v="43"/>
    <n v="100772"/>
    <n v="6564"/>
    <x v="10"/>
  </r>
  <r>
    <x v="2"/>
    <x v="0"/>
    <x v="44"/>
    <n v="39853"/>
    <n v="3304"/>
    <x v="10"/>
  </r>
  <r>
    <x v="2"/>
    <x v="0"/>
    <x v="54"/>
    <n v="83818"/>
    <n v="4325"/>
    <x v="10"/>
  </r>
  <r>
    <x v="2"/>
    <x v="0"/>
    <x v="13"/>
    <n v="12051"/>
    <n v="1370"/>
    <x v="17"/>
  </r>
  <r>
    <x v="2"/>
    <x v="1"/>
    <x v="0"/>
    <n v="0"/>
    <n v="0"/>
    <x v="27"/>
  </r>
  <r>
    <x v="2"/>
    <x v="1"/>
    <x v="55"/>
    <n v="13736"/>
    <n v="882"/>
    <x v="4"/>
  </r>
  <r>
    <x v="2"/>
    <x v="1"/>
    <x v="14"/>
    <n v="22146"/>
    <n v="485"/>
    <x v="22"/>
  </r>
  <r>
    <x v="2"/>
    <x v="1"/>
    <x v="20"/>
    <n v="27"/>
    <n v="27"/>
    <x v="14"/>
  </r>
  <r>
    <x v="2"/>
    <x v="1"/>
    <x v="65"/>
    <n v="10955"/>
    <n v="601"/>
    <x v="4"/>
  </r>
  <r>
    <x v="2"/>
    <x v="1"/>
    <x v="46"/>
    <n v="20219"/>
    <n v="799"/>
    <x v="4"/>
  </r>
  <r>
    <x v="2"/>
    <x v="1"/>
    <x v="26"/>
    <n v="9701"/>
    <n v="1285"/>
    <x v="25"/>
  </r>
  <r>
    <x v="2"/>
    <x v="1"/>
    <x v="28"/>
    <n v="3205"/>
    <n v="312"/>
    <x v="24"/>
  </r>
  <r>
    <x v="2"/>
    <x v="1"/>
    <x v="28"/>
    <n v="27654"/>
    <n v="2813"/>
    <x v="7"/>
  </r>
  <r>
    <x v="2"/>
    <x v="1"/>
    <x v="16"/>
    <n v="2178"/>
    <n v="226"/>
    <x v="16"/>
  </r>
  <r>
    <x v="2"/>
    <x v="1"/>
    <x v="11"/>
    <n v="86"/>
    <n v="15"/>
    <x v="12"/>
  </r>
  <r>
    <x v="2"/>
    <x v="1"/>
    <x v="11"/>
    <n v="6196"/>
    <n v="2144"/>
    <x v="25"/>
  </r>
  <r>
    <x v="2"/>
    <x v="1"/>
    <x v="2"/>
    <n v="96"/>
    <n v="22"/>
    <x v="15"/>
  </r>
  <r>
    <x v="2"/>
    <x v="1"/>
    <x v="47"/>
    <n v="91661"/>
    <n v="9952"/>
    <x v="10"/>
  </r>
  <r>
    <x v="2"/>
    <x v="1"/>
    <x v="36"/>
    <n v="1081"/>
    <n v="212"/>
    <x v="8"/>
  </r>
  <r>
    <x v="2"/>
    <x v="5"/>
    <x v="0"/>
    <n v="0"/>
    <n v="0"/>
    <x v="17"/>
  </r>
  <r>
    <x v="2"/>
    <x v="5"/>
    <x v="0"/>
    <n v="0"/>
    <n v="0"/>
    <x v="3"/>
  </r>
  <r>
    <x v="2"/>
    <x v="5"/>
    <x v="0"/>
    <n v="0"/>
    <n v="0"/>
    <x v="11"/>
  </r>
  <r>
    <x v="2"/>
    <x v="5"/>
    <x v="3"/>
    <n v="154"/>
    <n v="26"/>
    <x v="1"/>
  </r>
  <r>
    <x v="2"/>
    <x v="5"/>
    <x v="25"/>
    <n v="68615"/>
    <n v="7106"/>
    <x v="4"/>
  </r>
  <r>
    <x v="2"/>
    <x v="5"/>
    <x v="25"/>
    <n v="963"/>
    <n v="186"/>
    <x v="22"/>
  </r>
  <r>
    <x v="2"/>
    <x v="5"/>
    <x v="59"/>
    <n v="2891"/>
    <n v="207"/>
    <x v="4"/>
  </r>
  <r>
    <x v="2"/>
    <x v="5"/>
    <x v="56"/>
    <n v="195"/>
    <n v="44"/>
    <x v="4"/>
  </r>
  <r>
    <x v="2"/>
    <x v="5"/>
    <x v="52"/>
    <n v="36606"/>
    <n v="3820"/>
    <x v="4"/>
  </r>
  <r>
    <x v="2"/>
    <x v="5"/>
    <x v="21"/>
    <n v="10925"/>
    <n v="1287"/>
    <x v="4"/>
  </r>
  <r>
    <x v="2"/>
    <x v="5"/>
    <x v="62"/>
    <n v="589"/>
    <n v="127"/>
    <x v="4"/>
  </r>
  <r>
    <x v="2"/>
    <x v="5"/>
    <x v="11"/>
    <n v="146"/>
    <n v="33"/>
    <x v="23"/>
  </r>
  <r>
    <x v="2"/>
    <x v="5"/>
    <x v="11"/>
    <n v="131"/>
    <n v="22"/>
    <x v="29"/>
  </r>
  <r>
    <x v="2"/>
    <x v="5"/>
    <x v="11"/>
    <n v="898"/>
    <n v="112"/>
    <x v="13"/>
  </r>
  <r>
    <x v="2"/>
    <x v="5"/>
    <x v="2"/>
    <n v="3068"/>
    <n v="623"/>
    <x v="2"/>
  </r>
  <r>
    <x v="2"/>
    <x v="5"/>
    <x v="51"/>
    <n v="5"/>
    <n v="5"/>
    <x v="10"/>
  </r>
  <r>
    <x v="2"/>
    <x v="5"/>
    <x v="24"/>
    <n v="5894"/>
    <n v="645"/>
    <x v="16"/>
  </r>
  <r>
    <x v="2"/>
    <x v="8"/>
    <x v="0"/>
    <n v="0"/>
    <n v="0"/>
    <x v="21"/>
  </r>
  <r>
    <x v="2"/>
    <x v="8"/>
    <x v="0"/>
    <n v="0"/>
    <n v="0"/>
    <x v="12"/>
  </r>
  <r>
    <x v="2"/>
    <x v="8"/>
    <x v="4"/>
    <n v="17005"/>
    <n v="725"/>
    <x v="4"/>
  </r>
  <r>
    <x v="2"/>
    <x v="8"/>
    <x v="39"/>
    <n v="78386"/>
    <n v="6186"/>
    <x v="4"/>
  </r>
  <r>
    <x v="2"/>
    <x v="8"/>
    <x v="7"/>
    <n v="41829"/>
    <n v="4447"/>
    <x v="4"/>
  </r>
  <r>
    <x v="2"/>
    <x v="8"/>
    <x v="26"/>
    <n v="6569"/>
    <n v="597"/>
    <x v="15"/>
  </r>
  <r>
    <x v="2"/>
    <x v="8"/>
    <x v="34"/>
    <n v="20091"/>
    <n v="1569"/>
    <x v="4"/>
  </r>
  <r>
    <x v="2"/>
    <x v="8"/>
    <x v="22"/>
    <n v="7399"/>
    <n v="1153"/>
    <x v="19"/>
  </r>
  <r>
    <x v="2"/>
    <x v="8"/>
    <x v="40"/>
    <n v="7256"/>
    <n v="49"/>
    <x v="21"/>
  </r>
  <r>
    <x v="2"/>
    <x v="8"/>
    <x v="11"/>
    <n v="785"/>
    <n v="100"/>
    <x v="6"/>
  </r>
  <r>
    <x v="2"/>
    <x v="8"/>
    <x v="11"/>
    <n v="312"/>
    <n v="77"/>
    <x v="26"/>
  </r>
  <r>
    <x v="2"/>
    <x v="8"/>
    <x v="2"/>
    <n v="471"/>
    <n v="63"/>
    <x v="8"/>
  </r>
  <r>
    <x v="2"/>
    <x v="8"/>
    <x v="2"/>
    <n v="953"/>
    <n v="228"/>
    <x v="19"/>
  </r>
  <r>
    <x v="2"/>
    <x v="8"/>
    <x v="2"/>
    <n v="439"/>
    <n v="92"/>
    <x v="12"/>
  </r>
  <r>
    <x v="2"/>
    <x v="8"/>
    <x v="2"/>
    <n v="5000"/>
    <n v="884"/>
    <x v="9"/>
  </r>
  <r>
    <x v="2"/>
    <x v="8"/>
    <x v="2"/>
    <n v="7755"/>
    <n v="1903"/>
    <x v="0"/>
  </r>
  <r>
    <x v="2"/>
    <x v="8"/>
    <x v="18"/>
    <n v="19642"/>
    <n v="1062"/>
    <x v="10"/>
  </r>
  <r>
    <x v="2"/>
    <x v="8"/>
    <x v="43"/>
    <n v="97378"/>
    <n v="6400"/>
    <x v="10"/>
  </r>
  <r>
    <x v="2"/>
    <x v="8"/>
    <x v="44"/>
    <n v="86015"/>
    <n v="4988"/>
    <x v="10"/>
  </r>
  <r>
    <x v="2"/>
    <x v="8"/>
    <x v="54"/>
    <n v="88542"/>
    <n v="4064"/>
    <x v="10"/>
  </r>
  <r>
    <x v="2"/>
    <x v="8"/>
    <x v="13"/>
    <n v="12400"/>
    <n v="1273"/>
    <x v="17"/>
  </r>
  <r>
    <x v="2"/>
    <x v="8"/>
    <x v="13"/>
    <n v="929"/>
    <n v="174"/>
    <x v="11"/>
  </r>
  <r>
    <x v="2"/>
    <x v="9"/>
    <x v="0"/>
    <n v="0"/>
    <n v="0"/>
    <x v="27"/>
  </r>
  <r>
    <x v="2"/>
    <x v="9"/>
    <x v="0"/>
    <n v="0"/>
    <n v="0"/>
    <x v="13"/>
  </r>
  <r>
    <x v="2"/>
    <x v="9"/>
    <x v="3"/>
    <n v="624"/>
    <n v="74"/>
    <x v="0"/>
  </r>
  <r>
    <x v="2"/>
    <x v="9"/>
    <x v="55"/>
    <n v="8564"/>
    <n v="520"/>
    <x v="4"/>
  </r>
  <r>
    <x v="2"/>
    <x v="9"/>
    <x v="46"/>
    <n v="10949"/>
    <n v="429"/>
    <x v="4"/>
  </r>
  <r>
    <x v="2"/>
    <x v="9"/>
    <x v="28"/>
    <n v="8499"/>
    <n v="2625"/>
    <x v="24"/>
  </r>
  <r>
    <x v="2"/>
    <x v="9"/>
    <x v="28"/>
    <n v="21785"/>
    <n v="2167"/>
    <x v="7"/>
  </r>
  <r>
    <x v="2"/>
    <x v="9"/>
    <x v="27"/>
    <n v="3893"/>
    <n v="516"/>
    <x v="29"/>
  </r>
  <r>
    <x v="2"/>
    <x v="9"/>
    <x v="16"/>
    <n v="2330"/>
    <n v="135"/>
    <x v="16"/>
  </r>
  <r>
    <x v="2"/>
    <x v="9"/>
    <x v="11"/>
    <n v="6365"/>
    <n v="2103"/>
    <x v="25"/>
  </r>
  <r>
    <x v="2"/>
    <x v="9"/>
    <x v="2"/>
    <n v="39"/>
    <n v="9"/>
    <x v="15"/>
  </r>
  <r>
    <x v="2"/>
    <x v="9"/>
    <x v="47"/>
    <n v="94373"/>
    <n v="6968"/>
    <x v="10"/>
  </r>
  <r>
    <x v="2"/>
    <x v="9"/>
    <x v="36"/>
    <n v="1060"/>
    <n v="204"/>
    <x v="8"/>
  </r>
  <r>
    <x v="2"/>
    <x v="3"/>
    <x v="0"/>
    <n v="0"/>
    <n v="0"/>
    <x v="17"/>
  </r>
  <r>
    <x v="2"/>
    <x v="3"/>
    <x v="0"/>
    <n v="0"/>
    <n v="0"/>
    <x v="3"/>
  </r>
  <r>
    <x v="2"/>
    <x v="3"/>
    <x v="0"/>
    <n v="0"/>
    <n v="0"/>
    <x v="11"/>
  </r>
  <r>
    <x v="2"/>
    <x v="3"/>
    <x v="1"/>
    <n v="13564"/>
    <n v="1871"/>
    <x v="13"/>
  </r>
  <r>
    <x v="2"/>
    <x v="3"/>
    <x v="3"/>
    <n v="115"/>
    <n v="19"/>
    <x v="1"/>
  </r>
  <r>
    <x v="2"/>
    <x v="3"/>
    <x v="59"/>
    <n v="3352"/>
    <n v="164"/>
    <x v="4"/>
  </r>
  <r>
    <x v="2"/>
    <x v="3"/>
    <x v="56"/>
    <n v="152"/>
    <n v="27"/>
    <x v="4"/>
  </r>
  <r>
    <x v="2"/>
    <x v="3"/>
    <x v="21"/>
    <n v="15249"/>
    <n v="1500"/>
    <x v="4"/>
  </r>
  <r>
    <x v="2"/>
    <x v="3"/>
    <x v="62"/>
    <n v="332"/>
    <n v="53"/>
    <x v="4"/>
  </r>
  <r>
    <x v="2"/>
    <x v="3"/>
    <x v="11"/>
    <n v="168"/>
    <n v="43"/>
    <x v="23"/>
  </r>
  <r>
    <x v="2"/>
    <x v="3"/>
    <x v="11"/>
    <n v="856"/>
    <n v="105"/>
    <x v="13"/>
  </r>
  <r>
    <x v="2"/>
    <x v="3"/>
    <x v="2"/>
    <n v="4179"/>
    <n v="674"/>
    <x v="2"/>
  </r>
  <r>
    <x v="2"/>
    <x v="3"/>
    <x v="24"/>
    <n v="8132"/>
    <n v="767"/>
    <x v="16"/>
  </r>
  <r>
    <x v="2"/>
    <x v="3"/>
    <x v="13"/>
    <n v="1068"/>
    <n v="126"/>
    <x v="13"/>
  </r>
  <r>
    <x v="2"/>
    <x v="2"/>
    <x v="0"/>
    <n v="0"/>
    <n v="0"/>
    <x v="21"/>
  </r>
  <r>
    <x v="2"/>
    <x v="2"/>
    <x v="3"/>
    <n v="12226"/>
    <n v="1865"/>
    <x v="3"/>
  </r>
  <r>
    <x v="2"/>
    <x v="2"/>
    <x v="4"/>
    <n v="8655"/>
    <n v="324"/>
    <x v="4"/>
  </r>
  <r>
    <x v="2"/>
    <x v="2"/>
    <x v="39"/>
    <n v="76613"/>
    <n v="5815"/>
    <x v="4"/>
  </r>
  <r>
    <x v="2"/>
    <x v="2"/>
    <x v="7"/>
    <n v="39168"/>
    <n v="4100"/>
    <x v="4"/>
  </r>
  <r>
    <x v="2"/>
    <x v="2"/>
    <x v="26"/>
    <n v="4600"/>
    <n v="488"/>
    <x v="15"/>
  </r>
  <r>
    <x v="2"/>
    <x v="2"/>
    <x v="34"/>
    <n v="18998"/>
    <n v="1305"/>
    <x v="4"/>
  </r>
  <r>
    <x v="2"/>
    <x v="2"/>
    <x v="22"/>
    <n v="12192"/>
    <n v="1669"/>
    <x v="19"/>
  </r>
  <r>
    <x v="2"/>
    <x v="2"/>
    <x v="40"/>
    <n v="21378"/>
    <n v="141"/>
    <x v="21"/>
  </r>
  <r>
    <x v="2"/>
    <x v="2"/>
    <x v="10"/>
    <n v="18725"/>
    <n v="460"/>
    <x v="6"/>
  </r>
  <r>
    <x v="2"/>
    <x v="2"/>
    <x v="11"/>
    <n v="373"/>
    <n v="106"/>
    <x v="26"/>
  </r>
  <r>
    <x v="2"/>
    <x v="2"/>
    <x v="2"/>
    <n v="338"/>
    <n v="48"/>
    <x v="8"/>
  </r>
  <r>
    <x v="2"/>
    <x v="2"/>
    <x v="2"/>
    <n v="1053"/>
    <n v="205"/>
    <x v="19"/>
  </r>
  <r>
    <x v="2"/>
    <x v="2"/>
    <x v="2"/>
    <n v="448"/>
    <n v="86"/>
    <x v="12"/>
  </r>
  <r>
    <x v="2"/>
    <x v="2"/>
    <x v="2"/>
    <n v="3940"/>
    <n v="743"/>
    <x v="9"/>
  </r>
  <r>
    <x v="2"/>
    <x v="2"/>
    <x v="2"/>
    <n v="9122"/>
    <n v="2077"/>
    <x v="0"/>
  </r>
  <r>
    <x v="2"/>
    <x v="2"/>
    <x v="13"/>
    <n v="9041"/>
    <n v="856"/>
    <x v="17"/>
  </r>
  <r>
    <x v="2"/>
    <x v="2"/>
    <x v="13"/>
    <n v="807"/>
    <n v="139"/>
    <x v="11"/>
  </r>
  <r>
    <x v="2"/>
    <x v="4"/>
    <x v="0"/>
    <n v="0"/>
    <n v="0"/>
    <x v="27"/>
  </r>
  <r>
    <x v="2"/>
    <x v="4"/>
    <x v="0"/>
    <n v="0"/>
    <n v="0"/>
    <x v="13"/>
  </r>
  <r>
    <x v="2"/>
    <x v="4"/>
    <x v="3"/>
    <n v="447"/>
    <n v="54"/>
    <x v="0"/>
  </r>
  <r>
    <x v="2"/>
    <x v="4"/>
    <x v="41"/>
    <n v="35368"/>
    <n v="2486"/>
    <x v="4"/>
  </r>
  <r>
    <x v="2"/>
    <x v="4"/>
    <x v="14"/>
    <n v="11160"/>
    <n v="378"/>
    <x v="22"/>
  </r>
  <r>
    <x v="2"/>
    <x v="4"/>
    <x v="15"/>
    <n v="57730"/>
    <n v="2921"/>
    <x v="4"/>
  </r>
  <r>
    <x v="2"/>
    <x v="4"/>
    <x v="28"/>
    <n v="3289"/>
    <n v="349"/>
    <x v="24"/>
  </r>
  <r>
    <x v="2"/>
    <x v="4"/>
    <x v="28"/>
    <n v="14447"/>
    <n v="1839"/>
    <x v="7"/>
  </r>
  <r>
    <x v="2"/>
    <x v="4"/>
    <x v="27"/>
    <n v="3161"/>
    <n v="467"/>
    <x v="29"/>
  </r>
  <r>
    <x v="2"/>
    <x v="4"/>
    <x v="16"/>
    <n v="8046"/>
    <n v="1018"/>
    <x v="2"/>
  </r>
  <r>
    <x v="2"/>
    <x v="4"/>
    <x v="2"/>
    <n v="32"/>
    <n v="12"/>
    <x v="15"/>
  </r>
  <r>
    <x v="2"/>
    <x v="4"/>
    <x v="47"/>
    <n v="98306"/>
    <n v="6294"/>
    <x v="10"/>
  </r>
  <r>
    <x v="2"/>
    <x v="4"/>
    <x v="36"/>
    <n v="1045"/>
    <n v="252"/>
    <x v="8"/>
  </r>
  <r>
    <x v="2"/>
    <x v="10"/>
    <x v="0"/>
    <n v="0"/>
    <n v="0"/>
    <x v="17"/>
  </r>
  <r>
    <x v="2"/>
    <x v="10"/>
    <x v="0"/>
    <n v="0"/>
    <n v="0"/>
    <x v="3"/>
  </r>
  <r>
    <x v="2"/>
    <x v="10"/>
    <x v="0"/>
    <n v="0"/>
    <n v="0"/>
    <x v="11"/>
  </r>
  <r>
    <x v="2"/>
    <x v="10"/>
    <x v="0"/>
    <n v="0"/>
    <n v="0"/>
    <x v="1"/>
  </r>
  <r>
    <x v="2"/>
    <x v="10"/>
    <x v="1"/>
    <n v="6360"/>
    <n v="1273"/>
    <x v="13"/>
  </r>
  <r>
    <x v="2"/>
    <x v="10"/>
    <x v="61"/>
    <n v="6382"/>
    <n v="309"/>
    <x v="2"/>
  </r>
  <r>
    <x v="2"/>
    <x v="10"/>
    <x v="19"/>
    <n v="28807"/>
    <n v="1009"/>
    <x v="4"/>
  </r>
  <r>
    <x v="2"/>
    <x v="10"/>
    <x v="59"/>
    <n v="1784"/>
    <n v="121"/>
    <x v="4"/>
  </r>
  <r>
    <x v="2"/>
    <x v="10"/>
    <x v="9"/>
    <n v="2741"/>
    <n v="206"/>
    <x v="12"/>
  </r>
  <r>
    <x v="2"/>
    <x v="10"/>
    <x v="9"/>
    <n v="18375"/>
    <n v="2607"/>
    <x v="2"/>
  </r>
  <r>
    <x v="2"/>
    <x v="10"/>
    <x v="16"/>
    <n v="6372"/>
    <n v="629"/>
    <x v="8"/>
  </r>
  <r>
    <x v="2"/>
    <x v="10"/>
    <x v="22"/>
    <n v="7119"/>
    <n v="1179"/>
    <x v="12"/>
  </r>
  <r>
    <x v="2"/>
    <x v="10"/>
    <x v="11"/>
    <n v="133"/>
    <n v="33"/>
    <x v="23"/>
  </r>
  <r>
    <x v="2"/>
    <x v="10"/>
    <x v="11"/>
    <n v="192"/>
    <n v="47"/>
    <x v="13"/>
  </r>
  <r>
    <x v="2"/>
    <x v="10"/>
    <x v="24"/>
    <n v="467"/>
    <n v="31"/>
    <x v="16"/>
  </r>
  <r>
    <x v="2"/>
    <x v="10"/>
    <x v="13"/>
    <n v="1003"/>
    <n v="144"/>
    <x v="13"/>
  </r>
  <r>
    <x v="2"/>
    <x v="11"/>
    <x v="0"/>
    <n v="0"/>
    <n v="0"/>
    <x v="21"/>
  </r>
  <r>
    <x v="2"/>
    <x v="11"/>
    <x v="3"/>
    <n v="6613"/>
    <n v="1183"/>
    <x v="3"/>
  </r>
  <r>
    <x v="2"/>
    <x v="11"/>
    <x v="39"/>
    <n v="68681"/>
    <n v="3827"/>
    <x v="4"/>
  </r>
  <r>
    <x v="2"/>
    <x v="11"/>
    <x v="7"/>
    <n v="21585"/>
    <n v="1788"/>
    <x v="4"/>
  </r>
  <r>
    <x v="2"/>
    <x v="11"/>
    <x v="8"/>
    <n v="15"/>
    <n v="0"/>
    <x v="4"/>
  </r>
  <r>
    <x v="2"/>
    <x v="11"/>
    <x v="22"/>
    <n v="11545"/>
    <n v="1418"/>
    <x v="19"/>
  </r>
  <r>
    <x v="2"/>
    <x v="11"/>
    <x v="40"/>
    <n v="13815"/>
    <n v="134"/>
    <x v="21"/>
  </r>
  <r>
    <x v="2"/>
    <x v="11"/>
    <x v="11"/>
    <n v="2"/>
    <n v="0"/>
    <x v="26"/>
  </r>
  <r>
    <x v="2"/>
    <x v="11"/>
    <x v="2"/>
    <n v="323"/>
    <n v="33"/>
    <x v="8"/>
  </r>
  <r>
    <x v="2"/>
    <x v="11"/>
    <x v="2"/>
    <n v="307"/>
    <n v="55"/>
    <x v="12"/>
  </r>
  <r>
    <x v="2"/>
    <x v="11"/>
    <x v="2"/>
    <n v="2868"/>
    <n v="433"/>
    <x v="9"/>
  </r>
  <r>
    <x v="2"/>
    <x v="11"/>
    <x v="53"/>
    <n v="73769"/>
    <n v="3387"/>
    <x v="10"/>
  </r>
  <r>
    <x v="2"/>
    <x v="11"/>
    <x v="13"/>
    <n v="7324"/>
    <n v="637"/>
    <x v="17"/>
  </r>
  <r>
    <x v="2"/>
    <x v="11"/>
    <x v="13"/>
    <n v="407"/>
    <n v="59"/>
    <x v="11"/>
  </r>
  <r>
    <x v="2"/>
    <x v="12"/>
    <x v="0"/>
    <n v="0"/>
    <n v="0"/>
    <x v="13"/>
  </r>
  <r>
    <x v="2"/>
    <x v="12"/>
    <x v="3"/>
    <n v="1"/>
    <n v="0"/>
    <x v="0"/>
  </r>
  <r>
    <x v="2"/>
    <x v="12"/>
    <x v="41"/>
    <n v="5581"/>
    <n v="326"/>
    <x v="4"/>
  </r>
  <r>
    <x v="2"/>
    <x v="12"/>
    <x v="15"/>
    <n v="27833"/>
    <n v="940"/>
    <x v="4"/>
  </r>
  <r>
    <x v="2"/>
    <x v="12"/>
    <x v="27"/>
    <n v="2713"/>
    <n v="532"/>
    <x v="23"/>
  </r>
  <r>
    <x v="2"/>
    <x v="12"/>
    <x v="27"/>
    <n v="33"/>
    <n v="11"/>
    <x v="29"/>
  </r>
  <r>
    <x v="2"/>
    <x v="12"/>
    <x v="16"/>
    <n v="3590"/>
    <n v="331"/>
    <x v="2"/>
  </r>
  <r>
    <x v="2"/>
    <x v="12"/>
    <x v="36"/>
    <n v="1026"/>
    <n v="211"/>
    <x v="8"/>
  </r>
  <r>
    <x v="2"/>
    <x v="13"/>
    <x v="19"/>
    <n v="1"/>
    <n v="0"/>
    <x v="4"/>
  </r>
  <r>
    <x v="2"/>
    <x v="13"/>
    <x v="16"/>
    <n v="0"/>
    <n v="0"/>
    <x v="8"/>
  </r>
  <r>
    <x v="2"/>
    <x v="14"/>
    <x v="13"/>
    <n v="17"/>
    <n v="15"/>
    <x v="1"/>
  </r>
  <r>
    <x v="2"/>
    <x v="6"/>
    <x v="0"/>
    <n v="0"/>
    <n v="0"/>
    <x v="12"/>
  </r>
  <r>
    <x v="2"/>
    <x v="6"/>
    <x v="0"/>
    <n v="0"/>
    <n v="0"/>
    <x v="6"/>
  </r>
  <r>
    <x v="2"/>
    <x v="6"/>
    <x v="0"/>
    <n v="0"/>
    <n v="0"/>
    <x v="17"/>
  </r>
  <r>
    <x v="2"/>
    <x v="6"/>
    <x v="0"/>
    <n v="0"/>
    <n v="0"/>
    <x v="3"/>
  </r>
  <r>
    <x v="2"/>
    <x v="6"/>
    <x v="0"/>
    <n v="0"/>
    <n v="0"/>
    <x v="10"/>
  </r>
  <r>
    <x v="2"/>
    <x v="6"/>
    <x v="0"/>
    <n v="0"/>
    <n v="0"/>
    <x v="13"/>
  </r>
  <r>
    <x v="2"/>
    <x v="6"/>
    <x v="1"/>
    <n v="8216"/>
    <n v="1500"/>
    <x v="0"/>
  </r>
  <r>
    <x v="2"/>
    <x v="6"/>
    <x v="3"/>
    <n v="160"/>
    <n v="42"/>
    <x v="1"/>
  </r>
  <r>
    <x v="2"/>
    <x v="6"/>
    <x v="49"/>
    <n v="14871"/>
    <n v="3823"/>
    <x v="4"/>
  </r>
  <r>
    <x v="2"/>
    <x v="6"/>
    <x v="15"/>
    <n v="0"/>
    <n v="0"/>
    <x v="14"/>
  </r>
  <r>
    <x v="2"/>
    <x v="6"/>
    <x v="21"/>
    <n v="5178"/>
    <n v="424"/>
    <x v="4"/>
  </r>
  <r>
    <x v="2"/>
    <x v="6"/>
    <x v="16"/>
    <n v="11171"/>
    <n v="1218"/>
    <x v="2"/>
  </r>
  <r>
    <x v="2"/>
    <x v="6"/>
    <x v="11"/>
    <n v="154"/>
    <n v="30"/>
    <x v="29"/>
  </r>
  <r>
    <x v="2"/>
    <x v="6"/>
    <x v="11"/>
    <n v="827"/>
    <n v="92"/>
    <x v="6"/>
  </r>
  <r>
    <x v="2"/>
    <x v="6"/>
    <x v="2"/>
    <n v="83"/>
    <n v="19"/>
    <x v="1"/>
  </r>
  <r>
    <x v="2"/>
    <x v="6"/>
    <x v="51"/>
    <n v="2"/>
    <n v="2"/>
    <x v="10"/>
  </r>
  <r>
    <x v="2"/>
    <x v="6"/>
    <x v="18"/>
    <n v="19379"/>
    <n v="1011"/>
    <x v="10"/>
  </r>
  <r>
    <x v="2"/>
    <x v="6"/>
    <x v="24"/>
    <n v="2413"/>
    <n v="334"/>
    <x v="8"/>
  </r>
  <r>
    <x v="2"/>
    <x v="6"/>
    <x v="24"/>
    <n v="5364"/>
    <n v="884"/>
    <x v="16"/>
  </r>
  <r>
    <x v="2"/>
    <x v="7"/>
    <x v="61"/>
    <n v="7482"/>
    <n v="196"/>
    <x v="2"/>
  </r>
  <r>
    <x v="2"/>
    <x v="7"/>
    <x v="19"/>
    <n v="16361"/>
    <n v="672"/>
    <x v="4"/>
  </r>
  <r>
    <x v="2"/>
    <x v="7"/>
    <x v="41"/>
    <n v="27911"/>
    <n v="2629"/>
    <x v="4"/>
  </r>
  <r>
    <x v="2"/>
    <x v="7"/>
    <x v="20"/>
    <n v="26"/>
    <n v="26"/>
    <x v="14"/>
  </r>
  <r>
    <x v="2"/>
    <x v="7"/>
    <x v="7"/>
    <n v="48061"/>
    <n v="5128"/>
    <x v="4"/>
  </r>
  <r>
    <x v="2"/>
    <x v="7"/>
    <x v="65"/>
    <n v="17418"/>
    <n v="910"/>
    <x v="4"/>
  </r>
  <r>
    <x v="2"/>
    <x v="7"/>
    <x v="9"/>
    <n v="3647"/>
    <n v="297"/>
    <x v="19"/>
  </r>
  <r>
    <x v="2"/>
    <x v="7"/>
    <x v="22"/>
    <n v="8556"/>
    <n v="1381"/>
    <x v="12"/>
  </r>
  <r>
    <x v="2"/>
    <x v="7"/>
    <x v="2"/>
    <n v="1084"/>
    <n v="230"/>
    <x v="19"/>
  </r>
  <r>
    <x v="2"/>
    <x v="7"/>
    <x v="2"/>
    <n v="4821"/>
    <n v="955"/>
    <x v="9"/>
  </r>
  <r>
    <x v="2"/>
    <x v="7"/>
    <x v="12"/>
    <n v="20"/>
    <n v="20"/>
    <x v="10"/>
  </r>
  <r>
    <x v="2"/>
    <x v="7"/>
    <x v="43"/>
    <n v="101861"/>
    <n v="6638"/>
    <x v="10"/>
  </r>
  <r>
    <x v="2"/>
    <x v="7"/>
    <x v="44"/>
    <n v="38157"/>
    <n v="2924"/>
    <x v="10"/>
  </r>
  <r>
    <x v="2"/>
    <x v="0"/>
    <x v="0"/>
    <n v="0"/>
    <n v="0"/>
    <x v="2"/>
  </r>
  <r>
    <x v="2"/>
    <x v="0"/>
    <x v="3"/>
    <n v="9019"/>
    <n v="1772"/>
    <x v="3"/>
  </r>
  <r>
    <x v="2"/>
    <x v="0"/>
    <x v="14"/>
    <n v="29993"/>
    <n v="737"/>
    <x v="22"/>
  </r>
  <r>
    <x v="2"/>
    <x v="0"/>
    <x v="25"/>
    <n v="948"/>
    <n v="198"/>
    <x v="22"/>
  </r>
  <r>
    <x v="2"/>
    <x v="0"/>
    <x v="6"/>
    <n v="4829"/>
    <n v="335"/>
    <x v="4"/>
  </r>
  <r>
    <x v="2"/>
    <x v="0"/>
    <x v="8"/>
    <n v="861"/>
    <n v="176"/>
    <x v="4"/>
  </r>
  <r>
    <x v="2"/>
    <x v="0"/>
    <x v="46"/>
    <n v="20840"/>
    <n v="822"/>
    <x v="4"/>
  </r>
  <r>
    <x v="2"/>
    <x v="0"/>
    <x v="28"/>
    <n v="6904"/>
    <n v="800"/>
    <x v="2"/>
  </r>
  <r>
    <x v="2"/>
    <x v="0"/>
    <x v="9"/>
    <n v="6559"/>
    <n v="358"/>
    <x v="12"/>
  </r>
  <r>
    <x v="2"/>
    <x v="0"/>
    <x v="10"/>
    <n v="20062"/>
    <n v="502"/>
    <x v="6"/>
  </r>
  <r>
    <x v="2"/>
    <x v="0"/>
    <x v="2"/>
    <n v="142"/>
    <n v="42"/>
    <x v="16"/>
  </r>
  <r>
    <x v="2"/>
    <x v="0"/>
    <x v="2"/>
    <n v="295"/>
    <n v="72"/>
    <x v="24"/>
  </r>
  <r>
    <x v="2"/>
    <x v="0"/>
    <x v="2"/>
    <n v="17"/>
    <n v="4"/>
    <x v="15"/>
  </r>
  <r>
    <x v="2"/>
    <x v="0"/>
    <x v="47"/>
    <n v="90735"/>
    <n v="9046"/>
    <x v="10"/>
  </r>
  <r>
    <x v="2"/>
    <x v="0"/>
    <x v="13"/>
    <n v="883"/>
    <n v="153"/>
    <x v="11"/>
  </r>
  <r>
    <x v="2"/>
    <x v="1"/>
    <x v="0"/>
    <n v="0"/>
    <n v="0"/>
    <x v="12"/>
  </r>
  <r>
    <x v="2"/>
    <x v="1"/>
    <x v="0"/>
    <n v="0"/>
    <n v="0"/>
    <x v="6"/>
  </r>
  <r>
    <x v="2"/>
    <x v="1"/>
    <x v="0"/>
    <n v="0"/>
    <n v="0"/>
    <x v="17"/>
  </r>
  <r>
    <x v="2"/>
    <x v="1"/>
    <x v="0"/>
    <n v="0"/>
    <n v="0"/>
    <x v="3"/>
  </r>
  <r>
    <x v="2"/>
    <x v="1"/>
    <x v="0"/>
    <n v="0"/>
    <n v="0"/>
    <x v="10"/>
  </r>
  <r>
    <x v="2"/>
    <x v="1"/>
    <x v="0"/>
    <n v="0"/>
    <n v="0"/>
    <x v="13"/>
  </r>
  <r>
    <x v="2"/>
    <x v="1"/>
    <x v="3"/>
    <n v="140"/>
    <n v="32"/>
    <x v="1"/>
  </r>
  <r>
    <x v="2"/>
    <x v="1"/>
    <x v="49"/>
    <n v="14341"/>
    <n v="3987"/>
    <x v="4"/>
  </r>
  <r>
    <x v="2"/>
    <x v="1"/>
    <x v="42"/>
    <n v="0"/>
    <n v="0"/>
    <x v="18"/>
  </r>
  <r>
    <x v="2"/>
    <x v="1"/>
    <x v="21"/>
    <n v="5125"/>
    <n v="494"/>
    <x v="4"/>
  </r>
  <r>
    <x v="2"/>
    <x v="1"/>
    <x v="26"/>
    <n v="5067"/>
    <n v="507"/>
    <x v="15"/>
  </r>
  <r>
    <x v="2"/>
    <x v="1"/>
    <x v="26"/>
    <n v="1481"/>
    <n v="144"/>
    <x v="13"/>
  </r>
  <r>
    <x v="2"/>
    <x v="1"/>
    <x v="27"/>
    <n v="15647"/>
    <n v="2123"/>
    <x v="23"/>
  </r>
  <r>
    <x v="2"/>
    <x v="1"/>
    <x v="16"/>
    <n v="10181"/>
    <n v="1117"/>
    <x v="2"/>
  </r>
  <r>
    <x v="2"/>
    <x v="1"/>
    <x v="23"/>
    <n v="147"/>
    <n v="41"/>
    <x v="2"/>
  </r>
  <r>
    <x v="2"/>
    <x v="1"/>
    <x v="11"/>
    <n v="138"/>
    <n v="29"/>
    <x v="29"/>
  </r>
  <r>
    <x v="2"/>
    <x v="1"/>
    <x v="11"/>
    <n v="776"/>
    <n v="68"/>
    <x v="6"/>
  </r>
  <r>
    <x v="2"/>
    <x v="1"/>
    <x v="11"/>
    <n v="8659"/>
    <n v="2182"/>
    <x v="0"/>
  </r>
  <r>
    <x v="2"/>
    <x v="1"/>
    <x v="2"/>
    <n v="12"/>
    <n v="2"/>
    <x v="1"/>
  </r>
  <r>
    <x v="2"/>
    <x v="1"/>
    <x v="18"/>
    <n v="17719"/>
    <n v="1028"/>
    <x v="10"/>
  </r>
  <r>
    <x v="2"/>
    <x v="1"/>
    <x v="24"/>
    <n v="3080"/>
    <n v="421"/>
    <x v="8"/>
  </r>
  <r>
    <x v="2"/>
    <x v="1"/>
    <x v="24"/>
    <n v="7033"/>
    <n v="962"/>
    <x v="16"/>
  </r>
  <r>
    <x v="2"/>
    <x v="5"/>
    <x v="0"/>
    <n v="0"/>
    <n v="0"/>
    <x v="21"/>
  </r>
  <r>
    <x v="2"/>
    <x v="5"/>
    <x v="61"/>
    <n v="13949"/>
    <n v="793"/>
    <x v="2"/>
  </r>
  <r>
    <x v="2"/>
    <x v="5"/>
    <x v="19"/>
    <n v="10888"/>
    <n v="611"/>
    <x v="4"/>
  </r>
  <r>
    <x v="2"/>
    <x v="5"/>
    <x v="20"/>
    <n v="33"/>
    <n v="33"/>
    <x v="14"/>
  </r>
  <r>
    <x v="2"/>
    <x v="5"/>
    <x v="7"/>
    <n v="46833"/>
    <n v="5486"/>
    <x v="4"/>
  </r>
  <r>
    <x v="2"/>
    <x v="5"/>
    <x v="9"/>
    <n v="387"/>
    <n v="36"/>
    <x v="5"/>
  </r>
  <r>
    <x v="2"/>
    <x v="5"/>
    <x v="63"/>
    <n v="2639"/>
    <n v="140"/>
    <x v="4"/>
  </r>
  <r>
    <x v="2"/>
    <x v="5"/>
    <x v="22"/>
    <n v="3734"/>
    <n v="622"/>
    <x v="12"/>
  </r>
  <r>
    <x v="2"/>
    <x v="5"/>
    <x v="22"/>
    <n v="6904"/>
    <n v="1373"/>
    <x v="13"/>
  </r>
  <r>
    <x v="2"/>
    <x v="5"/>
    <x v="11"/>
    <n v="6767"/>
    <n v="2238"/>
    <x v="25"/>
  </r>
  <r>
    <x v="2"/>
    <x v="5"/>
    <x v="2"/>
    <n v="1105"/>
    <n v="228"/>
    <x v="19"/>
  </r>
  <r>
    <x v="2"/>
    <x v="5"/>
    <x v="2"/>
    <n v="4819"/>
    <n v="861"/>
    <x v="9"/>
  </r>
  <r>
    <x v="2"/>
    <x v="5"/>
    <x v="12"/>
    <n v="26"/>
    <n v="26"/>
    <x v="10"/>
  </r>
  <r>
    <x v="2"/>
    <x v="8"/>
    <x v="61"/>
    <n v="15579"/>
    <n v="1242"/>
    <x v="3"/>
  </r>
  <r>
    <x v="2"/>
    <x v="8"/>
    <x v="3"/>
    <n v="10730"/>
    <n v="1883"/>
    <x v="3"/>
  </r>
  <r>
    <x v="2"/>
    <x v="8"/>
    <x v="15"/>
    <n v="57208"/>
    <n v="3883"/>
    <x v="4"/>
  </r>
  <r>
    <x v="2"/>
    <x v="8"/>
    <x v="25"/>
    <n v="1009"/>
    <n v="204"/>
    <x v="22"/>
  </r>
  <r>
    <x v="2"/>
    <x v="8"/>
    <x v="6"/>
    <n v="4941"/>
    <n v="311"/>
    <x v="4"/>
  </r>
  <r>
    <x v="2"/>
    <x v="8"/>
    <x v="30"/>
    <n v="2202"/>
    <n v="74"/>
    <x v="4"/>
  </r>
  <r>
    <x v="2"/>
    <x v="8"/>
    <x v="8"/>
    <n v="508"/>
    <n v="111"/>
    <x v="4"/>
  </r>
  <r>
    <x v="2"/>
    <x v="8"/>
    <x v="10"/>
    <n v="20353"/>
    <n v="492"/>
    <x v="6"/>
  </r>
  <r>
    <x v="2"/>
    <x v="8"/>
    <x v="2"/>
    <n v="269"/>
    <n v="60"/>
    <x v="24"/>
  </r>
  <r>
    <x v="2"/>
    <x v="8"/>
    <x v="2"/>
    <n v="3626"/>
    <n v="728"/>
    <x v="2"/>
  </r>
  <r>
    <x v="2"/>
    <x v="8"/>
    <x v="2"/>
    <n v="14"/>
    <n v="6"/>
    <x v="15"/>
  </r>
  <r>
    <x v="2"/>
    <x v="8"/>
    <x v="17"/>
    <n v="13476"/>
    <n v="1587"/>
    <x v="8"/>
  </r>
  <r>
    <x v="2"/>
    <x v="8"/>
    <x v="47"/>
    <n v="95613"/>
    <n v="7853"/>
    <x v="10"/>
  </r>
  <r>
    <x v="2"/>
    <x v="9"/>
    <x v="0"/>
    <n v="0"/>
    <n v="0"/>
    <x v="12"/>
  </r>
  <r>
    <x v="2"/>
    <x v="9"/>
    <x v="0"/>
    <n v="0"/>
    <n v="0"/>
    <x v="17"/>
  </r>
  <r>
    <x v="2"/>
    <x v="9"/>
    <x v="0"/>
    <n v="0"/>
    <n v="0"/>
    <x v="3"/>
  </r>
  <r>
    <x v="2"/>
    <x v="9"/>
    <x v="0"/>
    <n v="0"/>
    <n v="0"/>
    <x v="10"/>
  </r>
  <r>
    <x v="2"/>
    <x v="9"/>
    <x v="33"/>
    <n v="353"/>
    <n v="68"/>
    <x v="4"/>
  </r>
  <r>
    <x v="2"/>
    <x v="9"/>
    <x v="21"/>
    <n v="16444"/>
    <n v="1489"/>
    <x v="4"/>
  </r>
  <r>
    <x v="2"/>
    <x v="9"/>
    <x v="26"/>
    <n v="7950"/>
    <n v="685"/>
    <x v="15"/>
  </r>
  <r>
    <x v="2"/>
    <x v="9"/>
    <x v="27"/>
    <n v="17080"/>
    <n v="2282"/>
    <x v="23"/>
  </r>
  <r>
    <x v="2"/>
    <x v="9"/>
    <x v="16"/>
    <n v="11175"/>
    <n v="1230"/>
    <x v="2"/>
  </r>
  <r>
    <x v="2"/>
    <x v="9"/>
    <x v="34"/>
    <n v="23196"/>
    <n v="1459"/>
    <x v="4"/>
  </r>
  <r>
    <x v="2"/>
    <x v="9"/>
    <x v="23"/>
    <n v="46"/>
    <n v="13"/>
    <x v="2"/>
  </r>
  <r>
    <x v="2"/>
    <x v="9"/>
    <x v="11"/>
    <n v="813"/>
    <n v="111"/>
    <x v="6"/>
  </r>
  <r>
    <x v="2"/>
    <x v="9"/>
    <x v="11"/>
    <n v="262"/>
    <n v="58"/>
    <x v="26"/>
  </r>
  <r>
    <x v="2"/>
    <x v="9"/>
    <x v="18"/>
    <n v="20298"/>
    <n v="1053"/>
    <x v="10"/>
  </r>
  <r>
    <x v="2"/>
    <x v="9"/>
    <x v="24"/>
    <n v="2589"/>
    <n v="315"/>
    <x v="8"/>
  </r>
  <r>
    <x v="2"/>
    <x v="9"/>
    <x v="24"/>
    <n v="7545"/>
    <n v="788"/>
    <x v="16"/>
  </r>
  <r>
    <x v="2"/>
    <x v="9"/>
    <x v="13"/>
    <n v="4624"/>
    <n v="350"/>
    <x v="19"/>
  </r>
  <r>
    <x v="2"/>
    <x v="3"/>
    <x v="0"/>
    <n v="0"/>
    <n v="0"/>
    <x v="21"/>
  </r>
  <r>
    <x v="2"/>
    <x v="3"/>
    <x v="0"/>
    <n v="0"/>
    <n v="0"/>
    <x v="0"/>
  </r>
  <r>
    <x v="2"/>
    <x v="3"/>
    <x v="61"/>
    <n v="15173"/>
    <n v="692"/>
    <x v="2"/>
  </r>
  <r>
    <x v="2"/>
    <x v="3"/>
    <x v="19"/>
    <n v="5569"/>
    <n v="242"/>
    <x v="4"/>
  </r>
  <r>
    <x v="2"/>
    <x v="3"/>
    <x v="20"/>
    <n v="40"/>
    <n v="40"/>
    <x v="14"/>
  </r>
  <r>
    <x v="2"/>
    <x v="3"/>
    <x v="7"/>
    <n v="41160"/>
    <n v="3972"/>
    <x v="4"/>
  </r>
  <r>
    <x v="2"/>
    <x v="3"/>
    <x v="9"/>
    <n v="470"/>
    <n v="48"/>
    <x v="5"/>
  </r>
  <r>
    <x v="2"/>
    <x v="3"/>
    <x v="63"/>
    <n v="16327"/>
    <n v="806"/>
    <x v="4"/>
  </r>
  <r>
    <x v="2"/>
    <x v="3"/>
    <x v="22"/>
    <n v="9439"/>
    <n v="1686"/>
    <x v="12"/>
  </r>
  <r>
    <x v="2"/>
    <x v="3"/>
    <x v="23"/>
    <n v="30"/>
    <n v="22"/>
    <x v="24"/>
  </r>
  <r>
    <x v="2"/>
    <x v="3"/>
    <x v="11"/>
    <n v="7650"/>
    <n v="2228"/>
    <x v="25"/>
  </r>
  <r>
    <x v="2"/>
    <x v="3"/>
    <x v="2"/>
    <n v="4507"/>
    <n v="775"/>
    <x v="9"/>
  </r>
  <r>
    <x v="2"/>
    <x v="3"/>
    <x v="2"/>
    <n v="1"/>
    <n v="1"/>
    <x v="18"/>
  </r>
  <r>
    <x v="2"/>
    <x v="3"/>
    <x v="12"/>
    <n v="11"/>
    <n v="11"/>
    <x v="10"/>
  </r>
  <r>
    <x v="2"/>
    <x v="3"/>
    <x v="13"/>
    <n v="8184"/>
    <n v="782"/>
    <x v="2"/>
  </r>
  <r>
    <x v="2"/>
    <x v="2"/>
    <x v="0"/>
    <n v="0"/>
    <n v="0"/>
    <x v="20"/>
  </r>
  <r>
    <x v="2"/>
    <x v="2"/>
    <x v="0"/>
    <n v="0"/>
    <n v="0"/>
    <x v="11"/>
  </r>
  <r>
    <x v="2"/>
    <x v="2"/>
    <x v="61"/>
    <n v="15884"/>
    <n v="1229"/>
    <x v="3"/>
  </r>
  <r>
    <x v="2"/>
    <x v="2"/>
    <x v="38"/>
    <n v="17347"/>
    <n v="1209"/>
    <x v="4"/>
  </r>
  <r>
    <x v="2"/>
    <x v="2"/>
    <x v="14"/>
    <n v="11144"/>
    <n v="451"/>
    <x v="4"/>
  </r>
  <r>
    <x v="2"/>
    <x v="2"/>
    <x v="15"/>
    <n v="54762"/>
    <n v="2902"/>
    <x v="4"/>
  </r>
  <r>
    <x v="2"/>
    <x v="2"/>
    <x v="25"/>
    <n v="950"/>
    <n v="198"/>
    <x v="22"/>
  </r>
  <r>
    <x v="2"/>
    <x v="2"/>
    <x v="30"/>
    <n v="2272"/>
    <n v="67"/>
    <x v="4"/>
  </r>
  <r>
    <x v="2"/>
    <x v="2"/>
    <x v="8"/>
    <n v="381"/>
    <n v="78"/>
    <x v="4"/>
  </r>
  <r>
    <x v="2"/>
    <x v="2"/>
    <x v="11"/>
    <n v="156"/>
    <n v="33"/>
    <x v="23"/>
  </r>
  <r>
    <x v="2"/>
    <x v="2"/>
    <x v="2"/>
    <n v="4756"/>
    <n v="735"/>
    <x v="2"/>
  </r>
  <r>
    <x v="2"/>
    <x v="2"/>
    <x v="17"/>
    <n v="12913"/>
    <n v="1392"/>
    <x v="8"/>
  </r>
  <r>
    <x v="2"/>
    <x v="2"/>
    <x v="17"/>
    <n v="10857"/>
    <n v="950"/>
    <x v="16"/>
  </r>
  <r>
    <x v="2"/>
    <x v="2"/>
    <x v="13"/>
    <n v="956"/>
    <n v="121"/>
    <x v="13"/>
  </r>
  <r>
    <x v="2"/>
    <x v="4"/>
    <x v="0"/>
    <n v="0"/>
    <n v="0"/>
    <x v="12"/>
  </r>
  <r>
    <x v="2"/>
    <x v="4"/>
    <x v="0"/>
    <n v="0"/>
    <n v="0"/>
    <x v="17"/>
  </r>
  <r>
    <x v="2"/>
    <x v="4"/>
    <x v="33"/>
    <n v="326"/>
    <n v="55"/>
    <x v="4"/>
  </r>
  <r>
    <x v="2"/>
    <x v="4"/>
    <x v="26"/>
    <n v="1846"/>
    <n v="216"/>
    <x v="15"/>
  </r>
  <r>
    <x v="2"/>
    <x v="4"/>
    <x v="27"/>
    <n v="14292"/>
    <n v="2418"/>
    <x v="23"/>
  </r>
  <r>
    <x v="2"/>
    <x v="4"/>
    <x v="34"/>
    <n v="16499"/>
    <n v="1105"/>
    <x v="4"/>
  </r>
  <r>
    <x v="2"/>
    <x v="4"/>
    <x v="40"/>
    <n v="18829"/>
    <n v="139"/>
    <x v="21"/>
  </r>
  <r>
    <x v="2"/>
    <x v="4"/>
    <x v="11"/>
    <n v="204"/>
    <n v="19"/>
    <x v="6"/>
  </r>
  <r>
    <x v="2"/>
    <x v="4"/>
    <x v="11"/>
    <n v="336"/>
    <n v="94"/>
    <x v="26"/>
  </r>
  <r>
    <x v="2"/>
    <x v="4"/>
    <x v="2"/>
    <n v="426"/>
    <n v="80"/>
    <x v="12"/>
  </r>
  <r>
    <x v="2"/>
    <x v="4"/>
    <x v="2"/>
    <n v="346"/>
    <n v="102"/>
    <x v="3"/>
  </r>
  <r>
    <x v="2"/>
    <x v="4"/>
    <x v="24"/>
    <n v="2951"/>
    <n v="193"/>
    <x v="16"/>
  </r>
  <r>
    <x v="2"/>
    <x v="10"/>
    <x v="0"/>
    <n v="0"/>
    <n v="0"/>
    <x v="0"/>
  </r>
  <r>
    <x v="2"/>
    <x v="10"/>
    <x v="1"/>
    <n v="3438"/>
    <n v="781"/>
    <x v="3"/>
  </r>
  <r>
    <x v="2"/>
    <x v="10"/>
    <x v="50"/>
    <n v="429"/>
    <n v="8"/>
    <x v="27"/>
  </r>
  <r>
    <x v="2"/>
    <x v="10"/>
    <x v="9"/>
    <n v="217"/>
    <n v="12"/>
    <x v="5"/>
  </r>
  <r>
    <x v="2"/>
    <x v="10"/>
    <x v="63"/>
    <n v="446"/>
    <n v="15"/>
    <x v="4"/>
  </r>
  <r>
    <x v="2"/>
    <x v="10"/>
    <x v="23"/>
    <n v="1"/>
    <n v="0"/>
    <x v="24"/>
  </r>
  <r>
    <x v="2"/>
    <x v="10"/>
    <x v="11"/>
    <n v="10992"/>
    <n v="2540"/>
    <x v="25"/>
  </r>
  <r>
    <x v="2"/>
    <x v="10"/>
    <x v="31"/>
    <n v="30849"/>
    <n v="1012"/>
    <x v="10"/>
  </r>
  <r>
    <x v="2"/>
    <x v="10"/>
    <x v="13"/>
    <n v="6093"/>
    <n v="618"/>
    <x v="2"/>
  </r>
  <r>
    <x v="2"/>
    <x v="11"/>
    <x v="0"/>
    <n v="0"/>
    <n v="0"/>
    <x v="20"/>
  </r>
  <r>
    <x v="2"/>
    <x v="11"/>
    <x v="0"/>
    <n v="0"/>
    <n v="0"/>
    <x v="11"/>
  </r>
  <r>
    <x v="2"/>
    <x v="11"/>
    <x v="38"/>
    <n v="53377"/>
    <n v="2163"/>
    <x v="4"/>
  </r>
  <r>
    <x v="2"/>
    <x v="11"/>
    <x v="14"/>
    <n v="3361"/>
    <n v="202"/>
    <x v="4"/>
  </r>
  <r>
    <x v="2"/>
    <x v="11"/>
    <x v="15"/>
    <n v="60131"/>
    <n v="2340"/>
    <x v="4"/>
  </r>
  <r>
    <x v="2"/>
    <x v="11"/>
    <x v="30"/>
    <n v="1402"/>
    <n v="34"/>
    <x v="4"/>
  </r>
  <r>
    <x v="2"/>
    <x v="11"/>
    <x v="11"/>
    <n v="112"/>
    <n v="16"/>
    <x v="23"/>
  </r>
  <r>
    <x v="2"/>
    <x v="11"/>
    <x v="2"/>
    <n v="4684"/>
    <n v="461"/>
    <x v="2"/>
  </r>
  <r>
    <x v="2"/>
    <x v="11"/>
    <x v="17"/>
    <n v="1574"/>
    <n v="275"/>
    <x v="8"/>
  </r>
  <r>
    <x v="2"/>
    <x v="11"/>
    <x v="17"/>
    <n v="26"/>
    <n v="2"/>
    <x v="16"/>
  </r>
  <r>
    <x v="2"/>
    <x v="11"/>
    <x v="35"/>
    <n v="46819"/>
    <n v="1025"/>
    <x v="10"/>
  </r>
  <r>
    <x v="2"/>
    <x v="11"/>
    <x v="13"/>
    <n v="1237"/>
    <n v="181"/>
    <x v="13"/>
  </r>
  <r>
    <x v="2"/>
    <x v="12"/>
    <x v="52"/>
    <n v="4529"/>
    <n v="359"/>
    <x v="4"/>
  </r>
  <r>
    <x v="2"/>
    <x v="12"/>
    <x v="33"/>
    <n v="68"/>
    <n v="25"/>
    <x v="4"/>
  </r>
  <r>
    <x v="2"/>
    <x v="12"/>
    <x v="28"/>
    <n v="4834"/>
    <n v="574"/>
    <x v="7"/>
  </r>
  <r>
    <x v="2"/>
    <x v="12"/>
    <x v="40"/>
    <n v="5"/>
    <n v="0"/>
    <x v="21"/>
  </r>
  <r>
    <x v="2"/>
    <x v="12"/>
    <x v="2"/>
    <n v="241"/>
    <n v="20"/>
    <x v="12"/>
  </r>
  <r>
    <x v="2"/>
    <x v="12"/>
    <x v="2"/>
    <n v="18"/>
    <n v="4"/>
    <x v="17"/>
  </r>
  <r>
    <x v="2"/>
    <x v="12"/>
    <x v="2"/>
    <n v="141"/>
    <n v="18"/>
    <x v="3"/>
  </r>
  <r>
    <x v="2"/>
    <x v="12"/>
    <x v="53"/>
    <n v="43143"/>
    <n v="1997"/>
    <x v="10"/>
  </r>
  <r>
    <x v="2"/>
    <x v="12"/>
    <x v="29"/>
    <n v="59241"/>
    <n v="2797"/>
    <x v="10"/>
  </r>
  <r>
    <x v="2"/>
    <x v="13"/>
    <x v="48"/>
    <n v="3"/>
    <n v="0"/>
    <x v="4"/>
  </r>
  <r>
    <x v="2"/>
    <x v="14"/>
    <x v="0"/>
    <n v="0"/>
    <n v="0"/>
    <x v="1"/>
  </r>
  <r>
    <x v="2"/>
    <x v="6"/>
    <x v="1"/>
    <n v="107"/>
    <n v="12"/>
    <x v="30"/>
  </r>
  <r>
    <x v="2"/>
    <x v="6"/>
    <x v="1"/>
    <n v="2163"/>
    <n v="541"/>
    <x v="1"/>
  </r>
  <r>
    <x v="2"/>
    <x v="6"/>
    <x v="39"/>
    <n v="81964"/>
    <n v="8679"/>
    <x v="4"/>
  </r>
  <r>
    <x v="2"/>
    <x v="6"/>
    <x v="33"/>
    <n v="641"/>
    <n v="203"/>
    <x v="4"/>
  </r>
  <r>
    <x v="2"/>
    <x v="6"/>
    <x v="26"/>
    <n v="4023"/>
    <n v="563"/>
    <x v="15"/>
  </r>
  <r>
    <x v="2"/>
    <x v="6"/>
    <x v="27"/>
    <n v="14967"/>
    <n v="2222"/>
    <x v="23"/>
  </r>
  <r>
    <x v="2"/>
    <x v="6"/>
    <x v="16"/>
    <n v="8705"/>
    <n v="591"/>
    <x v="24"/>
  </r>
  <r>
    <x v="2"/>
    <x v="6"/>
    <x v="34"/>
    <n v="12331"/>
    <n v="961"/>
    <x v="4"/>
  </r>
  <r>
    <x v="2"/>
    <x v="6"/>
    <x v="22"/>
    <n v="12720"/>
    <n v="1640"/>
    <x v="19"/>
  </r>
  <r>
    <x v="2"/>
    <x v="6"/>
    <x v="2"/>
    <n v="331"/>
    <n v="60"/>
    <x v="12"/>
  </r>
  <r>
    <x v="2"/>
    <x v="6"/>
    <x v="35"/>
    <n v="64399"/>
    <n v="2249"/>
    <x v="10"/>
  </r>
  <r>
    <x v="2"/>
    <x v="6"/>
    <x v="13"/>
    <n v="13874"/>
    <n v="1315"/>
    <x v="17"/>
  </r>
  <r>
    <x v="2"/>
    <x v="7"/>
    <x v="0"/>
    <n v="0"/>
    <n v="0"/>
    <x v="19"/>
  </r>
  <r>
    <x v="2"/>
    <x v="7"/>
    <x v="0"/>
    <n v="0"/>
    <n v="0"/>
    <x v="9"/>
  </r>
  <r>
    <x v="2"/>
    <x v="7"/>
    <x v="0"/>
    <n v="0"/>
    <n v="0"/>
    <x v="27"/>
  </r>
  <r>
    <x v="2"/>
    <x v="7"/>
    <x v="0"/>
    <n v="0"/>
    <n v="0"/>
    <x v="0"/>
  </r>
  <r>
    <x v="2"/>
    <x v="7"/>
    <x v="1"/>
    <n v="450"/>
    <n v="83"/>
    <x v="3"/>
  </r>
  <r>
    <x v="2"/>
    <x v="7"/>
    <x v="3"/>
    <n v="17631"/>
    <n v="2907"/>
    <x v="9"/>
  </r>
  <r>
    <x v="2"/>
    <x v="7"/>
    <x v="3"/>
    <n v="637"/>
    <n v="99"/>
    <x v="0"/>
  </r>
  <r>
    <x v="2"/>
    <x v="7"/>
    <x v="48"/>
    <n v="34878"/>
    <n v="1503"/>
    <x v="4"/>
  </r>
  <r>
    <x v="2"/>
    <x v="7"/>
    <x v="20"/>
    <n v="39314"/>
    <n v="1890"/>
    <x v="4"/>
  </r>
  <r>
    <x v="2"/>
    <x v="7"/>
    <x v="50"/>
    <n v="31497"/>
    <n v="766"/>
    <x v="27"/>
  </r>
  <r>
    <x v="2"/>
    <x v="7"/>
    <x v="28"/>
    <n v="6960"/>
    <n v="2034"/>
    <x v="24"/>
  </r>
  <r>
    <x v="2"/>
    <x v="7"/>
    <x v="28"/>
    <n v="20670"/>
    <n v="2274"/>
    <x v="7"/>
  </r>
  <r>
    <x v="2"/>
    <x v="7"/>
    <x v="27"/>
    <n v="3017"/>
    <n v="482"/>
    <x v="29"/>
  </r>
  <r>
    <x v="2"/>
    <x v="7"/>
    <x v="23"/>
    <n v="43"/>
    <n v="27"/>
    <x v="24"/>
  </r>
  <r>
    <x v="2"/>
    <x v="7"/>
    <x v="23"/>
    <n v="19"/>
    <n v="1"/>
    <x v="30"/>
  </r>
  <r>
    <x v="2"/>
    <x v="7"/>
    <x v="11"/>
    <n v="4619"/>
    <n v="1566"/>
    <x v="25"/>
  </r>
  <r>
    <x v="2"/>
    <x v="7"/>
    <x v="2"/>
    <n v="8927"/>
    <n v="854"/>
    <x v="17"/>
  </r>
  <r>
    <x v="2"/>
    <x v="7"/>
    <x v="29"/>
    <n v="102716"/>
    <n v="9568"/>
    <x v="10"/>
  </r>
  <r>
    <x v="2"/>
    <x v="7"/>
    <x v="13"/>
    <n v="7116"/>
    <n v="679"/>
    <x v="2"/>
  </r>
  <r>
    <x v="2"/>
    <x v="0"/>
    <x v="0"/>
    <n v="7"/>
    <n v="7"/>
    <x v="4"/>
  </r>
  <r>
    <x v="2"/>
    <x v="0"/>
    <x v="0"/>
    <n v="0"/>
    <n v="0"/>
    <x v="11"/>
  </r>
  <r>
    <x v="2"/>
    <x v="0"/>
    <x v="0"/>
    <n v="0"/>
    <n v="0"/>
    <x v="1"/>
  </r>
  <r>
    <x v="2"/>
    <x v="0"/>
    <x v="37"/>
    <n v="7376"/>
    <n v="242"/>
    <x v="28"/>
  </r>
  <r>
    <x v="2"/>
    <x v="0"/>
    <x v="38"/>
    <n v="32788"/>
    <n v="2806"/>
    <x v="4"/>
  </r>
  <r>
    <x v="2"/>
    <x v="0"/>
    <x v="30"/>
    <n v="2241"/>
    <n v="83"/>
    <x v="4"/>
  </r>
  <r>
    <x v="2"/>
    <x v="0"/>
    <x v="26"/>
    <n v="7904"/>
    <n v="958"/>
    <x v="25"/>
  </r>
  <r>
    <x v="2"/>
    <x v="0"/>
    <x v="9"/>
    <n v="24595"/>
    <n v="3503"/>
    <x v="2"/>
  </r>
  <r>
    <x v="2"/>
    <x v="0"/>
    <x v="16"/>
    <n v="9100"/>
    <n v="1089"/>
    <x v="8"/>
  </r>
  <r>
    <x v="2"/>
    <x v="0"/>
    <x v="11"/>
    <n v="157"/>
    <n v="43"/>
    <x v="23"/>
  </r>
  <r>
    <x v="2"/>
    <x v="0"/>
    <x v="11"/>
    <n v="94"/>
    <n v="8"/>
    <x v="12"/>
  </r>
  <r>
    <x v="2"/>
    <x v="0"/>
    <x v="11"/>
    <n v="1207"/>
    <n v="161"/>
    <x v="13"/>
  </r>
  <r>
    <x v="2"/>
    <x v="0"/>
    <x v="2"/>
    <n v="3118"/>
    <n v="578"/>
    <x v="2"/>
  </r>
  <r>
    <x v="2"/>
    <x v="0"/>
    <x v="31"/>
    <n v="50654"/>
    <n v="2517"/>
    <x v="10"/>
  </r>
  <r>
    <x v="2"/>
    <x v="0"/>
    <x v="13"/>
    <n v="1254"/>
    <n v="187"/>
    <x v="13"/>
  </r>
  <r>
    <x v="2"/>
    <x v="1"/>
    <x v="39"/>
    <n v="70235"/>
    <n v="5463"/>
    <x v="4"/>
  </r>
  <r>
    <x v="2"/>
    <x v="1"/>
    <x v="25"/>
    <n v="48853"/>
    <n v="5203"/>
    <x v="4"/>
  </r>
  <r>
    <x v="2"/>
    <x v="1"/>
    <x v="6"/>
    <n v="59"/>
    <n v="10"/>
    <x v="22"/>
  </r>
  <r>
    <x v="2"/>
    <x v="1"/>
    <x v="52"/>
    <n v="48196"/>
    <n v="4429"/>
    <x v="4"/>
  </r>
  <r>
    <x v="2"/>
    <x v="1"/>
    <x v="33"/>
    <n v="340"/>
    <n v="93"/>
    <x v="4"/>
  </r>
  <r>
    <x v="2"/>
    <x v="1"/>
    <x v="16"/>
    <n v="17627"/>
    <n v="1436"/>
    <x v="24"/>
  </r>
  <r>
    <x v="2"/>
    <x v="1"/>
    <x v="34"/>
    <n v="30799"/>
    <n v="2221"/>
    <x v="4"/>
  </r>
  <r>
    <x v="2"/>
    <x v="1"/>
    <x v="22"/>
    <n v="7804"/>
    <n v="1266"/>
    <x v="19"/>
  </r>
  <r>
    <x v="2"/>
    <x v="1"/>
    <x v="40"/>
    <n v="3457"/>
    <n v="160"/>
    <x v="21"/>
  </r>
  <r>
    <x v="2"/>
    <x v="1"/>
    <x v="11"/>
    <n v="401"/>
    <n v="115"/>
    <x v="26"/>
  </r>
  <r>
    <x v="2"/>
    <x v="1"/>
    <x v="2"/>
    <n v="606"/>
    <n v="118"/>
    <x v="12"/>
  </r>
  <r>
    <x v="2"/>
    <x v="1"/>
    <x v="53"/>
    <n v="65701"/>
    <n v="6460"/>
    <x v="10"/>
  </r>
  <r>
    <x v="2"/>
    <x v="1"/>
    <x v="51"/>
    <n v="10"/>
    <n v="10"/>
    <x v="10"/>
  </r>
  <r>
    <x v="2"/>
    <x v="1"/>
    <x v="13"/>
    <n v="14168"/>
    <n v="1656"/>
    <x v="17"/>
  </r>
  <r>
    <x v="2"/>
    <x v="5"/>
    <x v="0"/>
    <n v="0"/>
    <n v="0"/>
    <x v="19"/>
  </r>
  <r>
    <x v="2"/>
    <x v="5"/>
    <x v="0"/>
    <n v="0"/>
    <n v="0"/>
    <x v="9"/>
  </r>
  <r>
    <x v="2"/>
    <x v="5"/>
    <x v="0"/>
    <n v="0"/>
    <n v="0"/>
    <x v="27"/>
  </r>
  <r>
    <x v="2"/>
    <x v="5"/>
    <x v="0"/>
    <n v="0"/>
    <n v="0"/>
    <x v="0"/>
  </r>
  <r>
    <x v="2"/>
    <x v="5"/>
    <x v="3"/>
    <n v="17619"/>
    <n v="2276"/>
    <x v="9"/>
  </r>
  <r>
    <x v="2"/>
    <x v="5"/>
    <x v="3"/>
    <n v="620"/>
    <n v="76"/>
    <x v="0"/>
  </r>
  <r>
    <x v="2"/>
    <x v="5"/>
    <x v="48"/>
    <n v="36093"/>
    <n v="1348"/>
    <x v="4"/>
  </r>
  <r>
    <x v="2"/>
    <x v="5"/>
    <x v="41"/>
    <n v="39486"/>
    <n v="3276"/>
    <x v="4"/>
  </r>
  <r>
    <x v="2"/>
    <x v="5"/>
    <x v="20"/>
    <n v="38903"/>
    <n v="2220"/>
    <x v="4"/>
  </r>
  <r>
    <x v="2"/>
    <x v="5"/>
    <x v="50"/>
    <n v="35566"/>
    <n v="915"/>
    <x v="27"/>
  </r>
  <r>
    <x v="2"/>
    <x v="5"/>
    <x v="28"/>
    <n v="25290"/>
    <n v="2709"/>
    <x v="7"/>
  </r>
  <r>
    <x v="2"/>
    <x v="5"/>
    <x v="27"/>
    <n v="3318"/>
    <n v="491"/>
    <x v="29"/>
  </r>
  <r>
    <x v="2"/>
    <x v="5"/>
    <x v="27"/>
    <n v="8011"/>
    <n v="749"/>
    <x v="19"/>
  </r>
  <r>
    <x v="2"/>
    <x v="5"/>
    <x v="23"/>
    <n v="26"/>
    <n v="9"/>
    <x v="24"/>
  </r>
  <r>
    <x v="2"/>
    <x v="5"/>
    <x v="43"/>
    <n v="101849"/>
    <n v="6853"/>
    <x v="10"/>
  </r>
  <r>
    <x v="2"/>
    <x v="5"/>
    <x v="44"/>
    <n v="80849"/>
    <n v="4862"/>
    <x v="10"/>
  </r>
  <r>
    <x v="2"/>
    <x v="5"/>
    <x v="54"/>
    <n v="80428"/>
    <n v="4277"/>
    <x v="10"/>
  </r>
  <r>
    <x v="2"/>
    <x v="5"/>
    <x v="36"/>
    <n v="996"/>
    <n v="211"/>
    <x v="8"/>
  </r>
  <r>
    <x v="2"/>
    <x v="5"/>
    <x v="36"/>
    <n v="733"/>
    <n v="151"/>
    <x v="16"/>
  </r>
  <r>
    <x v="2"/>
    <x v="5"/>
    <x v="13"/>
    <n v="7805"/>
    <n v="840"/>
    <x v="2"/>
  </r>
  <r>
    <x v="2"/>
    <x v="8"/>
    <x v="0"/>
    <n v="8"/>
    <n v="8"/>
    <x v="4"/>
  </r>
  <r>
    <x v="2"/>
    <x v="8"/>
    <x v="0"/>
    <n v="0"/>
    <n v="0"/>
    <x v="11"/>
  </r>
  <r>
    <x v="2"/>
    <x v="8"/>
    <x v="0"/>
    <n v="0"/>
    <n v="0"/>
    <x v="1"/>
  </r>
  <r>
    <x v="2"/>
    <x v="8"/>
    <x v="37"/>
    <n v="8528"/>
    <n v="284"/>
    <x v="28"/>
  </r>
  <r>
    <x v="2"/>
    <x v="8"/>
    <x v="1"/>
    <n v="10412"/>
    <n v="1673"/>
    <x v="13"/>
  </r>
  <r>
    <x v="2"/>
    <x v="8"/>
    <x v="19"/>
    <n v="4545"/>
    <n v="117"/>
    <x v="22"/>
  </r>
  <r>
    <x v="2"/>
    <x v="8"/>
    <x v="55"/>
    <n v="13682"/>
    <n v="858"/>
    <x v="4"/>
  </r>
  <r>
    <x v="2"/>
    <x v="8"/>
    <x v="38"/>
    <n v="37512"/>
    <n v="3135"/>
    <x v="4"/>
  </r>
  <r>
    <x v="2"/>
    <x v="8"/>
    <x v="46"/>
    <n v="12831"/>
    <n v="597"/>
    <x v="4"/>
  </r>
  <r>
    <x v="2"/>
    <x v="8"/>
    <x v="26"/>
    <n v="10604"/>
    <n v="1382"/>
    <x v="25"/>
  </r>
  <r>
    <x v="2"/>
    <x v="8"/>
    <x v="9"/>
    <n v="6203"/>
    <n v="473"/>
    <x v="12"/>
  </r>
  <r>
    <x v="2"/>
    <x v="8"/>
    <x v="9"/>
    <n v="21755"/>
    <n v="3068"/>
    <x v="2"/>
  </r>
  <r>
    <x v="2"/>
    <x v="8"/>
    <x v="16"/>
    <n v="8802"/>
    <n v="748"/>
    <x v="8"/>
  </r>
  <r>
    <x v="2"/>
    <x v="8"/>
    <x v="16"/>
    <n v="2156"/>
    <n v="134"/>
    <x v="16"/>
  </r>
  <r>
    <x v="2"/>
    <x v="8"/>
    <x v="11"/>
    <n v="149"/>
    <n v="33"/>
    <x v="23"/>
  </r>
  <r>
    <x v="2"/>
    <x v="8"/>
    <x v="11"/>
    <n v="71"/>
    <n v="13"/>
    <x v="12"/>
  </r>
  <r>
    <x v="2"/>
    <x v="8"/>
    <x v="11"/>
    <n v="697"/>
    <n v="73"/>
    <x v="13"/>
  </r>
  <r>
    <x v="2"/>
    <x v="8"/>
    <x v="13"/>
    <n v="953"/>
    <n v="126"/>
    <x v="13"/>
  </r>
  <r>
    <x v="2"/>
    <x v="9"/>
    <x v="0"/>
    <n v="0"/>
    <n v="0"/>
    <x v="6"/>
  </r>
  <r>
    <x v="2"/>
    <x v="9"/>
    <x v="3"/>
    <n v="98"/>
    <n v="16"/>
    <x v="1"/>
  </r>
  <r>
    <x v="2"/>
    <x v="9"/>
    <x v="49"/>
    <n v="13170"/>
    <n v="3531"/>
    <x v="4"/>
  </r>
  <r>
    <x v="2"/>
    <x v="9"/>
    <x v="39"/>
    <n v="74864"/>
    <n v="5843"/>
    <x v="4"/>
  </r>
  <r>
    <x v="2"/>
    <x v="9"/>
    <x v="25"/>
    <n v="62922"/>
    <n v="5895"/>
    <x v="4"/>
  </r>
  <r>
    <x v="2"/>
    <x v="9"/>
    <x v="6"/>
    <n v="142"/>
    <n v="20"/>
    <x v="22"/>
  </r>
  <r>
    <x v="2"/>
    <x v="9"/>
    <x v="56"/>
    <n v="140"/>
    <n v="30"/>
    <x v="4"/>
  </r>
  <r>
    <x v="2"/>
    <x v="9"/>
    <x v="52"/>
    <n v="34825"/>
    <n v="3634"/>
    <x v="4"/>
  </r>
  <r>
    <x v="2"/>
    <x v="9"/>
    <x v="42"/>
    <n v="36697"/>
    <n v="1521"/>
    <x v="22"/>
  </r>
  <r>
    <x v="2"/>
    <x v="9"/>
    <x v="57"/>
    <n v="55344"/>
    <n v="7377"/>
    <x v="4"/>
  </r>
  <r>
    <x v="2"/>
    <x v="9"/>
    <x v="62"/>
    <n v="419"/>
    <n v="86"/>
    <x v="4"/>
  </r>
  <r>
    <x v="2"/>
    <x v="9"/>
    <x v="16"/>
    <n v="13993"/>
    <n v="1084"/>
    <x v="24"/>
  </r>
  <r>
    <x v="2"/>
    <x v="9"/>
    <x v="22"/>
    <n v="9243"/>
    <n v="1273"/>
    <x v="19"/>
  </r>
  <r>
    <x v="2"/>
    <x v="9"/>
    <x v="40"/>
    <n v="14054"/>
    <n v="102"/>
    <x v="21"/>
  </r>
  <r>
    <x v="2"/>
    <x v="9"/>
    <x v="11"/>
    <n v="139"/>
    <n v="24"/>
    <x v="29"/>
  </r>
  <r>
    <x v="2"/>
    <x v="9"/>
    <x v="2"/>
    <n v="478"/>
    <n v="80"/>
    <x v="12"/>
  </r>
  <r>
    <x v="2"/>
    <x v="9"/>
    <x v="53"/>
    <n v="74909"/>
    <n v="5307"/>
    <x v="10"/>
  </r>
  <r>
    <x v="2"/>
    <x v="9"/>
    <x v="51"/>
    <n v="6"/>
    <n v="6"/>
    <x v="10"/>
  </r>
  <r>
    <x v="2"/>
    <x v="3"/>
    <x v="0"/>
    <n v="0"/>
    <n v="0"/>
    <x v="9"/>
  </r>
  <r>
    <x v="2"/>
    <x v="3"/>
    <x v="3"/>
    <n v="21367"/>
    <n v="2637"/>
    <x v="9"/>
  </r>
  <r>
    <x v="2"/>
    <x v="3"/>
    <x v="3"/>
    <n v="701"/>
    <n v="73"/>
    <x v="0"/>
  </r>
  <r>
    <x v="2"/>
    <x v="3"/>
    <x v="48"/>
    <n v="29004"/>
    <n v="961"/>
    <x v="4"/>
  </r>
  <r>
    <x v="2"/>
    <x v="3"/>
    <x v="41"/>
    <n v="29364"/>
    <n v="2256"/>
    <x v="4"/>
  </r>
  <r>
    <x v="2"/>
    <x v="3"/>
    <x v="50"/>
    <n v="36554"/>
    <n v="992"/>
    <x v="27"/>
  </r>
  <r>
    <x v="2"/>
    <x v="3"/>
    <x v="58"/>
    <n v="35988"/>
    <n v="4977"/>
    <x v="4"/>
  </r>
  <r>
    <x v="2"/>
    <x v="3"/>
    <x v="27"/>
    <n v="3927"/>
    <n v="575"/>
    <x v="29"/>
  </r>
  <r>
    <x v="2"/>
    <x v="3"/>
    <x v="2"/>
    <n v="1070"/>
    <n v="219"/>
    <x v="19"/>
  </r>
  <r>
    <x v="2"/>
    <x v="3"/>
    <x v="2"/>
    <n v="9454"/>
    <n v="2139"/>
    <x v="0"/>
  </r>
  <r>
    <x v="2"/>
    <x v="3"/>
    <x v="43"/>
    <n v="104537"/>
    <n v="6559"/>
    <x v="10"/>
  </r>
  <r>
    <x v="2"/>
    <x v="3"/>
    <x v="44"/>
    <n v="87315"/>
    <n v="4797"/>
    <x v="10"/>
  </r>
  <r>
    <x v="2"/>
    <x v="3"/>
    <x v="54"/>
    <n v="91599"/>
    <n v="4320"/>
    <x v="10"/>
  </r>
  <r>
    <x v="2"/>
    <x v="3"/>
    <x v="36"/>
    <n v="732"/>
    <n v="135"/>
    <x v="16"/>
  </r>
  <r>
    <x v="2"/>
    <x v="2"/>
    <x v="0"/>
    <n v="7"/>
    <n v="7"/>
    <x v="4"/>
  </r>
  <r>
    <x v="2"/>
    <x v="2"/>
    <x v="0"/>
    <n v="0"/>
    <n v="0"/>
    <x v="1"/>
  </r>
  <r>
    <x v="2"/>
    <x v="2"/>
    <x v="1"/>
    <n v="12893"/>
    <n v="1712"/>
    <x v="13"/>
  </r>
  <r>
    <x v="2"/>
    <x v="2"/>
    <x v="19"/>
    <n v="6822"/>
    <n v="189"/>
    <x v="22"/>
  </r>
  <r>
    <x v="2"/>
    <x v="2"/>
    <x v="46"/>
    <n v="4353"/>
    <n v="282"/>
    <x v="4"/>
  </r>
  <r>
    <x v="2"/>
    <x v="2"/>
    <x v="26"/>
    <n v="9917"/>
    <n v="1383"/>
    <x v="25"/>
  </r>
  <r>
    <x v="2"/>
    <x v="2"/>
    <x v="9"/>
    <n v="4629"/>
    <n v="307"/>
    <x v="12"/>
  </r>
  <r>
    <x v="2"/>
    <x v="2"/>
    <x v="9"/>
    <n v="17957"/>
    <n v="2796"/>
    <x v="2"/>
  </r>
  <r>
    <x v="2"/>
    <x v="2"/>
    <x v="16"/>
    <n v="5204"/>
    <n v="425"/>
    <x v="8"/>
  </r>
  <r>
    <x v="2"/>
    <x v="2"/>
    <x v="16"/>
    <n v="2517"/>
    <n v="135"/>
    <x v="16"/>
  </r>
  <r>
    <x v="2"/>
    <x v="2"/>
    <x v="11"/>
    <n v="73"/>
    <n v="7"/>
    <x v="12"/>
  </r>
  <r>
    <x v="2"/>
    <x v="2"/>
    <x v="2"/>
    <n v="4"/>
    <n v="1"/>
    <x v="5"/>
  </r>
  <r>
    <x v="2"/>
    <x v="2"/>
    <x v="2"/>
    <n v="214"/>
    <n v="43"/>
    <x v="24"/>
  </r>
  <r>
    <x v="2"/>
    <x v="2"/>
    <x v="2"/>
    <n v="30"/>
    <n v="12"/>
    <x v="15"/>
  </r>
  <r>
    <x v="2"/>
    <x v="2"/>
    <x v="2"/>
    <n v="106"/>
    <n v="19"/>
    <x v="11"/>
  </r>
  <r>
    <x v="2"/>
    <x v="2"/>
    <x v="47"/>
    <n v="95500"/>
    <n v="6593"/>
    <x v="10"/>
  </r>
  <r>
    <x v="2"/>
    <x v="4"/>
    <x v="0"/>
    <n v="0"/>
    <n v="0"/>
    <x v="6"/>
  </r>
  <r>
    <x v="2"/>
    <x v="4"/>
    <x v="0"/>
    <n v="0"/>
    <n v="0"/>
    <x v="3"/>
  </r>
  <r>
    <x v="2"/>
    <x v="4"/>
    <x v="3"/>
    <n v="79"/>
    <n v="16"/>
    <x v="1"/>
  </r>
  <r>
    <x v="2"/>
    <x v="4"/>
    <x v="49"/>
    <n v="12172"/>
    <n v="3342"/>
    <x v="4"/>
  </r>
  <r>
    <x v="2"/>
    <x v="4"/>
    <x v="25"/>
    <n v="67775"/>
    <n v="6155"/>
    <x v="4"/>
  </r>
  <r>
    <x v="2"/>
    <x v="4"/>
    <x v="6"/>
    <n v="13"/>
    <n v="2"/>
    <x v="22"/>
  </r>
  <r>
    <x v="2"/>
    <x v="4"/>
    <x v="59"/>
    <n v="3105"/>
    <n v="171"/>
    <x v="4"/>
  </r>
  <r>
    <x v="2"/>
    <x v="4"/>
    <x v="56"/>
    <n v="138"/>
    <n v="19"/>
    <x v="4"/>
  </r>
  <r>
    <x v="2"/>
    <x v="4"/>
    <x v="52"/>
    <n v="52932"/>
    <n v="4754"/>
    <x v="4"/>
  </r>
  <r>
    <x v="2"/>
    <x v="4"/>
    <x v="42"/>
    <n v="5342"/>
    <n v="264"/>
    <x v="22"/>
  </r>
  <r>
    <x v="2"/>
    <x v="4"/>
    <x v="57"/>
    <n v="50476"/>
    <n v="6488"/>
    <x v="4"/>
  </r>
  <r>
    <x v="2"/>
    <x v="4"/>
    <x v="21"/>
    <n v="11658"/>
    <n v="1639"/>
    <x v="4"/>
  </r>
  <r>
    <x v="2"/>
    <x v="4"/>
    <x v="62"/>
    <n v="282"/>
    <n v="44"/>
    <x v="4"/>
  </r>
  <r>
    <x v="2"/>
    <x v="4"/>
    <x v="16"/>
    <n v="9968"/>
    <n v="855"/>
    <x v="24"/>
  </r>
  <r>
    <x v="2"/>
    <x v="4"/>
    <x v="63"/>
    <n v="86"/>
    <n v="2"/>
    <x v="22"/>
  </r>
  <r>
    <x v="2"/>
    <x v="4"/>
    <x v="23"/>
    <n v="119"/>
    <n v="37"/>
    <x v="2"/>
  </r>
  <r>
    <x v="2"/>
    <x v="4"/>
    <x v="11"/>
    <n v="141"/>
    <n v="18"/>
    <x v="29"/>
  </r>
  <r>
    <x v="2"/>
    <x v="4"/>
    <x v="53"/>
    <n v="80185"/>
    <n v="4980"/>
    <x v="10"/>
  </r>
  <r>
    <x v="2"/>
    <x v="4"/>
    <x v="66"/>
    <n v="430"/>
    <n v="23"/>
    <x v="10"/>
  </r>
  <r>
    <x v="2"/>
    <x v="4"/>
    <x v="51"/>
    <n v="3"/>
    <n v="3"/>
    <x v="10"/>
  </r>
  <r>
    <x v="2"/>
    <x v="4"/>
    <x v="43"/>
    <n v="4846"/>
    <n v="340"/>
    <x v="20"/>
  </r>
  <r>
    <x v="2"/>
    <x v="4"/>
    <x v="24"/>
    <n v="847"/>
    <n v="74"/>
    <x v="8"/>
  </r>
  <r>
    <x v="2"/>
    <x v="4"/>
    <x v="13"/>
    <n v="6003"/>
    <n v="417"/>
    <x v="19"/>
  </r>
  <r>
    <x v="2"/>
    <x v="10"/>
    <x v="0"/>
    <n v="0"/>
    <n v="0"/>
    <x v="21"/>
  </r>
  <r>
    <x v="2"/>
    <x v="10"/>
    <x v="0"/>
    <n v="0"/>
    <n v="0"/>
    <x v="9"/>
  </r>
  <r>
    <x v="2"/>
    <x v="10"/>
    <x v="3"/>
    <n v="14036"/>
    <n v="2416"/>
    <x v="9"/>
  </r>
  <r>
    <x v="2"/>
    <x v="10"/>
    <x v="48"/>
    <n v="17389"/>
    <n v="346"/>
    <x v="4"/>
  </r>
  <r>
    <x v="2"/>
    <x v="10"/>
    <x v="4"/>
    <n v="8917"/>
    <n v="245"/>
    <x v="4"/>
  </r>
  <r>
    <x v="2"/>
    <x v="10"/>
    <x v="41"/>
    <n v="25298"/>
    <n v="1769"/>
    <x v="4"/>
  </r>
  <r>
    <x v="2"/>
    <x v="10"/>
    <x v="5"/>
    <n v="31813"/>
    <n v="2793"/>
    <x v="4"/>
  </r>
  <r>
    <x v="2"/>
    <x v="10"/>
    <x v="7"/>
    <n v="31078"/>
    <n v="2778"/>
    <x v="4"/>
  </r>
  <r>
    <x v="2"/>
    <x v="10"/>
    <x v="58"/>
    <n v="71831"/>
    <n v="4764"/>
    <x v="4"/>
  </r>
  <r>
    <x v="2"/>
    <x v="10"/>
    <x v="11"/>
    <n v="1388"/>
    <n v="119"/>
    <x v="7"/>
  </r>
  <r>
    <x v="2"/>
    <x v="10"/>
    <x v="2"/>
    <n v="283"/>
    <n v="30"/>
    <x v="8"/>
  </r>
  <r>
    <x v="2"/>
    <x v="10"/>
    <x v="2"/>
    <n v="819"/>
    <n v="164"/>
    <x v="19"/>
  </r>
  <r>
    <x v="2"/>
    <x v="10"/>
    <x v="2"/>
    <n v="1972"/>
    <n v="331"/>
    <x v="9"/>
  </r>
  <r>
    <x v="2"/>
    <x v="10"/>
    <x v="2"/>
    <n v="9985"/>
    <n v="2434"/>
    <x v="0"/>
  </r>
  <r>
    <x v="2"/>
    <x v="10"/>
    <x v="12"/>
    <n v="10"/>
    <n v="10"/>
    <x v="10"/>
  </r>
  <r>
    <x v="2"/>
    <x v="10"/>
    <x v="43"/>
    <n v="102228"/>
    <n v="5399"/>
    <x v="10"/>
  </r>
  <r>
    <x v="2"/>
    <x v="10"/>
    <x v="44"/>
    <n v="90371"/>
    <n v="4978"/>
    <x v="10"/>
  </r>
  <r>
    <x v="2"/>
    <x v="10"/>
    <x v="54"/>
    <n v="79884"/>
    <n v="4276"/>
    <x v="10"/>
  </r>
  <r>
    <x v="2"/>
    <x v="10"/>
    <x v="13"/>
    <n v="553"/>
    <n v="74"/>
    <x v="11"/>
  </r>
  <r>
    <x v="2"/>
    <x v="11"/>
    <x v="0"/>
    <n v="0"/>
    <n v="0"/>
    <x v="1"/>
  </r>
  <r>
    <x v="2"/>
    <x v="11"/>
    <x v="1"/>
    <n v="6071"/>
    <n v="770"/>
    <x v="2"/>
  </r>
  <r>
    <x v="2"/>
    <x v="11"/>
    <x v="14"/>
    <n v="2"/>
    <n v="0"/>
    <x v="22"/>
  </r>
  <r>
    <x v="2"/>
    <x v="11"/>
    <x v="15"/>
    <n v="0"/>
    <n v="0"/>
    <x v="14"/>
  </r>
  <r>
    <x v="2"/>
    <x v="11"/>
    <x v="26"/>
    <n v="1014"/>
    <n v="165"/>
    <x v="25"/>
  </r>
  <r>
    <x v="2"/>
    <x v="11"/>
    <x v="9"/>
    <n v="1583"/>
    <n v="104"/>
    <x v="12"/>
  </r>
  <r>
    <x v="2"/>
    <x v="11"/>
    <x v="9"/>
    <n v="18932"/>
    <n v="2376"/>
    <x v="2"/>
  </r>
  <r>
    <x v="2"/>
    <x v="11"/>
    <x v="16"/>
    <n v="6555"/>
    <n v="517"/>
    <x v="8"/>
  </r>
  <r>
    <x v="2"/>
    <x v="11"/>
    <x v="16"/>
    <n v="4429"/>
    <n v="183"/>
    <x v="16"/>
  </r>
  <r>
    <x v="2"/>
    <x v="11"/>
    <x v="2"/>
    <n v="2"/>
    <n v="0"/>
    <x v="5"/>
  </r>
  <r>
    <x v="2"/>
    <x v="11"/>
    <x v="2"/>
    <n v="42"/>
    <n v="4"/>
    <x v="24"/>
  </r>
  <r>
    <x v="2"/>
    <x v="11"/>
    <x v="2"/>
    <n v="13"/>
    <n v="2"/>
    <x v="15"/>
  </r>
  <r>
    <x v="2"/>
    <x v="11"/>
    <x v="2"/>
    <n v="32"/>
    <n v="1"/>
    <x v="11"/>
  </r>
  <r>
    <x v="2"/>
    <x v="11"/>
    <x v="2"/>
    <n v="2046"/>
    <n v="533"/>
    <x v="1"/>
  </r>
  <r>
    <x v="2"/>
    <x v="11"/>
    <x v="47"/>
    <n v="98471"/>
    <n v="5209"/>
    <x v="10"/>
  </r>
  <r>
    <x v="2"/>
    <x v="12"/>
    <x v="0"/>
    <n v="0"/>
    <n v="0"/>
    <x v="17"/>
  </r>
  <r>
    <x v="2"/>
    <x v="12"/>
    <x v="0"/>
    <n v="0"/>
    <n v="0"/>
    <x v="3"/>
  </r>
  <r>
    <x v="2"/>
    <x v="12"/>
    <x v="49"/>
    <n v="1265"/>
    <n v="330"/>
    <x v="4"/>
  </r>
  <r>
    <x v="2"/>
    <x v="12"/>
    <x v="25"/>
    <n v="14263"/>
    <n v="1162"/>
    <x v="4"/>
  </r>
  <r>
    <x v="2"/>
    <x v="12"/>
    <x v="59"/>
    <n v="256"/>
    <n v="19"/>
    <x v="4"/>
  </r>
  <r>
    <x v="2"/>
    <x v="12"/>
    <x v="56"/>
    <n v="61"/>
    <n v="1"/>
    <x v="4"/>
  </r>
  <r>
    <x v="2"/>
    <x v="12"/>
    <x v="57"/>
    <n v="10662"/>
    <n v="1188"/>
    <x v="4"/>
  </r>
  <r>
    <x v="2"/>
    <x v="12"/>
    <x v="9"/>
    <n v="1006"/>
    <n v="72"/>
    <x v="19"/>
  </r>
  <r>
    <x v="2"/>
    <x v="12"/>
    <x v="11"/>
    <n v="7"/>
    <n v="1"/>
    <x v="29"/>
  </r>
  <r>
    <x v="2"/>
    <x v="12"/>
    <x v="51"/>
    <n v="2"/>
    <n v="2"/>
    <x v="10"/>
  </r>
  <r>
    <x v="2"/>
    <x v="12"/>
    <x v="43"/>
    <n v="2684"/>
    <n v="166"/>
    <x v="20"/>
  </r>
  <r>
    <x v="2"/>
    <x v="12"/>
    <x v="13"/>
    <n v="3366"/>
    <n v="228"/>
    <x v="19"/>
  </r>
  <r>
    <x v="2"/>
    <x v="13"/>
    <x v="58"/>
    <n v="2"/>
    <n v="0"/>
    <x v="4"/>
  </r>
  <r>
    <x v="3"/>
    <x v="6"/>
    <x v="0"/>
    <n v="0"/>
    <n v="0"/>
    <x v="2"/>
  </r>
  <r>
    <x v="3"/>
    <x v="6"/>
    <x v="4"/>
    <n v="24104"/>
    <n v="1276"/>
    <x v="4"/>
  </r>
  <r>
    <x v="3"/>
    <x v="6"/>
    <x v="41"/>
    <n v="38613"/>
    <n v="3405"/>
    <x v="4"/>
  </r>
  <r>
    <x v="3"/>
    <x v="6"/>
    <x v="5"/>
    <n v="45151"/>
    <n v="4704"/>
    <x v="4"/>
  </r>
  <r>
    <x v="3"/>
    <x v="6"/>
    <x v="7"/>
    <n v="42076"/>
    <n v="4935"/>
    <x v="4"/>
  </r>
  <r>
    <x v="3"/>
    <x v="6"/>
    <x v="58"/>
    <n v="50415"/>
    <n v="7056"/>
    <x v="4"/>
  </r>
  <r>
    <x v="3"/>
    <x v="6"/>
    <x v="27"/>
    <n v="5815"/>
    <n v="896"/>
    <x v="0"/>
  </r>
  <r>
    <x v="3"/>
    <x v="6"/>
    <x v="11"/>
    <n v="5098"/>
    <n v="674"/>
    <x v="7"/>
  </r>
  <r>
    <x v="3"/>
    <x v="6"/>
    <x v="2"/>
    <n v="273"/>
    <n v="37"/>
    <x v="8"/>
  </r>
  <r>
    <x v="3"/>
    <x v="6"/>
    <x v="2"/>
    <n v="1071"/>
    <n v="256"/>
    <x v="19"/>
  </r>
  <r>
    <x v="3"/>
    <x v="6"/>
    <x v="2"/>
    <n v="4180"/>
    <n v="728"/>
    <x v="9"/>
  </r>
  <r>
    <x v="3"/>
    <x v="6"/>
    <x v="2"/>
    <n v="208"/>
    <n v="36"/>
    <x v="0"/>
  </r>
  <r>
    <x v="3"/>
    <x v="6"/>
    <x v="12"/>
    <n v="36"/>
    <n v="36"/>
    <x v="10"/>
  </r>
  <r>
    <x v="3"/>
    <x v="6"/>
    <x v="43"/>
    <n v="102887"/>
    <n v="5981"/>
    <x v="10"/>
  </r>
  <r>
    <x v="3"/>
    <x v="6"/>
    <x v="44"/>
    <n v="70745"/>
    <n v="3571"/>
    <x v="10"/>
  </r>
  <r>
    <x v="3"/>
    <x v="6"/>
    <x v="54"/>
    <n v="75726"/>
    <n v="3432"/>
    <x v="10"/>
  </r>
  <r>
    <x v="3"/>
    <x v="6"/>
    <x v="13"/>
    <n v="715"/>
    <n v="133"/>
    <x v="11"/>
  </r>
  <r>
    <x v="3"/>
    <x v="7"/>
    <x v="0"/>
    <n v="0"/>
    <n v="0"/>
    <x v="13"/>
  </r>
  <r>
    <x v="3"/>
    <x v="7"/>
    <x v="14"/>
    <n v="18116"/>
    <n v="481"/>
    <x v="22"/>
  </r>
  <r>
    <x v="3"/>
    <x v="7"/>
    <x v="15"/>
    <n v="0"/>
    <n v="0"/>
    <x v="14"/>
  </r>
  <r>
    <x v="3"/>
    <x v="7"/>
    <x v="46"/>
    <n v="8852"/>
    <n v="501"/>
    <x v="4"/>
  </r>
  <r>
    <x v="3"/>
    <x v="7"/>
    <x v="9"/>
    <n v="4493"/>
    <n v="264"/>
    <x v="12"/>
  </r>
  <r>
    <x v="3"/>
    <x v="7"/>
    <x v="16"/>
    <n v="75"/>
    <n v="9"/>
    <x v="16"/>
  </r>
  <r>
    <x v="3"/>
    <x v="7"/>
    <x v="2"/>
    <n v="5"/>
    <n v="1"/>
    <x v="5"/>
  </r>
  <r>
    <x v="3"/>
    <x v="7"/>
    <x v="2"/>
    <n v="143"/>
    <n v="27"/>
    <x v="24"/>
  </r>
  <r>
    <x v="3"/>
    <x v="7"/>
    <x v="2"/>
    <n v="38"/>
    <n v="7"/>
    <x v="15"/>
  </r>
  <r>
    <x v="3"/>
    <x v="7"/>
    <x v="2"/>
    <n v="93"/>
    <n v="32"/>
    <x v="11"/>
  </r>
  <r>
    <x v="3"/>
    <x v="7"/>
    <x v="2"/>
    <n v="32"/>
    <n v="10"/>
    <x v="1"/>
  </r>
  <r>
    <x v="3"/>
    <x v="7"/>
    <x v="47"/>
    <n v="84679"/>
    <n v="4485"/>
    <x v="10"/>
  </r>
  <r>
    <x v="3"/>
    <x v="0"/>
    <x v="0"/>
    <n v="0"/>
    <n v="0"/>
    <x v="6"/>
  </r>
  <r>
    <x v="3"/>
    <x v="0"/>
    <x v="0"/>
    <n v="0"/>
    <n v="0"/>
    <x v="17"/>
  </r>
  <r>
    <x v="3"/>
    <x v="0"/>
    <x v="0"/>
    <n v="0"/>
    <n v="0"/>
    <x v="3"/>
  </r>
  <r>
    <x v="3"/>
    <x v="0"/>
    <x v="49"/>
    <n v="26183"/>
    <n v="3416"/>
    <x v="4"/>
  </r>
  <r>
    <x v="3"/>
    <x v="0"/>
    <x v="59"/>
    <n v="3722"/>
    <n v="168"/>
    <x v="4"/>
  </r>
  <r>
    <x v="3"/>
    <x v="0"/>
    <x v="56"/>
    <n v="292"/>
    <n v="39"/>
    <x v="4"/>
  </r>
  <r>
    <x v="3"/>
    <x v="0"/>
    <x v="42"/>
    <n v="28439"/>
    <n v="2452"/>
    <x v="22"/>
  </r>
  <r>
    <x v="3"/>
    <x v="0"/>
    <x v="57"/>
    <n v="44315"/>
    <n v="5513"/>
    <x v="4"/>
  </r>
  <r>
    <x v="3"/>
    <x v="0"/>
    <x v="21"/>
    <n v="11154"/>
    <n v="1340"/>
    <x v="4"/>
  </r>
  <r>
    <x v="3"/>
    <x v="0"/>
    <x v="9"/>
    <n v="2924"/>
    <n v="321"/>
    <x v="19"/>
  </r>
  <r>
    <x v="3"/>
    <x v="0"/>
    <x v="27"/>
    <n v="2358"/>
    <n v="515"/>
    <x v="1"/>
  </r>
  <r>
    <x v="3"/>
    <x v="0"/>
    <x v="63"/>
    <n v="307"/>
    <n v="35"/>
    <x v="22"/>
  </r>
  <r>
    <x v="3"/>
    <x v="0"/>
    <x v="23"/>
    <n v="1"/>
    <n v="0"/>
    <x v="2"/>
  </r>
  <r>
    <x v="3"/>
    <x v="0"/>
    <x v="43"/>
    <n v="2934"/>
    <n v="210"/>
    <x v="20"/>
  </r>
  <r>
    <x v="3"/>
    <x v="0"/>
    <x v="24"/>
    <n v="4771"/>
    <n v="568"/>
    <x v="8"/>
  </r>
  <r>
    <x v="3"/>
    <x v="0"/>
    <x v="24"/>
    <n v="7951"/>
    <n v="914"/>
    <x v="16"/>
  </r>
  <r>
    <x v="3"/>
    <x v="0"/>
    <x v="13"/>
    <n v="9412"/>
    <n v="868"/>
    <x v="19"/>
  </r>
  <r>
    <x v="3"/>
    <x v="1"/>
    <x v="0"/>
    <n v="0"/>
    <n v="0"/>
    <x v="21"/>
  </r>
  <r>
    <x v="3"/>
    <x v="1"/>
    <x v="0"/>
    <n v="0"/>
    <n v="0"/>
    <x v="2"/>
  </r>
  <r>
    <x v="3"/>
    <x v="1"/>
    <x v="3"/>
    <n v="10049"/>
    <n v="2082"/>
    <x v="3"/>
  </r>
  <r>
    <x v="3"/>
    <x v="1"/>
    <x v="4"/>
    <n v="40304"/>
    <n v="1566"/>
    <x v="4"/>
  </r>
  <r>
    <x v="3"/>
    <x v="1"/>
    <x v="5"/>
    <n v="37411"/>
    <n v="4026"/>
    <x v="4"/>
  </r>
  <r>
    <x v="3"/>
    <x v="1"/>
    <x v="6"/>
    <n v="3904"/>
    <n v="114"/>
    <x v="4"/>
  </r>
  <r>
    <x v="3"/>
    <x v="1"/>
    <x v="7"/>
    <n v="42771"/>
    <n v="4037"/>
    <x v="4"/>
  </r>
  <r>
    <x v="3"/>
    <x v="1"/>
    <x v="58"/>
    <n v="36639"/>
    <n v="4566"/>
    <x v="4"/>
  </r>
  <r>
    <x v="3"/>
    <x v="1"/>
    <x v="28"/>
    <n v="5022"/>
    <n v="572"/>
    <x v="2"/>
  </r>
  <r>
    <x v="3"/>
    <x v="1"/>
    <x v="9"/>
    <n v="371"/>
    <n v="40"/>
    <x v="5"/>
  </r>
  <r>
    <x v="3"/>
    <x v="1"/>
    <x v="10"/>
    <n v="21475"/>
    <n v="478"/>
    <x v="6"/>
  </r>
  <r>
    <x v="3"/>
    <x v="1"/>
    <x v="11"/>
    <n v="9354"/>
    <n v="1453"/>
    <x v="7"/>
  </r>
  <r>
    <x v="3"/>
    <x v="1"/>
    <x v="2"/>
    <n v="515"/>
    <n v="95"/>
    <x v="8"/>
  </r>
  <r>
    <x v="3"/>
    <x v="1"/>
    <x v="2"/>
    <n v="1271"/>
    <n v="246"/>
    <x v="19"/>
  </r>
  <r>
    <x v="3"/>
    <x v="1"/>
    <x v="2"/>
    <n v="5085"/>
    <n v="989"/>
    <x v="9"/>
  </r>
  <r>
    <x v="3"/>
    <x v="1"/>
    <x v="2"/>
    <n v="541"/>
    <n v="101"/>
    <x v="0"/>
  </r>
  <r>
    <x v="3"/>
    <x v="1"/>
    <x v="12"/>
    <n v="25"/>
    <n v="25"/>
    <x v="10"/>
  </r>
  <r>
    <x v="3"/>
    <x v="1"/>
    <x v="13"/>
    <n v="668"/>
    <n v="115"/>
    <x v="11"/>
  </r>
  <r>
    <x v="3"/>
    <x v="5"/>
    <x v="0"/>
    <n v="0"/>
    <n v="0"/>
    <x v="10"/>
  </r>
  <r>
    <x v="3"/>
    <x v="5"/>
    <x v="0"/>
    <n v="0"/>
    <n v="0"/>
    <x v="13"/>
  </r>
  <r>
    <x v="3"/>
    <x v="5"/>
    <x v="14"/>
    <n v="17271"/>
    <n v="466"/>
    <x v="22"/>
  </r>
  <r>
    <x v="3"/>
    <x v="5"/>
    <x v="15"/>
    <n v="53953"/>
    <n v="3068"/>
    <x v="4"/>
  </r>
  <r>
    <x v="3"/>
    <x v="5"/>
    <x v="15"/>
    <n v="0"/>
    <n v="0"/>
    <x v="14"/>
  </r>
  <r>
    <x v="3"/>
    <x v="5"/>
    <x v="16"/>
    <n v="9306"/>
    <n v="1263"/>
    <x v="2"/>
  </r>
  <r>
    <x v="3"/>
    <x v="5"/>
    <x v="2"/>
    <n v="5"/>
    <n v="0"/>
    <x v="5"/>
  </r>
  <r>
    <x v="3"/>
    <x v="5"/>
    <x v="2"/>
    <n v="142"/>
    <n v="53"/>
    <x v="24"/>
  </r>
  <r>
    <x v="3"/>
    <x v="5"/>
    <x v="2"/>
    <n v="55"/>
    <n v="12"/>
    <x v="15"/>
  </r>
  <r>
    <x v="3"/>
    <x v="5"/>
    <x v="2"/>
    <n v="74"/>
    <n v="15"/>
    <x v="11"/>
  </r>
  <r>
    <x v="3"/>
    <x v="5"/>
    <x v="2"/>
    <n v="10"/>
    <n v="1"/>
    <x v="1"/>
  </r>
  <r>
    <x v="3"/>
    <x v="5"/>
    <x v="17"/>
    <n v="12189"/>
    <n v="1188"/>
    <x v="8"/>
  </r>
  <r>
    <x v="3"/>
    <x v="5"/>
    <x v="47"/>
    <n v="92206"/>
    <n v="4198"/>
    <x v="10"/>
  </r>
  <r>
    <x v="3"/>
    <x v="8"/>
    <x v="0"/>
    <n v="0"/>
    <n v="0"/>
    <x v="17"/>
  </r>
  <r>
    <x v="3"/>
    <x v="8"/>
    <x v="0"/>
    <n v="0"/>
    <n v="0"/>
    <x v="3"/>
  </r>
  <r>
    <x v="3"/>
    <x v="8"/>
    <x v="3"/>
    <n v="1"/>
    <n v="1"/>
    <x v="18"/>
  </r>
  <r>
    <x v="3"/>
    <x v="8"/>
    <x v="19"/>
    <n v="18609"/>
    <n v="791"/>
    <x v="4"/>
  </r>
  <r>
    <x v="3"/>
    <x v="8"/>
    <x v="20"/>
    <n v="31"/>
    <n v="31"/>
    <x v="14"/>
  </r>
  <r>
    <x v="3"/>
    <x v="8"/>
    <x v="59"/>
    <n v="3682"/>
    <n v="167"/>
    <x v="4"/>
  </r>
  <r>
    <x v="3"/>
    <x v="8"/>
    <x v="21"/>
    <n v="10774"/>
    <n v="1413"/>
    <x v="4"/>
  </r>
  <r>
    <x v="3"/>
    <x v="8"/>
    <x v="9"/>
    <n v="927"/>
    <n v="83"/>
    <x v="19"/>
  </r>
  <r>
    <x v="3"/>
    <x v="8"/>
    <x v="27"/>
    <n v="2217"/>
    <n v="417"/>
    <x v="1"/>
  </r>
  <r>
    <x v="3"/>
    <x v="8"/>
    <x v="63"/>
    <n v="384"/>
    <n v="34"/>
    <x v="22"/>
  </r>
  <r>
    <x v="3"/>
    <x v="8"/>
    <x v="22"/>
    <n v="10399"/>
    <n v="1406"/>
    <x v="12"/>
  </r>
  <r>
    <x v="3"/>
    <x v="8"/>
    <x v="23"/>
    <n v="239"/>
    <n v="65"/>
    <x v="2"/>
  </r>
  <r>
    <x v="3"/>
    <x v="8"/>
    <x v="43"/>
    <n v="2924"/>
    <n v="216"/>
    <x v="20"/>
  </r>
  <r>
    <x v="3"/>
    <x v="8"/>
    <x v="24"/>
    <n v="7262"/>
    <n v="633"/>
    <x v="8"/>
  </r>
  <r>
    <x v="3"/>
    <x v="8"/>
    <x v="24"/>
    <n v="7288"/>
    <n v="702"/>
    <x v="16"/>
  </r>
  <r>
    <x v="3"/>
    <x v="8"/>
    <x v="13"/>
    <n v="6582"/>
    <n v="697"/>
    <x v="19"/>
  </r>
  <r>
    <x v="3"/>
    <x v="9"/>
    <x v="0"/>
    <n v="0"/>
    <n v="0"/>
    <x v="21"/>
  </r>
  <r>
    <x v="3"/>
    <x v="9"/>
    <x v="0"/>
    <n v="0"/>
    <n v="0"/>
    <x v="2"/>
  </r>
  <r>
    <x v="3"/>
    <x v="9"/>
    <x v="3"/>
    <n v="14278"/>
    <n v="1832"/>
    <x v="3"/>
  </r>
  <r>
    <x v="3"/>
    <x v="9"/>
    <x v="4"/>
    <n v="30691"/>
    <n v="958"/>
    <x v="4"/>
  </r>
  <r>
    <x v="3"/>
    <x v="9"/>
    <x v="5"/>
    <n v="46755"/>
    <n v="4480"/>
    <x v="4"/>
  </r>
  <r>
    <x v="3"/>
    <x v="9"/>
    <x v="25"/>
    <n v="753"/>
    <n v="157"/>
    <x v="22"/>
  </r>
  <r>
    <x v="3"/>
    <x v="9"/>
    <x v="6"/>
    <n v="3822"/>
    <n v="94"/>
    <x v="4"/>
  </r>
  <r>
    <x v="3"/>
    <x v="9"/>
    <x v="7"/>
    <n v="31095"/>
    <n v="3252"/>
    <x v="4"/>
  </r>
  <r>
    <x v="3"/>
    <x v="9"/>
    <x v="8"/>
    <n v="1358"/>
    <n v="193"/>
    <x v="4"/>
  </r>
  <r>
    <x v="3"/>
    <x v="9"/>
    <x v="9"/>
    <n v="413"/>
    <n v="46"/>
    <x v="5"/>
  </r>
  <r>
    <x v="3"/>
    <x v="9"/>
    <x v="10"/>
    <n v="21432"/>
    <n v="425"/>
    <x v="6"/>
  </r>
  <r>
    <x v="3"/>
    <x v="9"/>
    <x v="11"/>
    <n v="8226"/>
    <n v="1171"/>
    <x v="7"/>
  </r>
  <r>
    <x v="3"/>
    <x v="9"/>
    <x v="2"/>
    <n v="348"/>
    <n v="30"/>
    <x v="8"/>
  </r>
  <r>
    <x v="3"/>
    <x v="9"/>
    <x v="2"/>
    <n v="5784"/>
    <n v="1012"/>
    <x v="9"/>
  </r>
  <r>
    <x v="3"/>
    <x v="9"/>
    <x v="12"/>
    <n v="28"/>
    <n v="28"/>
    <x v="10"/>
  </r>
  <r>
    <x v="3"/>
    <x v="9"/>
    <x v="13"/>
    <n v="668"/>
    <n v="112"/>
    <x v="11"/>
  </r>
  <r>
    <x v="3"/>
    <x v="3"/>
    <x v="0"/>
    <n v="0"/>
    <n v="0"/>
    <x v="12"/>
  </r>
  <r>
    <x v="3"/>
    <x v="3"/>
    <x v="0"/>
    <n v="0"/>
    <n v="0"/>
    <x v="10"/>
  </r>
  <r>
    <x v="3"/>
    <x v="3"/>
    <x v="0"/>
    <n v="0"/>
    <n v="0"/>
    <x v="13"/>
  </r>
  <r>
    <x v="3"/>
    <x v="3"/>
    <x v="15"/>
    <n v="498"/>
    <n v="24"/>
    <x v="4"/>
  </r>
  <r>
    <x v="3"/>
    <x v="3"/>
    <x v="27"/>
    <n v="2499"/>
    <n v="365"/>
    <x v="23"/>
  </r>
  <r>
    <x v="3"/>
    <x v="3"/>
    <x v="16"/>
    <n v="755"/>
    <n v="62"/>
    <x v="2"/>
  </r>
  <r>
    <x v="3"/>
    <x v="3"/>
    <x v="11"/>
    <n v="223"/>
    <n v="31"/>
    <x v="6"/>
  </r>
  <r>
    <x v="3"/>
    <x v="3"/>
    <x v="2"/>
    <n v="7"/>
    <n v="2"/>
    <x v="1"/>
  </r>
  <r>
    <x v="3"/>
    <x v="3"/>
    <x v="17"/>
    <n v="624"/>
    <n v="42"/>
    <x v="8"/>
  </r>
  <r>
    <x v="3"/>
    <x v="3"/>
    <x v="18"/>
    <n v="2881"/>
    <n v="84"/>
    <x v="10"/>
  </r>
  <r>
    <x v="3"/>
    <x v="6"/>
    <x v="0"/>
    <n v="0"/>
    <n v="0"/>
    <x v="20"/>
  </r>
  <r>
    <x v="3"/>
    <x v="6"/>
    <x v="0"/>
    <n v="0"/>
    <n v="0"/>
    <x v="19"/>
  </r>
  <r>
    <x v="3"/>
    <x v="6"/>
    <x v="0"/>
    <n v="0"/>
    <n v="0"/>
    <x v="9"/>
  </r>
  <r>
    <x v="3"/>
    <x v="6"/>
    <x v="3"/>
    <n v="7967"/>
    <n v="1617"/>
    <x v="3"/>
  </r>
  <r>
    <x v="3"/>
    <x v="6"/>
    <x v="3"/>
    <n v="1774"/>
    <n v="193"/>
    <x v="0"/>
  </r>
  <r>
    <x v="3"/>
    <x v="6"/>
    <x v="20"/>
    <n v="56884"/>
    <n v="2779"/>
    <x v="4"/>
  </r>
  <r>
    <x v="3"/>
    <x v="6"/>
    <x v="6"/>
    <n v="5078"/>
    <n v="284"/>
    <x v="4"/>
  </r>
  <r>
    <x v="3"/>
    <x v="6"/>
    <x v="30"/>
    <n v="4100"/>
    <n v="180"/>
    <x v="4"/>
  </r>
  <r>
    <x v="3"/>
    <x v="6"/>
    <x v="8"/>
    <n v="1033"/>
    <n v="150"/>
    <x v="4"/>
  </r>
  <r>
    <x v="3"/>
    <x v="6"/>
    <x v="26"/>
    <n v="163"/>
    <n v="20"/>
    <x v="1"/>
  </r>
  <r>
    <x v="3"/>
    <x v="6"/>
    <x v="28"/>
    <n v="5607"/>
    <n v="2566"/>
    <x v="24"/>
  </r>
  <r>
    <x v="3"/>
    <x v="6"/>
    <x v="28"/>
    <n v="13254"/>
    <n v="1494"/>
    <x v="7"/>
  </r>
  <r>
    <x v="3"/>
    <x v="6"/>
    <x v="27"/>
    <n v="3024"/>
    <n v="580"/>
    <x v="29"/>
  </r>
  <r>
    <x v="3"/>
    <x v="6"/>
    <x v="10"/>
    <n v="20802"/>
    <n v="369"/>
    <x v="6"/>
  </r>
  <r>
    <x v="3"/>
    <x v="6"/>
    <x v="2"/>
    <n v="4976"/>
    <n v="715"/>
    <x v="2"/>
  </r>
  <r>
    <x v="3"/>
    <x v="6"/>
    <x v="2"/>
    <n v="195"/>
    <n v="64"/>
    <x v="17"/>
  </r>
  <r>
    <x v="3"/>
    <x v="6"/>
    <x v="29"/>
    <n v="100725"/>
    <n v="6140"/>
    <x v="10"/>
  </r>
  <r>
    <x v="3"/>
    <x v="7"/>
    <x v="0"/>
    <n v="19"/>
    <n v="19"/>
    <x v="4"/>
  </r>
  <r>
    <x v="3"/>
    <x v="7"/>
    <x v="0"/>
    <n v="0"/>
    <n v="0"/>
    <x v="12"/>
  </r>
  <r>
    <x v="3"/>
    <x v="7"/>
    <x v="0"/>
    <n v="0"/>
    <n v="0"/>
    <x v="10"/>
  </r>
  <r>
    <x v="3"/>
    <x v="7"/>
    <x v="37"/>
    <n v="7141"/>
    <n v="279"/>
    <x v="28"/>
  </r>
  <r>
    <x v="3"/>
    <x v="7"/>
    <x v="1"/>
    <n v="6568"/>
    <n v="894"/>
    <x v="2"/>
  </r>
  <r>
    <x v="3"/>
    <x v="7"/>
    <x v="1"/>
    <n v="81"/>
    <n v="4"/>
    <x v="30"/>
  </r>
  <r>
    <x v="3"/>
    <x v="7"/>
    <x v="1"/>
    <n v="13163"/>
    <n v="2289"/>
    <x v="13"/>
  </r>
  <r>
    <x v="3"/>
    <x v="7"/>
    <x v="33"/>
    <n v="427"/>
    <n v="102"/>
    <x v="4"/>
  </r>
  <r>
    <x v="3"/>
    <x v="7"/>
    <x v="45"/>
    <n v="5014"/>
    <n v="412"/>
    <x v="4"/>
  </r>
  <r>
    <x v="3"/>
    <x v="7"/>
    <x v="26"/>
    <n v="5887"/>
    <n v="671"/>
    <x v="15"/>
  </r>
  <r>
    <x v="3"/>
    <x v="7"/>
    <x v="9"/>
    <n v="17392"/>
    <n v="2743"/>
    <x v="2"/>
  </r>
  <r>
    <x v="3"/>
    <x v="7"/>
    <x v="27"/>
    <n v="14422"/>
    <n v="2185"/>
    <x v="23"/>
  </r>
  <r>
    <x v="3"/>
    <x v="7"/>
    <x v="16"/>
    <n v="8071"/>
    <n v="947"/>
    <x v="2"/>
  </r>
  <r>
    <x v="3"/>
    <x v="7"/>
    <x v="34"/>
    <n v="11817"/>
    <n v="988"/>
    <x v="4"/>
  </r>
  <r>
    <x v="3"/>
    <x v="7"/>
    <x v="11"/>
    <n v="50"/>
    <n v="3"/>
    <x v="12"/>
  </r>
  <r>
    <x v="3"/>
    <x v="7"/>
    <x v="11"/>
    <n v="859"/>
    <n v="99"/>
    <x v="6"/>
  </r>
  <r>
    <x v="3"/>
    <x v="7"/>
    <x v="11"/>
    <n v="792"/>
    <n v="76"/>
    <x v="13"/>
  </r>
  <r>
    <x v="3"/>
    <x v="7"/>
    <x v="11"/>
    <n v="109"/>
    <n v="10"/>
    <x v="26"/>
  </r>
  <r>
    <x v="3"/>
    <x v="7"/>
    <x v="18"/>
    <n v="18748"/>
    <n v="722"/>
    <x v="10"/>
  </r>
  <r>
    <x v="3"/>
    <x v="0"/>
    <x v="0"/>
    <n v="0"/>
    <n v="0"/>
    <x v="0"/>
  </r>
  <r>
    <x v="3"/>
    <x v="0"/>
    <x v="0"/>
    <n v="1"/>
    <n v="0"/>
    <x v="18"/>
  </r>
  <r>
    <x v="3"/>
    <x v="0"/>
    <x v="19"/>
    <n v="16770"/>
    <n v="772"/>
    <x v="4"/>
  </r>
  <r>
    <x v="3"/>
    <x v="0"/>
    <x v="20"/>
    <n v="34"/>
    <n v="34"/>
    <x v="14"/>
  </r>
  <r>
    <x v="3"/>
    <x v="0"/>
    <x v="39"/>
    <n v="68176"/>
    <n v="4674"/>
    <x v="4"/>
  </r>
  <r>
    <x v="3"/>
    <x v="0"/>
    <x v="16"/>
    <n v="5780"/>
    <n v="479"/>
    <x v="24"/>
  </r>
  <r>
    <x v="3"/>
    <x v="0"/>
    <x v="63"/>
    <n v="15728"/>
    <n v="911"/>
    <x v="4"/>
  </r>
  <r>
    <x v="3"/>
    <x v="0"/>
    <x v="22"/>
    <n v="14356"/>
    <n v="1721"/>
    <x v="19"/>
  </r>
  <r>
    <x v="3"/>
    <x v="0"/>
    <x v="22"/>
    <n v="9725"/>
    <n v="1394"/>
    <x v="12"/>
  </r>
  <r>
    <x v="3"/>
    <x v="0"/>
    <x v="23"/>
    <n v="75"/>
    <n v="52"/>
    <x v="24"/>
  </r>
  <r>
    <x v="3"/>
    <x v="0"/>
    <x v="11"/>
    <n v="140"/>
    <n v="26"/>
    <x v="29"/>
  </r>
  <r>
    <x v="3"/>
    <x v="0"/>
    <x v="11"/>
    <n v="8827"/>
    <n v="2365"/>
    <x v="25"/>
  </r>
  <r>
    <x v="3"/>
    <x v="0"/>
    <x v="51"/>
    <n v="3"/>
    <n v="3"/>
    <x v="10"/>
  </r>
  <r>
    <x v="3"/>
    <x v="0"/>
    <x v="13"/>
    <n v="7408"/>
    <n v="840"/>
    <x v="2"/>
  </r>
  <r>
    <x v="3"/>
    <x v="0"/>
    <x v="13"/>
    <n v="9043"/>
    <n v="1195"/>
    <x v="17"/>
  </r>
  <r>
    <x v="3"/>
    <x v="1"/>
    <x v="0"/>
    <n v="0"/>
    <n v="0"/>
    <x v="20"/>
  </r>
  <r>
    <x v="3"/>
    <x v="1"/>
    <x v="0"/>
    <n v="0"/>
    <n v="0"/>
    <x v="19"/>
  </r>
  <r>
    <x v="3"/>
    <x v="1"/>
    <x v="0"/>
    <n v="0"/>
    <n v="0"/>
    <x v="9"/>
  </r>
  <r>
    <x v="3"/>
    <x v="1"/>
    <x v="0"/>
    <n v="0"/>
    <n v="0"/>
    <x v="11"/>
  </r>
  <r>
    <x v="3"/>
    <x v="1"/>
    <x v="0"/>
    <n v="0"/>
    <n v="0"/>
    <x v="27"/>
  </r>
  <r>
    <x v="3"/>
    <x v="1"/>
    <x v="38"/>
    <n v="37707"/>
    <n v="3190"/>
    <x v="4"/>
  </r>
  <r>
    <x v="3"/>
    <x v="1"/>
    <x v="41"/>
    <n v="28111"/>
    <n v="2456"/>
    <x v="4"/>
  </r>
  <r>
    <x v="3"/>
    <x v="1"/>
    <x v="20"/>
    <n v="43492"/>
    <n v="2474"/>
    <x v="4"/>
  </r>
  <r>
    <x v="3"/>
    <x v="1"/>
    <x v="25"/>
    <n v="768"/>
    <n v="153"/>
    <x v="22"/>
  </r>
  <r>
    <x v="3"/>
    <x v="1"/>
    <x v="30"/>
    <n v="2656"/>
    <n v="82"/>
    <x v="4"/>
  </r>
  <r>
    <x v="3"/>
    <x v="1"/>
    <x v="8"/>
    <n v="1349"/>
    <n v="237"/>
    <x v="4"/>
  </r>
  <r>
    <x v="3"/>
    <x v="1"/>
    <x v="26"/>
    <n v="162"/>
    <n v="40"/>
    <x v="1"/>
  </r>
  <r>
    <x v="3"/>
    <x v="1"/>
    <x v="28"/>
    <n v="20964"/>
    <n v="2563"/>
    <x v="7"/>
  </r>
  <r>
    <x v="3"/>
    <x v="1"/>
    <x v="27"/>
    <n v="2996"/>
    <n v="519"/>
    <x v="29"/>
  </r>
  <r>
    <x v="3"/>
    <x v="1"/>
    <x v="27"/>
    <n v="9228"/>
    <n v="1697"/>
    <x v="0"/>
  </r>
  <r>
    <x v="3"/>
    <x v="1"/>
    <x v="11"/>
    <n v="182"/>
    <n v="33"/>
    <x v="23"/>
  </r>
  <r>
    <x v="3"/>
    <x v="1"/>
    <x v="2"/>
    <n v="3266"/>
    <n v="511"/>
    <x v="2"/>
  </r>
  <r>
    <x v="3"/>
    <x v="1"/>
    <x v="43"/>
    <n v="87058"/>
    <n v="5818"/>
    <x v="10"/>
  </r>
  <r>
    <x v="3"/>
    <x v="1"/>
    <x v="44"/>
    <n v="86569"/>
    <n v="4863"/>
    <x v="10"/>
  </r>
  <r>
    <x v="3"/>
    <x v="1"/>
    <x v="36"/>
    <n v="1045"/>
    <n v="226"/>
    <x v="8"/>
  </r>
  <r>
    <x v="3"/>
    <x v="1"/>
    <x v="36"/>
    <n v="4707"/>
    <n v="315"/>
    <x v="16"/>
  </r>
  <r>
    <x v="3"/>
    <x v="5"/>
    <x v="0"/>
    <n v="20"/>
    <n v="20"/>
    <x v="4"/>
  </r>
  <r>
    <x v="3"/>
    <x v="5"/>
    <x v="0"/>
    <n v="0"/>
    <n v="0"/>
    <x v="12"/>
  </r>
  <r>
    <x v="3"/>
    <x v="5"/>
    <x v="37"/>
    <n v="6724"/>
    <n v="196"/>
    <x v="28"/>
  </r>
  <r>
    <x v="3"/>
    <x v="5"/>
    <x v="1"/>
    <n v="9745"/>
    <n v="998"/>
    <x v="2"/>
  </r>
  <r>
    <x v="3"/>
    <x v="5"/>
    <x v="1"/>
    <n v="17090"/>
    <n v="2391"/>
    <x v="13"/>
  </r>
  <r>
    <x v="3"/>
    <x v="5"/>
    <x v="33"/>
    <n v="414"/>
    <n v="104"/>
    <x v="4"/>
  </r>
  <r>
    <x v="3"/>
    <x v="5"/>
    <x v="45"/>
    <n v="6632"/>
    <n v="505"/>
    <x v="4"/>
  </r>
  <r>
    <x v="3"/>
    <x v="5"/>
    <x v="46"/>
    <n v="10721"/>
    <n v="530"/>
    <x v="4"/>
  </r>
  <r>
    <x v="3"/>
    <x v="5"/>
    <x v="26"/>
    <n v="5884"/>
    <n v="588"/>
    <x v="15"/>
  </r>
  <r>
    <x v="3"/>
    <x v="5"/>
    <x v="9"/>
    <n v="2809"/>
    <n v="259"/>
    <x v="12"/>
  </r>
  <r>
    <x v="3"/>
    <x v="5"/>
    <x v="9"/>
    <n v="19703"/>
    <n v="3144"/>
    <x v="2"/>
  </r>
  <r>
    <x v="3"/>
    <x v="5"/>
    <x v="27"/>
    <n v="17491"/>
    <n v="2706"/>
    <x v="23"/>
  </r>
  <r>
    <x v="3"/>
    <x v="5"/>
    <x v="34"/>
    <n v="13457"/>
    <n v="1320"/>
    <x v="4"/>
  </r>
  <r>
    <x v="3"/>
    <x v="5"/>
    <x v="40"/>
    <n v="12275"/>
    <n v="169"/>
    <x v="21"/>
  </r>
  <r>
    <x v="3"/>
    <x v="5"/>
    <x v="11"/>
    <n v="29"/>
    <n v="0"/>
    <x v="12"/>
  </r>
  <r>
    <x v="3"/>
    <x v="5"/>
    <x v="11"/>
    <n v="21"/>
    <n v="1"/>
    <x v="6"/>
  </r>
  <r>
    <x v="3"/>
    <x v="5"/>
    <x v="11"/>
    <n v="1095"/>
    <n v="109"/>
    <x v="13"/>
  </r>
  <r>
    <x v="3"/>
    <x v="5"/>
    <x v="11"/>
    <n v="234"/>
    <n v="31"/>
    <x v="26"/>
  </r>
  <r>
    <x v="3"/>
    <x v="5"/>
    <x v="2"/>
    <n v="606"/>
    <n v="108"/>
    <x v="12"/>
  </r>
  <r>
    <x v="3"/>
    <x v="5"/>
    <x v="18"/>
    <n v="22750"/>
    <n v="851"/>
    <x v="10"/>
  </r>
  <r>
    <x v="3"/>
    <x v="8"/>
    <x v="0"/>
    <n v="0"/>
    <n v="0"/>
    <x v="6"/>
  </r>
  <r>
    <x v="3"/>
    <x v="8"/>
    <x v="0"/>
    <n v="0"/>
    <n v="0"/>
    <x v="0"/>
  </r>
  <r>
    <x v="3"/>
    <x v="8"/>
    <x v="1"/>
    <n v="10923"/>
    <n v="1682"/>
    <x v="3"/>
  </r>
  <r>
    <x v="3"/>
    <x v="8"/>
    <x v="49"/>
    <n v="25115"/>
    <n v="3242"/>
    <x v="4"/>
  </r>
  <r>
    <x v="3"/>
    <x v="8"/>
    <x v="39"/>
    <n v="79540"/>
    <n v="6352"/>
    <x v="4"/>
  </r>
  <r>
    <x v="3"/>
    <x v="8"/>
    <x v="50"/>
    <n v="17134"/>
    <n v="362"/>
    <x v="27"/>
  </r>
  <r>
    <x v="3"/>
    <x v="8"/>
    <x v="16"/>
    <n v="9632"/>
    <n v="1053"/>
    <x v="24"/>
  </r>
  <r>
    <x v="3"/>
    <x v="8"/>
    <x v="63"/>
    <n v="18056"/>
    <n v="914"/>
    <x v="4"/>
  </r>
  <r>
    <x v="3"/>
    <x v="8"/>
    <x v="22"/>
    <n v="11152"/>
    <n v="1357"/>
    <x v="19"/>
  </r>
  <r>
    <x v="3"/>
    <x v="8"/>
    <x v="23"/>
    <n v="3"/>
    <n v="1"/>
    <x v="24"/>
  </r>
  <r>
    <x v="3"/>
    <x v="8"/>
    <x v="11"/>
    <n v="123"/>
    <n v="22"/>
    <x v="29"/>
  </r>
  <r>
    <x v="3"/>
    <x v="8"/>
    <x v="11"/>
    <n v="11530"/>
    <n v="2599"/>
    <x v="25"/>
  </r>
  <r>
    <x v="3"/>
    <x v="8"/>
    <x v="51"/>
    <n v="7"/>
    <n v="7"/>
    <x v="10"/>
  </r>
  <r>
    <x v="3"/>
    <x v="8"/>
    <x v="13"/>
    <n v="6774"/>
    <n v="644"/>
    <x v="2"/>
  </r>
  <r>
    <x v="3"/>
    <x v="9"/>
    <x v="0"/>
    <n v="0"/>
    <n v="0"/>
    <x v="20"/>
  </r>
  <r>
    <x v="3"/>
    <x v="9"/>
    <x v="0"/>
    <n v="0"/>
    <n v="0"/>
    <x v="9"/>
  </r>
  <r>
    <x v="3"/>
    <x v="9"/>
    <x v="0"/>
    <n v="0"/>
    <n v="0"/>
    <x v="11"/>
  </r>
  <r>
    <x v="3"/>
    <x v="9"/>
    <x v="38"/>
    <n v="49206"/>
    <n v="3126"/>
    <x v="4"/>
  </r>
  <r>
    <x v="3"/>
    <x v="9"/>
    <x v="41"/>
    <n v="22016"/>
    <n v="2115"/>
    <x v="4"/>
  </r>
  <r>
    <x v="3"/>
    <x v="9"/>
    <x v="15"/>
    <n v="20359"/>
    <n v="687"/>
    <x v="22"/>
  </r>
  <r>
    <x v="3"/>
    <x v="9"/>
    <x v="30"/>
    <n v="2493"/>
    <n v="67"/>
    <x v="4"/>
  </r>
  <r>
    <x v="3"/>
    <x v="9"/>
    <x v="26"/>
    <n v="117"/>
    <n v="11"/>
    <x v="1"/>
  </r>
  <r>
    <x v="3"/>
    <x v="9"/>
    <x v="27"/>
    <n v="3254"/>
    <n v="548"/>
    <x v="29"/>
  </r>
  <r>
    <x v="3"/>
    <x v="9"/>
    <x v="27"/>
    <n v="7357"/>
    <n v="1151"/>
    <x v="0"/>
  </r>
  <r>
    <x v="3"/>
    <x v="9"/>
    <x v="11"/>
    <n v="234"/>
    <n v="46"/>
    <x v="23"/>
  </r>
  <r>
    <x v="3"/>
    <x v="9"/>
    <x v="2"/>
    <n v="1359"/>
    <n v="257"/>
    <x v="19"/>
  </r>
  <r>
    <x v="3"/>
    <x v="9"/>
    <x v="2"/>
    <n v="4048"/>
    <n v="598"/>
    <x v="2"/>
  </r>
  <r>
    <x v="3"/>
    <x v="9"/>
    <x v="43"/>
    <n v="96519"/>
    <n v="5600"/>
    <x v="10"/>
  </r>
  <r>
    <x v="3"/>
    <x v="9"/>
    <x v="44"/>
    <n v="89661"/>
    <n v="4066"/>
    <x v="10"/>
  </r>
  <r>
    <x v="3"/>
    <x v="9"/>
    <x v="36"/>
    <n v="4911"/>
    <n v="299"/>
    <x v="16"/>
  </r>
  <r>
    <x v="3"/>
    <x v="3"/>
    <x v="0"/>
    <n v="0"/>
    <n v="0"/>
    <x v="4"/>
  </r>
  <r>
    <x v="3"/>
    <x v="3"/>
    <x v="1"/>
    <n v="2794"/>
    <n v="225"/>
    <x v="13"/>
  </r>
  <r>
    <x v="3"/>
    <x v="3"/>
    <x v="33"/>
    <n v="1"/>
    <n v="0"/>
    <x v="4"/>
  </r>
  <r>
    <x v="3"/>
    <x v="3"/>
    <x v="45"/>
    <n v="238"/>
    <n v="11"/>
    <x v="4"/>
  </r>
  <r>
    <x v="3"/>
    <x v="3"/>
    <x v="46"/>
    <n v="308"/>
    <n v="20"/>
    <x v="4"/>
  </r>
  <r>
    <x v="3"/>
    <x v="3"/>
    <x v="26"/>
    <n v="13"/>
    <n v="0"/>
    <x v="15"/>
  </r>
  <r>
    <x v="3"/>
    <x v="3"/>
    <x v="9"/>
    <n v="175"/>
    <n v="13"/>
    <x v="12"/>
  </r>
  <r>
    <x v="3"/>
    <x v="3"/>
    <x v="34"/>
    <n v="1731"/>
    <n v="104"/>
    <x v="4"/>
  </r>
  <r>
    <x v="3"/>
    <x v="3"/>
    <x v="40"/>
    <n v="804"/>
    <n v="15"/>
    <x v="21"/>
  </r>
  <r>
    <x v="3"/>
    <x v="3"/>
    <x v="11"/>
    <n v="25"/>
    <n v="4"/>
    <x v="26"/>
  </r>
  <r>
    <x v="3"/>
    <x v="3"/>
    <x v="2"/>
    <n v="3"/>
    <n v="0"/>
    <x v="24"/>
  </r>
  <r>
    <x v="3"/>
    <x v="3"/>
    <x v="2"/>
    <n v="39"/>
    <n v="3"/>
    <x v="12"/>
  </r>
  <r>
    <x v="3"/>
    <x v="3"/>
    <x v="2"/>
    <n v="0"/>
    <n v="0"/>
    <x v="15"/>
  </r>
  <r>
    <x v="3"/>
    <x v="3"/>
    <x v="47"/>
    <n v="11999"/>
    <n v="900"/>
    <x v="10"/>
  </r>
  <r>
    <x v="3"/>
    <x v="6"/>
    <x v="0"/>
    <n v="22"/>
    <n v="22"/>
    <x v="4"/>
  </r>
  <r>
    <x v="3"/>
    <x v="6"/>
    <x v="0"/>
    <n v="0"/>
    <n v="0"/>
    <x v="11"/>
  </r>
  <r>
    <x v="3"/>
    <x v="6"/>
    <x v="0"/>
    <n v="0"/>
    <n v="0"/>
    <x v="1"/>
  </r>
  <r>
    <x v="3"/>
    <x v="6"/>
    <x v="37"/>
    <n v="6747"/>
    <n v="178"/>
    <x v="28"/>
  </r>
  <r>
    <x v="3"/>
    <x v="6"/>
    <x v="1"/>
    <n v="6606"/>
    <n v="918"/>
    <x v="2"/>
  </r>
  <r>
    <x v="3"/>
    <x v="6"/>
    <x v="19"/>
    <n v="10411"/>
    <n v="590"/>
    <x v="4"/>
  </r>
  <r>
    <x v="3"/>
    <x v="6"/>
    <x v="45"/>
    <n v="1149"/>
    <n v="167"/>
    <x v="4"/>
  </r>
  <r>
    <x v="3"/>
    <x v="6"/>
    <x v="46"/>
    <n v="7973"/>
    <n v="472"/>
    <x v="4"/>
  </r>
  <r>
    <x v="3"/>
    <x v="6"/>
    <x v="27"/>
    <n v="1583"/>
    <n v="308"/>
    <x v="1"/>
  </r>
  <r>
    <x v="3"/>
    <x v="6"/>
    <x v="16"/>
    <n v="5591"/>
    <n v="349"/>
    <x v="8"/>
  </r>
  <r>
    <x v="3"/>
    <x v="6"/>
    <x v="63"/>
    <n v="18776"/>
    <n v="748"/>
    <x v="4"/>
  </r>
  <r>
    <x v="3"/>
    <x v="6"/>
    <x v="22"/>
    <n v="9468"/>
    <n v="998"/>
    <x v="12"/>
  </r>
  <r>
    <x v="3"/>
    <x v="6"/>
    <x v="11"/>
    <n v="203"/>
    <n v="39"/>
    <x v="23"/>
  </r>
  <r>
    <x v="3"/>
    <x v="6"/>
    <x v="11"/>
    <n v="37"/>
    <n v="4"/>
    <x v="12"/>
  </r>
  <r>
    <x v="3"/>
    <x v="6"/>
    <x v="13"/>
    <n v="558"/>
    <n v="39"/>
    <x v="13"/>
  </r>
  <r>
    <x v="3"/>
    <x v="7"/>
    <x v="0"/>
    <n v="0"/>
    <n v="0"/>
    <x v="20"/>
  </r>
  <r>
    <x v="3"/>
    <x v="7"/>
    <x v="3"/>
    <n v="7833"/>
    <n v="1755"/>
    <x v="3"/>
  </r>
  <r>
    <x v="3"/>
    <x v="7"/>
    <x v="42"/>
    <n v="23316"/>
    <n v="1311"/>
    <x v="22"/>
  </r>
  <r>
    <x v="3"/>
    <x v="7"/>
    <x v="8"/>
    <n v="1684"/>
    <n v="289"/>
    <x v="4"/>
  </r>
  <r>
    <x v="3"/>
    <x v="7"/>
    <x v="57"/>
    <n v="49541"/>
    <n v="7685"/>
    <x v="4"/>
  </r>
  <r>
    <x v="3"/>
    <x v="7"/>
    <x v="9"/>
    <n v="296"/>
    <n v="32"/>
    <x v="5"/>
  </r>
  <r>
    <x v="3"/>
    <x v="7"/>
    <x v="16"/>
    <n v="6089"/>
    <n v="505"/>
    <x v="24"/>
  </r>
  <r>
    <x v="3"/>
    <x v="7"/>
    <x v="10"/>
    <n v="19812"/>
    <n v="364"/>
    <x v="6"/>
  </r>
  <r>
    <x v="3"/>
    <x v="7"/>
    <x v="11"/>
    <n v="154"/>
    <n v="28"/>
    <x v="29"/>
  </r>
  <r>
    <x v="3"/>
    <x v="7"/>
    <x v="2"/>
    <n v="521"/>
    <n v="110"/>
    <x v="12"/>
  </r>
  <r>
    <x v="3"/>
    <x v="7"/>
    <x v="53"/>
    <n v="94260"/>
    <n v="5328"/>
    <x v="10"/>
  </r>
  <r>
    <x v="3"/>
    <x v="7"/>
    <x v="51"/>
    <n v="5"/>
    <n v="5"/>
    <x v="10"/>
  </r>
  <r>
    <x v="3"/>
    <x v="7"/>
    <x v="13"/>
    <n v="671"/>
    <n v="125"/>
    <x v="11"/>
  </r>
  <r>
    <x v="3"/>
    <x v="0"/>
    <x v="0"/>
    <n v="0"/>
    <n v="0"/>
    <x v="9"/>
  </r>
  <r>
    <x v="3"/>
    <x v="0"/>
    <x v="0"/>
    <n v="0"/>
    <n v="0"/>
    <x v="13"/>
  </r>
  <r>
    <x v="3"/>
    <x v="0"/>
    <x v="1"/>
    <n v="28"/>
    <n v="2"/>
    <x v="30"/>
  </r>
  <r>
    <x v="3"/>
    <x v="0"/>
    <x v="14"/>
    <n v="3104"/>
    <n v="216"/>
    <x v="4"/>
  </r>
  <r>
    <x v="3"/>
    <x v="0"/>
    <x v="58"/>
    <n v="33912"/>
    <n v="4220"/>
    <x v="4"/>
  </r>
  <r>
    <x v="3"/>
    <x v="0"/>
    <x v="27"/>
    <n v="14531"/>
    <n v="2322"/>
    <x v="23"/>
  </r>
  <r>
    <x v="3"/>
    <x v="0"/>
    <x v="27"/>
    <n v="8315"/>
    <n v="1449"/>
    <x v="0"/>
  </r>
  <r>
    <x v="3"/>
    <x v="0"/>
    <x v="16"/>
    <n v="8302"/>
    <n v="999"/>
    <x v="2"/>
  </r>
  <r>
    <x v="3"/>
    <x v="0"/>
    <x v="23"/>
    <n v="6"/>
    <n v="0"/>
    <x v="30"/>
  </r>
  <r>
    <x v="3"/>
    <x v="0"/>
    <x v="2"/>
    <n v="1290"/>
    <n v="245"/>
    <x v="19"/>
  </r>
  <r>
    <x v="3"/>
    <x v="0"/>
    <x v="17"/>
    <n v="10744"/>
    <n v="1253"/>
    <x v="8"/>
  </r>
  <r>
    <x v="3"/>
    <x v="0"/>
    <x v="43"/>
    <n v="95006"/>
    <n v="5823"/>
    <x v="10"/>
  </r>
  <r>
    <x v="3"/>
    <x v="0"/>
    <x v="44"/>
    <n v="86115"/>
    <n v="5039"/>
    <x v="10"/>
  </r>
  <r>
    <x v="3"/>
    <x v="0"/>
    <x v="36"/>
    <n v="1765"/>
    <n v="185"/>
    <x v="16"/>
  </r>
  <r>
    <x v="3"/>
    <x v="1"/>
    <x v="0"/>
    <n v="13"/>
    <n v="13"/>
    <x v="4"/>
  </r>
  <r>
    <x v="3"/>
    <x v="1"/>
    <x v="0"/>
    <n v="0"/>
    <n v="0"/>
    <x v="1"/>
  </r>
  <r>
    <x v="3"/>
    <x v="1"/>
    <x v="0"/>
    <n v="2"/>
    <n v="0"/>
    <x v="18"/>
  </r>
  <r>
    <x v="3"/>
    <x v="1"/>
    <x v="1"/>
    <n v="8489"/>
    <n v="989"/>
    <x v="2"/>
  </r>
  <r>
    <x v="3"/>
    <x v="1"/>
    <x v="3"/>
    <n v="1"/>
    <n v="1"/>
    <x v="18"/>
  </r>
  <r>
    <x v="3"/>
    <x v="1"/>
    <x v="19"/>
    <n v="18971"/>
    <n v="848"/>
    <x v="4"/>
  </r>
  <r>
    <x v="3"/>
    <x v="1"/>
    <x v="14"/>
    <n v="16871"/>
    <n v="417"/>
    <x v="22"/>
  </r>
  <r>
    <x v="3"/>
    <x v="1"/>
    <x v="45"/>
    <n v="6758"/>
    <n v="546"/>
    <x v="4"/>
  </r>
  <r>
    <x v="3"/>
    <x v="1"/>
    <x v="46"/>
    <n v="11241"/>
    <n v="565"/>
    <x v="4"/>
  </r>
  <r>
    <x v="3"/>
    <x v="1"/>
    <x v="28"/>
    <n v="3607"/>
    <n v="360"/>
    <x v="24"/>
  </r>
  <r>
    <x v="3"/>
    <x v="1"/>
    <x v="16"/>
    <n v="5698"/>
    <n v="651"/>
    <x v="8"/>
  </r>
  <r>
    <x v="3"/>
    <x v="1"/>
    <x v="63"/>
    <n v="14840"/>
    <n v="964"/>
    <x v="4"/>
  </r>
  <r>
    <x v="3"/>
    <x v="1"/>
    <x v="22"/>
    <n v="9671"/>
    <n v="1735"/>
    <x v="12"/>
  </r>
  <r>
    <x v="3"/>
    <x v="1"/>
    <x v="11"/>
    <n v="70"/>
    <n v="5"/>
    <x v="12"/>
  </r>
  <r>
    <x v="3"/>
    <x v="1"/>
    <x v="2"/>
    <n v="4"/>
    <n v="0"/>
    <x v="5"/>
  </r>
  <r>
    <x v="3"/>
    <x v="1"/>
    <x v="2"/>
    <n v="87"/>
    <n v="33"/>
    <x v="15"/>
  </r>
  <r>
    <x v="3"/>
    <x v="1"/>
    <x v="2"/>
    <n v="96"/>
    <n v="41"/>
    <x v="11"/>
  </r>
  <r>
    <x v="3"/>
    <x v="1"/>
    <x v="47"/>
    <n v="90332"/>
    <n v="4126"/>
    <x v="10"/>
  </r>
  <r>
    <x v="3"/>
    <x v="5"/>
    <x v="0"/>
    <n v="0"/>
    <n v="0"/>
    <x v="20"/>
  </r>
  <r>
    <x v="3"/>
    <x v="5"/>
    <x v="0"/>
    <n v="0"/>
    <n v="0"/>
    <x v="3"/>
  </r>
  <r>
    <x v="3"/>
    <x v="5"/>
    <x v="3"/>
    <n v="12036"/>
    <n v="2034"/>
    <x v="3"/>
  </r>
  <r>
    <x v="3"/>
    <x v="5"/>
    <x v="30"/>
    <n v="2658"/>
    <n v="72"/>
    <x v="4"/>
  </r>
  <r>
    <x v="3"/>
    <x v="5"/>
    <x v="42"/>
    <n v="30504"/>
    <n v="2089"/>
    <x v="22"/>
  </r>
  <r>
    <x v="3"/>
    <x v="5"/>
    <x v="8"/>
    <n v="1299"/>
    <n v="209"/>
    <x v="4"/>
  </r>
  <r>
    <x v="3"/>
    <x v="5"/>
    <x v="57"/>
    <n v="66543"/>
    <n v="7976"/>
    <x v="4"/>
  </r>
  <r>
    <x v="3"/>
    <x v="5"/>
    <x v="9"/>
    <n v="301"/>
    <n v="22"/>
    <x v="5"/>
  </r>
  <r>
    <x v="3"/>
    <x v="5"/>
    <x v="16"/>
    <n v="8708"/>
    <n v="894"/>
    <x v="24"/>
  </r>
  <r>
    <x v="3"/>
    <x v="5"/>
    <x v="63"/>
    <n v="429"/>
    <n v="41"/>
    <x v="22"/>
  </r>
  <r>
    <x v="3"/>
    <x v="5"/>
    <x v="10"/>
    <n v="20134"/>
    <n v="399"/>
    <x v="6"/>
  </r>
  <r>
    <x v="3"/>
    <x v="5"/>
    <x v="11"/>
    <n v="114"/>
    <n v="19"/>
    <x v="29"/>
  </r>
  <r>
    <x v="3"/>
    <x v="5"/>
    <x v="53"/>
    <n v="100001"/>
    <n v="5097"/>
    <x v="10"/>
  </r>
  <r>
    <x v="3"/>
    <x v="5"/>
    <x v="51"/>
    <n v="4"/>
    <n v="4"/>
    <x v="10"/>
  </r>
  <r>
    <x v="3"/>
    <x v="8"/>
    <x v="0"/>
    <n v="0"/>
    <n v="0"/>
    <x v="9"/>
  </r>
  <r>
    <x v="3"/>
    <x v="8"/>
    <x v="14"/>
    <n v="7448"/>
    <n v="539"/>
    <x v="4"/>
  </r>
  <r>
    <x v="3"/>
    <x v="8"/>
    <x v="5"/>
    <n v="49190"/>
    <n v="5681"/>
    <x v="4"/>
  </r>
  <r>
    <x v="3"/>
    <x v="8"/>
    <x v="7"/>
    <n v="38346"/>
    <n v="3411"/>
    <x v="4"/>
  </r>
  <r>
    <x v="3"/>
    <x v="8"/>
    <x v="33"/>
    <n v="397"/>
    <n v="74"/>
    <x v="4"/>
  </r>
  <r>
    <x v="3"/>
    <x v="8"/>
    <x v="58"/>
    <n v="42966"/>
    <n v="5484"/>
    <x v="4"/>
  </r>
  <r>
    <x v="3"/>
    <x v="8"/>
    <x v="27"/>
    <n v="19087"/>
    <n v="2915"/>
    <x v="23"/>
  </r>
  <r>
    <x v="3"/>
    <x v="8"/>
    <x v="27"/>
    <n v="8147"/>
    <n v="1215"/>
    <x v="0"/>
  </r>
  <r>
    <x v="3"/>
    <x v="8"/>
    <x v="16"/>
    <n v="8671"/>
    <n v="1098"/>
    <x v="2"/>
  </r>
  <r>
    <x v="3"/>
    <x v="8"/>
    <x v="11"/>
    <n v="11684"/>
    <n v="1734"/>
    <x v="7"/>
  </r>
  <r>
    <x v="3"/>
    <x v="8"/>
    <x v="2"/>
    <n v="1310"/>
    <n v="271"/>
    <x v="19"/>
  </r>
  <r>
    <x v="3"/>
    <x v="8"/>
    <x v="2"/>
    <n v="5573"/>
    <n v="1071"/>
    <x v="9"/>
  </r>
  <r>
    <x v="3"/>
    <x v="8"/>
    <x v="17"/>
    <n v="13939"/>
    <n v="1422"/>
    <x v="8"/>
  </r>
  <r>
    <x v="3"/>
    <x v="8"/>
    <x v="43"/>
    <n v="100049"/>
    <n v="5912"/>
    <x v="10"/>
  </r>
  <r>
    <x v="3"/>
    <x v="8"/>
    <x v="44"/>
    <n v="85109"/>
    <n v="4246"/>
    <x v="10"/>
  </r>
  <r>
    <x v="3"/>
    <x v="8"/>
    <x v="13"/>
    <n v="10874"/>
    <n v="1108"/>
    <x v="17"/>
  </r>
  <r>
    <x v="3"/>
    <x v="9"/>
    <x v="0"/>
    <n v="0"/>
    <n v="0"/>
    <x v="27"/>
  </r>
  <r>
    <x v="3"/>
    <x v="9"/>
    <x v="0"/>
    <n v="0"/>
    <n v="0"/>
    <x v="1"/>
  </r>
  <r>
    <x v="3"/>
    <x v="9"/>
    <x v="0"/>
    <n v="0"/>
    <n v="0"/>
    <x v="0"/>
  </r>
  <r>
    <x v="3"/>
    <x v="9"/>
    <x v="1"/>
    <n v="10133"/>
    <n v="713"/>
    <x v="2"/>
  </r>
  <r>
    <x v="3"/>
    <x v="9"/>
    <x v="19"/>
    <n v="13400"/>
    <n v="565"/>
    <x v="4"/>
  </r>
  <r>
    <x v="3"/>
    <x v="9"/>
    <x v="15"/>
    <n v="0"/>
    <n v="0"/>
    <x v="14"/>
  </r>
  <r>
    <x v="3"/>
    <x v="9"/>
    <x v="45"/>
    <n v="7657"/>
    <n v="543"/>
    <x v="4"/>
  </r>
  <r>
    <x v="3"/>
    <x v="9"/>
    <x v="46"/>
    <n v="5747"/>
    <n v="266"/>
    <x v="4"/>
  </r>
  <r>
    <x v="3"/>
    <x v="9"/>
    <x v="28"/>
    <n v="2805"/>
    <n v="290"/>
    <x v="24"/>
  </r>
  <r>
    <x v="3"/>
    <x v="9"/>
    <x v="28"/>
    <n v="16586"/>
    <n v="1941"/>
    <x v="7"/>
  </r>
  <r>
    <x v="3"/>
    <x v="9"/>
    <x v="16"/>
    <n v="4764"/>
    <n v="329"/>
    <x v="8"/>
  </r>
  <r>
    <x v="3"/>
    <x v="9"/>
    <x v="63"/>
    <n v="12639"/>
    <n v="674"/>
    <x v="4"/>
  </r>
  <r>
    <x v="3"/>
    <x v="9"/>
    <x v="22"/>
    <n v="7964"/>
    <n v="1304"/>
    <x v="12"/>
  </r>
  <r>
    <x v="3"/>
    <x v="9"/>
    <x v="23"/>
    <n v="1"/>
    <n v="0"/>
    <x v="24"/>
  </r>
  <r>
    <x v="3"/>
    <x v="9"/>
    <x v="2"/>
    <n v="4"/>
    <n v="1"/>
    <x v="5"/>
  </r>
  <r>
    <x v="3"/>
    <x v="9"/>
    <x v="2"/>
    <n v="60"/>
    <n v="15"/>
    <x v="15"/>
  </r>
  <r>
    <x v="3"/>
    <x v="9"/>
    <x v="2"/>
    <n v="91"/>
    <n v="22"/>
    <x v="11"/>
  </r>
  <r>
    <x v="3"/>
    <x v="9"/>
    <x v="47"/>
    <n v="96061"/>
    <n v="6135"/>
    <x v="10"/>
  </r>
  <r>
    <x v="3"/>
    <x v="9"/>
    <x v="36"/>
    <n v="1059"/>
    <n v="212"/>
    <x v="8"/>
  </r>
  <r>
    <x v="3"/>
    <x v="9"/>
    <x v="13"/>
    <n v="6482"/>
    <n v="657"/>
    <x v="2"/>
  </r>
  <r>
    <x v="3"/>
    <x v="3"/>
    <x v="0"/>
    <n v="0"/>
    <n v="0"/>
    <x v="20"/>
  </r>
  <r>
    <x v="3"/>
    <x v="3"/>
    <x v="0"/>
    <n v="0"/>
    <n v="0"/>
    <x v="17"/>
  </r>
  <r>
    <x v="3"/>
    <x v="3"/>
    <x v="0"/>
    <n v="0"/>
    <n v="0"/>
    <x v="3"/>
  </r>
  <r>
    <x v="3"/>
    <x v="3"/>
    <x v="42"/>
    <n v="305"/>
    <n v="15"/>
    <x v="22"/>
  </r>
  <r>
    <x v="3"/>
    <x v="3"/>
    <x v="8"/>
    <n v="40"/>
    <n v="6"/>
    <x v="4"/>
  </r>
  <r>
    <x v="3"/>
    <x v="3"/>
    <x v="57"/>
    <n v="711"/>
    <n v="96"/>
    <x v="4"/>
  </r>
  <r>
    <x v="3"/>
    <x v="3"/>
    <x v="9"/>
    <n v="147"/>
    <n v="11"/>
    <x v="19"/>
  </r>
  <r>
    <x v="3"/>
    <x v="3"/>
    <x v="11"/>
    <n v="20"/>
    <n v="4"/>
    <x v="29"/>
  </r>
  <r>
    <x v="3"/>
    <x v="3"/>
    <x v="11"/>
    <n v="226"/>
    <n v="8"/>
    <x v="13"/>
  </r>
  <r>
    <x v="3"/>
    <x v="3"/>
    <x v="53"/>
    <n v="10093"/>
    <n v="535"/>
    <x v="10"/>
  </r>
  <r>
    <x v="3"/>
    <x v="6"/>
    <x v="0"/>
    <n v="0"/>
    <n v="0"/>
    <x v="6"/>
  </r>
  <r>
    <x v="3"/>
    <x v="6"/>
    <x v="0"/>
    <n v="0"/>
    <n v="0"/>
    <x v="10"/>
  </r>
  <r>
    <x v="3"/>
    <x v="6"/>
    <x v="0"/>
    <n v="0"/>
    <n v="0"/>
    <x v="0"/>
  </r>
  <r>
    <x v="3"/>
    <x v="6"/>
    <x v="1"/>
    <n v="7514"/>
    <n v="1437"/>
    <x v="3"/>
  </r>
  <r>
    <x v="3"/>
    <x v="6"/>
    <x v="3"/>
    <n v="13662"/>
    <n v="1924"/>
    <x v="9"/>
  </r>
  <r>
    <x v="3"/>
    <x v="6"/>
    <x v="48"/>
    <n v="27099"/>
    <n v="841"/>
    <x v="4"/>
  </r>
  <r>
    <x v="3"/>
    <x v="6"/>
    <x v="49"/>
    <n v="12625"/>
    <n v="3184"/>
    <x v="4"/>
  </r>
  <r>
    <x v="3"/>
    <x v="6"/>
    <x v="15"/>
    <n v="0"/>
    <n v="0"/>
    <x v="14"/>
  </r>
  <r>
    <x v="3"/>
    <x v="6"/>
    <x v="26"/>
    <n v="737"/>
    <n v="62"/>
    <x v="0"/>
  </r>
  <r>
    <x v="3"/>
    <x v="6"/>
    <x v="22"/>
    <n v="14752"/>
    <n v="1416"/>
    <x v="19"/>
  </r>
  <r>
    <x v="3"/>
    <x v="6"/>
    <x v="23"/>
    <n v="98"/>
    <n v="87"/>
    <x v="24"/>
  </r>
  <r>
    <x v="3"/>
    <x v="6"/>
    <x v="2"/>
    <n v="3"/>
    <n v="1"/>
    <x v="5"/>
  </r>
  <r>
    <x v="3"/>
    <x v="6"/>
    <x v="2"/>
    <n v="99"/>
    <n v="26"/>
    <x v="11"/>
  </r>
  <r>
    <x v="3"/>
    <x v="6"/>
    <x v="2"/>
    <n v="90"/>
    <n v="22"/>
    <x v="1"/>
  </r>
  <r>
    <x v="3"/>
    <x v="6"/>
    <x v="31"/>
    <n v="51473"/>
    <n v="2154"/>
    <x v="10"/>
  </r>
  <r>
    <x v="3"/>
    <x v="6"/>
    <x v="43"/>
    <n v="4510"/>
    <n v="293"/>
    <x v="20"/>
  </r>
  <r>
    <x v="3"/>
    <x v="6"/>
    <x v="24"/>
    <n v="2920"/>
    <n v="358"/>
    <x v="8"/>
  </r>
  <r>
    <x v="3"/>
    <x v="6"/>
    <x v="13"/>
    <n v="7521"/>
    <n v="614"/>
    <x v="19"/>
  </r>
  <r>
    <x v="3"/>
    <x v="6"/>
    <x v="13"/>
    <n v="8689"/>
    <n v="767"/>
    <x v="2"/>
  </r>
  <r>
    <x v="3"/>
    <x v="7"/>
    <x v="38"/>
    <n v="44355"/>
    <n v="3444"/>
    <x v="4"/>
  </r>
  <r>
    <x v="3"/>
    <x v="7"/>
    <x v="41"/>
    <n v="38763"/>
    <n v="3624"/>
    <x v="4"/>
  </r>
  <r>
    <x v="3"/>
    <x v="7"/>
    <x v="15"/>
    <n v="49119"/>
    <n v="3611"/>
    <x v="4"/>
  </r>
  <r>
    <x v="3"/>
    <x v="7"/>
    <x v="30"/>
    <n v="2908"/>
    <n v="102"/>
    <x v="4"/>
  </r>
  <r>
    <x v="3"/>
    <x v="7"/>
    <x v="26"/>
    <n v="9107"/>
    <n v="1165"/>
    <x v="25"/>
  </r>
  <r>
    <x v="3"/>
    <x v="7"/>
    <x v="26"/>
    <n v="199"/>
    <n v="19"/>
    <x v="1"/>
  </r>
  <r>
    <x v="3"/>
    <x v="7"/>
    <x v="9"/>
    <n v="2692"/>
    <n v="265"/>
    <x v="19"/>
  </r>
  <r>
    <x v="3"/>
    <x v="7"/>
    <x v="63"/>
    <n v="448"/>
    <n v="42"/>
    <x v="22"/>
  </r>
  <r>
    <x v="3"/>
    <x v="7"/>
    <x v="17"/>
    <n v="14137"/>
    <n v="1182"/>
    <x v="16"/>
  </r>
  <r>
    <x v="3"/>
    <x v="7"/>
    <x v="35"/>
    <n v="81402"/>
    <n v="2503"/>
    <x v="10"/>
  </r>
  <r>
    <x v="3"/>
    <x v="7"/>
    <x v="12"/>
    <n v="40"/>
    <n v="40"/>
    <x v="10"/>
  </r>
  <r>
    <x v="3"/>
    <x v="0"/>
    <x v="0"/>
    <n v="0"/>
    <n v="0"/>
    <x v="19"/>
  </r>
  <r>
    <x v="3"/>
    <x v="0"/>
    <x v="0"/>
    <n v="0"/>
    <n v="0"/>
    <x v="2"/>
  </r>
  <r>
    <x v="3"/>
    <x v="0"/>
    <x v="20"/>
    <n v="46001"/>
    <n v="2645"/>
    <x v="4"/>
  </r>
  <r>
    <x v="3"/>
    <x v="0"/>
    <x v="5"/>
    <n v="32445"/>
    <n v="3222"/>
    <x v="4"/>
  </r>
  <r>
    <x v="3"/>
    <x v="0"/>
    <x v="25"/>
    <n v="64047"/>
    <n v="5497"/>
    <x v="4"/>
  </r>
  <r>
    <x v="3"/>
    <x v="0"/>
    <x v="25"/>
    <n v="813"/>
    <n v="170"/>
    <x v="22"/>
  </r>
  <r>
    <x v="3"/>
    <x v="0"/>
    <x v="6"/>
    <n v="3484"/>
    <n v="80"/>
    <x v="4"/>
  </r>
  <r>
    <x v="3"/>
    <x v="0"/>
    <x v="6"/>
    <n v="78"/>
    <n v="13"/>
    <x v="22"/>
  </r>
  <r>
    <x v="3"/>
    <x v="0"/>
    <x v="52"/>
    <n v="44889"/>
    <n v="3760"/>
    <x v="4"/>
  </r>
  <r>
    <x v="3"/>
    <x v="0"/>
    <x v="33"/>
    <n v="179"/>
    <n v="59"/>
    <x v="4"/>
  </r>
  <r>
    <x v="3"/>
    <x v="0"/>
    <x v="28"/>
    <n v="6898"/>
    <n v="843"/>
    <x v="2"/>
  </r>
  <r>
    <x v="3"/>
    <x v="0"/>
    <x v="9"/>
    <n v="3858"/>
    <n v="257"/>
    <x v="12"/>
  </r>
  <r>
    <x v="3"/>
    <x v="0"/>
    <x v="9"/>
    <n v="17414"/>
    <n v="2830"/>
    <x v="2"/>
  </r>
  <r>
    <x v="3"/>
    <x v="0"/>
    <x v="11"/>
    <n v="8521"/>
    <n v="1200"/>
    <x v="7"/>
  </r>
  <r>
    <x v="3"/>
    <x v="0"/>
    <x v="2"/>
    <n v="137"/>
    <n v="25"/>
    <x v="24"/>
  </r>
  <r>
    <x v="3"/>
    <x v="0"/>
    <x v="2"/>
    <n v="11519"/>
    <n v="961"/>
    <x v="17"/>
  </r>
  <r>
    <x v="3"/>
    <x v="0"/>
    <x v="2"/>
    <n v="291"/>
    <n v="73"/>
    <x v="3"/>
  </r>
  <r>
    <x v="3"/>
    <x v="0"/>
    <x v="29"/>
    <n v="106184"/>
    <n v="5763"/>
    <x v="10"/>
  </r>
  <r>
    <x v="3"/>
    <x v="1"/>
    <x v="0"/>
    <n v="0"/>
    <n v="0"/>
    <x v="12"/>
  </r>
  <r>
    <x v="3"/>
    <x v="1"/>
    <x v="0"/>
    <n v="0"/>
    <n v="0"/>
    <x v="6"/>
  </r>
  <r>
    <x v="3"/>
    <x v="1"/>
    <x v="0"/>
    <n v="0"/>
    <n v="0"/>
    <x v="10"/>
  </r>
  <r>
    <x v="3"/>
    <x v="1"/>
    <x v="0"/>
    <n v="0"/>
    <n v="0"/>
    <x v="0"/>
  </r>
  <r>
    <x v="3"/>
    <x v="1"/>
    <x v="37"/>
    <n v="10600"/>
    <n v="326"/>
    <x v="28"/>
  </r>
  <r>
    <x v="3"/>
    <x v="1"/>
    <x v="1"/>
    <n v="7944"/>
    <n v="1403"/>
    <x v="3"/>
  </r>
  <r>
    <x v="3"/>
    <x v="1"/>
    <x v="3"/>
    <n v="22709"/>
    <n v="3600"/>
    <x v="9"/>
  </r>
  <r>
    <x v="3"/>
    <x v="1"/>
    <x v="48"/>
    <n v="39569"/>
    <n v="1417"/>
    <x v="4"/>
  </r>
  <r>
    <x v="3"/>
    <x v="1"/>
    <x v="49"/>
    <n v="23766"/>
    <n v="3027"/>
    <x v="4"/>
  </r>
  <r>
    <x v="3"/>
    <x v="1"/>
    <x v="15"/>
    <n v="0"/>
    <n v="0"/>
    <x v="14"/>
  </r>
  <r>
    <x v="3"/>
    <x v="1"/>
    <x v="50"/>
    <n v="28141"/>
    <n v="644"/>
    <x v="27"/>
  </r>
  <r>
    <x v="3"/>
    <x v="1"/>
    <x v="26"/>
    <n v="825"/>
    <n v="84"/>
    <x v="0"/>
  </r>
  <r>
    <x v="3"/>
    <x v="1"/>
    <x v="27"/>
    <n v="2226"/>
    <n v="530"/>
    <x v="1"/>
  </r>
  <r>
    <x v="3"/>
    <x v="1"/>
    <x v="23"/>
    <n v="41"/>
    <n v="10"/>
    <x v="24"/>
  </r>
  <r>
    <x v="3"/>
    <x v="1"/>
    <x v="23"/>
    <n v="155"/>
    <n v="40"/>
    <x v="2"/>
  </r>
  <r>
    <x v="3"/>
    <x v="1"/>
    <x v="11"/>
    <n v="900"/>
    <n v="129"/>
    <x v="6"/>
  </r>
  <r>
    <x v="3"/>
    <x v="1"/>
    <x v="2"/>
    <n v="39"/>
    <n v="11"/>
    <x v="1"/>
  </r>
  <r>
    <x v="3"/>
    <x v="1"/>
    <x v="2"/>
    <n v="1"/>
    <n v="1"/>
    <x v="18"/>
  </r>
  <r>
    <x v="3"/>
    <x v="1"/>
    <x v="31"/>
    <n v="62660"/>
    <n v="2681"/>
    <x v="10"/>
  </r>
  <r>
    <x v="3"/>
    <x v="1"/>
    <x v="18"/>
    <n v="20193"/>
    <n v="794"/>
    <x v="10"/>
  </r>
  <r>
    <x v="3"/>
    <x v="1"/>
    <x v="43"/>
    <n v="2760"/>
    <n v="233"/>
    <x v="20"/>
  </r>
  <r>
    <x v="3"/>
    <x v="1"/>
    <x v="54"/>
    <n v="89369"/>
    <n v="4482"/>
    <x v="10"/>
  </r>
  <r>
    <x v="3"/>
    <x v="1"/>
    <x v="24"/>
    <n v="7849"/>
    <n v="832"/>
    <x v="8"/>
  </r>
  <r>
    <x v="3"/>
    <x v="1"/>
    <x v="13"/>
    <n v="9113"/>
    <n v="854"/>
    <x v="19"/>
  </r>
  <r>
    <x v="3"/>
    <x v="1"/>
    <x v="13"/>
    <n v="7324"/>
    <n v="809"/>
    <x v="2"/>
  </r>
  <r>
    <x v="3"/>
    <x v="5"/>
    <x v="38"/>
    <n v="37911"/>
    <n v="2663"/>
    <x v="4"/>
  </r>
  <r>
    <x v="3"/>
    <x v="5"/>
    <x v="20"/>
    <n v="32"/>
    <n v="32"/>
    <x v="14"/>
  </r>
  <r>
    <x v="3"/>
    <x v="5"/>
    <x v="26"/>
    <n v="5268"/>
    <n v="678"/>
    <x v="25"/>
  </r>
  <r>
    <x v="3"/>
    <x v="5"/>
    <x v="9"/>
    <n v="1014"/>
    <n v="93"/>
    <x v="19"/>
  </r>
  <r>
    <x v="3"/>
    <x v="5"/>
    <x v="11"/>
    <n v="11339"/>
    <n v="2672"/>
    <x v="25"/>
  </r>
  <r>
    <x v="3"/>
    <x v="5"/>
    <x v="17"/>
    <n v="15057"/>
    <n v="1318"/>
    <x v="16"/>
  </r>
  <r>
    <x v="3"/>
    <x v="5"/>
    <x v="35"/>
    <n v="84759"/>
    <n v="2418"/>
    <x v="10"/>
  </r>
  <r>
    <x v="3"/>
    <x v="5"/>
    <x v="12"/>
    <n v="32"/>
    <n v="32"/>
    <x v="10"/>
  </r>
  <r>
    <x v="3"/>
    <x v="8"/>
    <x v="0"/>
    <n v="0"/>
    <n v="0"/>
    <x v="19"/>
  </r>
  <r>
    <x v="3"/>
    <x v="8"/>
    <x v="0"/>
    <n v="0"/>
    <n v="0"/>
    <x v="2"/>
  </r>
  <r>
    <x v="3"/>
    <x v="8"/>
    <x v="20"/>
    <n v="52709"/>
    <n v="2761"/>
    <x v="4"/>
  </r>
  <r>
    <x v="3"/>
    <x v="8"/>
    <x v="25"/>
    <n v="44494"/>
    <n v="4008"/>
    <x v="4"/>
  </r>
  <r>
    <x v="3"/>
    <x v="8"/>
    <x v="25"/>
    <n v="692"/>
    <n v="134"/>
    <x v="22"/>
  </r>
  <r>
    <x v="3"/>
    <x v="8"/>
    <x v="6"/>
    <n v="3341"/>
    <n v="90"/>
    <x v="4"/>
  </r>
  <r>
    <x v="3"/>
    <x v="8"/>
    <x v="6"/>
    <n v="53"/>
    <n v="8"/>
    <x v="22"/>
  </r>
  <r>
    <x v="3"/>
    <x v="8"/>
    <x v="56"/>
    <n v="208"/>
    <n v="18"/>
    <x v="4"/>
  </r>
  <r>
    <x v="3"/>
    <x v="8"/>
    <x v="52"/>
    <n v="42809"/>
    <n v="4070"/>
    <x v="4"/>
  </r>
  <r>
    <x v="3"/>
    <x v="8"/>
    <x v="28"/>
    <n v="6309"/>
    <n v="659"/>
    <x v="2"/>
  </r>
  <r>
    <x v="3"/>
    <x v="8"/>
    <x v="9"/>
    <n v="2330"/>
    <n v="256"/>
    <x v="12"/>
  </r>
  <r>
    <x v="3"/>
    <x v="8"/>
    <x v="2"/>
    <n v="185"/>
    <n v="55"/>
    <x v="24"/>
  </r>
  <r>
    <x v="3"/>
    <x v="8"/>
    <x v="2"/>
    <n v="13151"/>
    <n v="932"/>
    <x v="17"/>
  </r>
  <r>
    <x v="3"/>
    <x v="8"/>
    <x v="2"/>
    <n v="365"/>
    <n v="75"/>
    <x v="3"/>
  </r>
  <r>
    <x v="3"/>
    <x v="8"/>
    <x v="29"/>
    <n v="109048"/>
    <n v="5843"/>
    <x v="10"/>
  </r>
  <r>
    <x v="3"/>
    <x v="8"/>
    <x v="36"/>
    <n v="4891"/>
    <n v="326"/>
    <x v="16"/>
  </r>
  <r>
    <x v="3"/>
    <x v="9"/>
    <x v="0"/>
    <n v="13"/>
    <n v="13"/>
    <x v="4"/>
  </r>
  <r>
    <x v="3"/>
    <x v="9"/>
    <x v="0"/>
    <n v="0"/>
    <n v="0"/>
    <x v="12"/>
  </r>
  <r>
    <x v="3"/>
    <x v="9"/>
    <x v="0"/>
    <n v="0"/>
    <n v="0"/>
    <x v="6"/>
  </r>
  <r>
    <x v="3"/>
    <x v="9"/>
    <x v="0"/>
    <n v="1"/>
    <n v="1"/>
    <x v="10"/>
  </r>
  <r>
    <x v="3"/>
    <x v="9"/>
    <x v="37"/>
    <n v="9384"/>
    <n v="346"/>
    <x v="28"/>
  </r>
  <r>
    <x v="3"/>
    <x v="9"/>
    <x v="1"/>
    <n v="11686"/>
    <n v="1458"/>
    <x v="3"/>
  </r>
  <r>
    <x v="3"/>
    <x v="9"/>
    <x v="3"/>
    <n v="29299"/>
    <n v="2999"/>
    <x v="9"/>
  </r>
  <r>
    <x v="3"/>
    <x v="9"/>
    <x v="48"/>
    <n v="40686"/>
    <n v="1116"/>
    <x v="4"/>
  </r>
  <r>
    <x v="3"/>
    <x v="9"/>
    <x v="49"/>
    <n v="25891"/>
    <n v="2786"/>
    <x v="4"/>
  </r>
  <r>
    <x v="3"/>
    <x v="9"/>
    <x v="50"/>
    <n v="33087"/>
    <n v="780"/>
    <x v="27"/>
  </r>
  <r>
    <x v="3"/>
    <x v="9"/>
    <x v="26"/>
    <n v="6664"/>
    <n v="637"/>
    <x v="15"/>
  </r>
  <r>
    <x v="3"/>
    <x v="9"/>
    <x v="26"/>
    <n v="711"/>
    <n v="59"/>
    <x v="0"/>
  </r>
  <r>
    <x v="3"/>
    <x v="9"/>
    <x v="27"/>
    <n v="1411"/>
    <n v="298"/>
    <x v="1"/>
  </r>
  <r>
    <x v="3"/>
    <x v="9"/>
    <x v="11"/>
    <n v="0"/>
    <n v="0"/>
    <x v="12"/>
  </r>
  <r>
    <x v="3"/>
    <x v="9"/>
    <x v="11"/>
    <n v="1273"/>
    <n v="204"/>
    <x v="6"/>
  </r>
  <r>
    <x v="3"/>
    <x v="9"/>
    <x v="2"/>
    <n v="59"/>
    <n v="12"/>
    <x v="1"/>
  </r>
  <r>
    <x v="3"/>
    <x v="9"/>
    <x v="2"/>
    <n v="210"/>
    <n v="45"/>
    <x v="0"/>
  </r>
  <r>
    <x v="3"/>
    <x v="9"/>
    <x v="31"/>
    <n v="63901"/>
    <n v="2199"/>
    <x v="10"/>
  </r>
  <r>
    <x v="3"/>
    <x v="9"/>
    <x v="18"/>
    <n v="21262"/>
    <n v="721"/>
    <x v="10"/>
  </r>
  <r>
    <x v="3"/>
    <x v="9"/>
    <x v="43"/>
    <n v="3050"/>
    <n v="166"/>
    <x v="20"/>
  </r>
  <r>
    <x v="3"/>
    <x v="9"/>
    <x v="54"/>
    <n v="84548"/>
    <n v="3326"/>
    <x v="10"/>
  </r>
  <r>
    <x v="3"/>
    <x v="9"/>
    <x v="24"/>
    <n v="8062"/>
    <n v="699"/>
    <x v="8"/>
  </r>
  <r>
    <x v="3"/>
    <x v="9"/>
    <x v="13"/>
    <n v="6076"/>
    <n v="671"/>
    <x v="19"/>
  </r>
  <r>
    <x v="3"/>
    <x v="3"/>
    <x v="26"/>
    <n v="1077"/>
    <n v="169"/>
    <x v="25"/>
  </r>
  <r>
    <x v="3"/>
    <x v="3"/>
    <x v="9"/>
    <n v="0"/>
    <n v="0"/>
    <x v="5"/>
  </r>
  <r>
    <x v="3"/>
    <x v="3"/>
    <x v="16"/>
    <n v="557"/>
    <n v="40"/>
    <x v="24"/>
  </r>
  <r>
    <x v="3"/>
    <x v="3"/>
    <x v="11"/>
    <n v="2258"/>
    <n v="495"/>
    <x v="25"/>
  </r>
  <r>
    <x v="3"/>
    <x v="3"/>
    <x v="35"/>
    <n v="3848"/>
    <n v="68"/>
    <x v="10"/>
  </r>
  <r>
    <x v="3"/>
    <x v="6"/>
    <x v="0"/>
    <n v="0"/>
    <n v="0"/>
    <x v="12"/>
  </r>
  <r>
    <x v="3"/>
    <x v="6"/>
    <x v="1"/>
    <n v="83"/>
    <n v="12"/>
    <x v="30"/>
  </r>
  <r>
    <x v="3"/>
    <x v="6"/>
    <x v="14"/>
    <n v="15336"/>
    <n v="714"/>
    <x v="4"/>
  </r>
  <r>
    <x v="3"/>
    <x v="6"/>
    <x v="39"/>
    <n v="81382"/>
    <n v="7043"/>
    <x v="4"/>
  </r>
  <r>
    <x v="3"/>
    <x v="6"/>
    <x v="33"/>
    <n v="661"/>
    <n v="188"/>
    <x v="4"/>
  </r>
  <r>
    <x v="3"/>
    <x v="6"/>
    <x v="26"/>
    <n v="4776"/>
    <n v="526"/>
    <x v="15"/>
  </r>
  <r>
    <x v="3"/>
    <x v="6"/>
    <x v="27"/>
    <n v="15713"/>
    <n v="2338"/>
    <x v="23"/>
  </r>
  <r>
    <x v="3"/>
    <x v="6"/>
    <x v="34"/>
    <n v="11599"/>
    <n v="973"/>
    <x v="4"/>
  </r>
  <r>
    <x v="3"/>
    <x v="6"/>
    <x v="11"/>
    <n v="661"/>
    <n v="85"/>
    <x v="6"/>
  </r>
  <r>
    <x v="3"/>
    <x v="6"/>
    <x v="2"/>
    <n v="510"/>
    <n v="99"/>
    <x v="12"/>
  </r>
  <r>
    <x v="3"/>
    <x v="6"/>
    <x v="17"/>
    <n v="15124"/>
    <n v="1494"/>
    <x v="16"/>
  </r>
  <r>
    <x v="3"/>
    <x v="6"/>
    <x v="35"/>
    <n v="59664"/>
    <n v="1885"/>
    <x v="10"/>
  </r>
  <r>
    <x v="3"/>
    <x v="6"/>
    <x v="18"/>
    <n v="18538"/>
    <n v="716"/>
    <x v="10"/>
  </r>
  <r>
    <x v="3"/>
    <x v="6"/>
    <x v="13"/>
    <n v="12956"/>
    <n v="1353"/>
    <x v="17"/>
  </r>
  <r>
    <x v="3"/>
    <x v="7"/>
    <x v="0"/>
    <n v="0"/>
    <n v="0"/>
    <x v="19"/>
  </r>
  <r>
    <x v="3"/>
    <x v="7"/>
    <x v="0"/>
    <n v="0"/>
    <n v="0"/>
    <x v="27"/>
  </r>
  <r>
    <x v="3"/>
    <x v="7"/>
    <x v="0"/>
    <n v="0"/>
    <n v="0"/>
    <x v="0"/>
  </r>
  <r>
    <x v="3"/>
    <x v="7"/>
    <x v="1"/>
    <n v="6158"/>
    <n v="1263"/>
    <x v="3"/>
  </r>
  <r>
    <x v="3"/>
    <x v="7"/>
    <x v="20"/>
    <n v="51215"/>
    <n v="3150"/>
    <x v="4"/>
  </r>
  <r>
    <x v="3"/>
    <x v="7"/>
    <x v="20"/>
    <n v="34"/>
    <n v="34"/>
    <x v="14"/>
  </r>
  <r>
    <x v="3"/>
    <x v="7"/>
    <x v="50"/>
    <n v="35544"/>
    <n v="952"/>
    <x v="27"/>
  </r>
  <r>
    <x v="3"/>
    <x v="7"/>
    <x v="28"/>
    <n v="5910"/>
    <n v="2661"/>
    <x v="24"/>
  </r>
  <r>
    <x v="3"/>
    <x v="7"/>
    <x v="28"/>
    <n v="25798"/>
    <n v="2979"/>
    <x v="7"/>
  </r>
  <r>
    <x v="3"/>
    <x v="7"/>
    <x v="27"/>
    <n v="3111"/>
    <n v="548"/>
    <x v="29"/>
  </r>
  <r>
    <x v="3"/>
    <x v="7"/>
    <x v="63"/>
    <n v="16001"/>
    <n v="872"/>
    <x v="4"/>
  </r>
  <r>
    <x v="3"/>
    <x v="7"/>
    <x v="23"/>
    <n v="96"/>
    <n v="80"/>
    <x v="24"/>
  </r>
  <r>
    <x v="3"/>
    <x v="7"/>
    <x v="11"/>
    <n v="9272"/>
    <n v="2265"/>
    <x v="25"/>
  </r>
  <r>
    <x v="3"/>
    <x v="7"/>
    <x v="2"/>
    <n v="5782"/>
    <n v="442"/>
    <x v="17"/>
  </r>
  <r>
    <x v="3"/>
    <x v="7"/>
    <x v="2"/>
    <n v="344"/>
    <n v="81"/>
    <x v="3"/>
  </r>
  <r>
    <x v="3"/>
    <x v="7"/>
    <x v="29"/>
    <n v="87609"/>
    <n v="5208"/>
    <x v="10"/>
  </r>
  <r>
    <x v="3"/>
    <x v="7"/>
    <x v="13"/>
    <n v="7765"/>
    <n v="817"/>
    <x v="2"/>
  </r>
  <r>
    <x v="3"/>
    <x v="0"/>
    <x v="0"/>
    <n v="0"/>
    <n v="0"/>
    <x v="20"/>
  </r>
  <r>
    <x v="3"/>
    <x v="0"/>
    <x v="0"/>
    <n v="21"/>
    <n v="21"/>
    <x v="4"/>
  </r>
  <r>
    <x v="3"/>
    <x v="0"/>
    <x v="0"/>
    <n v="0"/>
    <n v="0"/>
    <x v="11"/>
  </r>
  <r>
    <x v="3"/>
    <x v="0"/>
    <x v="37"/>
    <n v="8783"/>
    <n v="345"/>
    <x v="28"/>
  </r>
  <r>
    <x v="3"/>
    <x v="0"/>
    <x v="1"/>
    <n v="15312"/>
    <n v="2743"/>
    <x v="13"/>
  </r>
  <r>
    <x v="3"/>
    <x v="0"/>
    <x v="38"/>
    <n v="31912"/>
    <n v="2529"/>
    <x v="4"/>
  </r>
  <r>
    <x v="3"/>
    <x v="0"/>
    <x v="30"/>
    <n v="2260"/>
    <n v="60"/>
    <x v="4"/>
  </r>
  <r>
    <x v="3"/>
    <x v="0"/>
    <x v="26"/>
    <n v="733"/>
    <n v="68"/>
    <x v="0"/>
  </r>
  <r>
    <x v="3"/>
    <x v="0"/>
    <x v="11"/>
    <n v="193"/>
    <n v="53"/>
    <x v="23"/>
  </r>
  <r>
    <x v="3"/>
    <x v="0"/>
    <x v="11"/>
    <n v="1158"/>
    <n v="129"/>
    <x v="13"/>
  </r>
  <r>
    <x v="3"/>
    <x v="0"/>
    <x v="2"/>
    <n v="3367"/>
    <n v="545"/>
    <x v="2"/>
  </r>
  <r>
    <x v="3"/>
    <x v="0"/>
    <x v="31"/>
    <n v="63563"/>
    <n v="3054"/>
    <x v="10"/>
  </r>
  <r>
    <x v="3"/>
    <x v="1"/>
    <x v="39"/>
    <n v="74039"/>
    <n v="5176"/>
    <x v="4"/>
  </r>
  <r>
    <x v="3"/>
    <x v="1"/>
    <x v="6"/>
    <n v="77"/>
    <n v="13"/>
    <x v="22"/>
  </r>
  <r>
    <x v="3"/>
    <x v="1"/>
    <x v="33"/>
    <n v="414"/>
    <n v="146"/>
    <x v="4"/>
  </r>
  <r>
    <x v="3"/>
    <x v="1"/>
    <x v="26"/>
    <n v="5394"/>
    <n v="579"/>
    <x v="15"/>
  </r>
  <r>
    <x v="3"/>
    <x v="1"/>
    <x v="27"/>
    <n v="15485"/>
    <n v="2483"/>
    <x v="23"/>
  </r>
  <r>
    <x v="3"/>
    <x v="1"/>
    <x v="16"/>
    <n v="8900"/>
    <n v="815"/>
    <x v="24"/>
  </r>
  <r>
    <x v="3"/>
    <x v="1"/>
    <x v="34"/>
    <n v="12912"/>
    <n v="1255"/>
    <x v="4"/>
  </r>
  <r>
    <x v="3"/>
    <x v="1"/>
    <x v="22"/>
    <n v="13256"/>
    <n v="1836"/>
    <x v="19"/>
  </r>
  <r>
    <x v="3"/>
    <x v="1"/>
    <x v="40"/>
    <n v="10066"/>
    <n v="243"/>
    <x v="21"/>
  </r>
  <r>
    <x v="3"/>
    <x v="1"/>
    <x v="11"/>
    <n v="343"/>
    <n v="82"/>
    <x v="26"/>
  </r>
  <r>
    <x v="3"/>
    <x v="1"/>
    <x v="2"/>
    <n v="580"/>
    <n v="139"/>
    <x v="12"/>
  </r>
  <r>
    <x v="3"/>
    <x v="1"/>
    <x v="35"/>
    <n v="82664"/>
    <n v="2400"/>
    <x v="10"/>
  </r>
  <r>
    <x v="3"/>
    <x v="1"/>
    <x v="13"/>
    <n v="11343"/>
    <n v="1294"/>
    <x v="17"/>
  </r>
  <r>
    <x v="3"/>
    <x v="5"/>
    <x v="0"/>
    <n v="0"/>
    <n v="0"/>
    <x v="19"/>
  </r>
  <r>
    <x v="3"/>
    <x v="5"/>
    <x v="0"/>
    <n v="0"/>
    <n v="0"/>
    <x v="9"/>
  </r>
  <r>
    <x v="3"/>
    <x v="5"/>
    <x v="0"/>
    <n v="0"/>
    <n v="0"/>
    <x v="27"/>
  </r>
  <r>
    <x v="3"/>
    <x v="5"/>
    <x v="0"/>
    <n v="0"/>
    <n v="0"/>
    <x v="0"/>
  </r>
  <r>
    <x v="3"/>
    <x v="5"/>
    <x v="1"/>
    <n v="10232"/>
    <n v="1574"/>
    <x v="3"/>
  </r>
  <r>
    <x v="3"/>
    <x v="5"/>
    <x v="3"/>
    <n v="25277"/>
    <n v="3354"/>
    <x v="9"/>
  </r>
  <r>
    <x v="3"/>
    <x v="5"/>
    <x v="48"/>
    <n v="38407"/>
    <n v="1344"/>
    <x v="4"/>
  </r>
  <r>
    <x v="3"/>
    <x v="5"/>
    <x v="41"/>
    <n v="28264"/>
    <n v="2717"/>
    <x v="4"/>
  </r>
  <r>
    <x v="3"/>
    <x v="5"/>
    <x v="20"/>
    <n v="53323"/>
    <n v="3040"/>
    <x v="4"/>
  </r>
  <r>
    <x v="3"/>
    <x v="5"/>
    <x v="50"/>
    <n v="30096"/>
    <n v="809"/>
    <x v="27"/>
  </r>
  <r>
    <x v="3"/>
    <x v="5"/>
    <x v="26"/>
    <n v="194"/>
    <n v="23"/>
    <x v="1"/>
  </r>
  <r>
    <x v="3"/>
    <x v="5"/>
    <x v="28"/>
    <n v="3434"/>
    <n v="335"/>
    <x v="24"/>
  </r>
  <r>
    <x v="3"/>
    <x v="5"/>
    <x v="28"/>
    <n v="21590"/>
    <n v="2540"/>
    <x v="7"/>
  </r>
  <r>
    <x v="3"/>
    <x v="5"/>
    <x v="27"/>
    <n v="3247"/>
    <n v="560"/>
    <x v="29"/>
  </r>
  <r>
    <x v="3"/>
    <x v="5"/>
    <x v="23"/>
    <n v="15"/>
    <n v="3"/>
    <x v="24"/>
  </r>
  <r>
    <x v="3"/>
    <x v="5"/>
    <x v="2"/>
    <n v="4805"/>
    <n v="334"/>
    <x v="17"/>
  </r>
  <r>
    <x v="3"/>
    <x v="5"/>
    <x v="29"/>
    <n v="108675"/>
    <n v="5819"/>
    <x v="10"/>
  </r>
  <r>
    <x v="3"/>
    <x v="5"/>
    <x v="43"/>
    <n v="98298"/>
    <n v="6054"/>
    <x v="10"/>
  </r>
  <r>
    <x v="3"/>
    <x v="5"/>
    <x v="36"/>
    <n v="1071"/>
    <n v="228"/>
    <x v="8"/>
  </r>
  <r>
    <x v="3"/>
    <x v="5"/>
    <x v="36"/>
    <n v="4656"/>
    <n v="285"/>
    <x v="16"/>
  </r>
  <r>
    <x v="3"/>
    <x v="5"/>
    <x v="13"/>
    <n v="8432"/>
    <n v="852"/>
    <x v="2"/>
  </r>
  <r>
    <x v="3"/>
    <x v="8"/>
    <x v="0"/>
    <n v="15"/>
    <n v="15"/>
    <x v="4"/>
  </r>
  <r>
    <x v="3"/>
    <x v="8"/>
    <x v="0"/>
    <n v="0"/>
    <n v="0"/>
    <x v="11"/>
  </r>
  <r>
    <x v="3"/>
    <x v="8"/>
    <x v="0"/>
    <n v="0"/>
    <n v="0"/>
    <x v="1"/>
  </r>
  <r>
    <x v="3"/>
    <x v="8"/>
    <x v="37"/>
    <n v="7662"/>
    <n v="285"/>
    <x v="28"/>
  </r>
  <r>
    <x v="3"/>
    <x v="8"/>
    <x v="1"/>
    <n v="9284"/>
    <n v="870"/>
    <x v="2"/>
  </r>
  <r>
    <x v="3"/>
    <x v="8"/>
    <x v="1"/>
    <n v="17090"/>
    <n v="2249"/>
    <x v="13"/>
  </r>
  <r>
    <x v="3"/>
    <x v="8"/>
    <x v="38"/>
    <n v="45832"/>
    <n v="3560"/>
    <x v="4"/>
  </r>
  <r>
    <x v="3"/>
    <x v="8"/>
    <x v="30"/>
    <n v="2884"/>
    <n v="89"/>
    <x v="4"/>
  </r>
  <r>
    <x v="3"/>
    <x v="8"/>
    <x v="45"/>
    <n v="5409"/>
    <n v="419"/>
    <x v="4"/>
  </r>
  <r>
    <x v="3"/>
    <x v="8"/>
    <x v="26"/>
    <n v="5679"/>
    <n v="862"/>
    <x v="25"/>
  </r>
  <r>
    <x v="3"/>
    <x v="8"/>
    <x v="9"/>
    <n v="19505"/>
    <n v="3202"/>
    <x v="2"/>
  </r>
  <r>
    <x v="3"/>
    <x v="8"/>
    <x v="16"/>
    <n v="4941"/>
    <n v="385"/>
    <x v="8"/>
  </r>
  <r>
    <x v="3"/>
    <x v="8"/>
    <x v="11"/>
    <n v="218"/>
    <n v="43"/>
    <x v="23"/>
  </r>
  <r>
    <x v="3"/>
    <x v="8"/>
    <x v="11"/>
    <n v="5"/>
    <n v="1"/>
    <x v="12"/>
  </r>
  <r>
    <x v="3"/>
    <x v="8"/>
    <x v="11"/>
    <n v="958"/>
    <n v="79"/>
    <x v="13"/>
  </r>
  <r>
    <x v="3"/>
    <x v="8"/>
    <x v="2"/>
    <n v="4251"/>
    <n v="673"/>
    <x v="2"/>
  </r>
  <r>
    <x v="3"/>
    <x v="9"/>
    <x v="39"/>
    <n v="74902"/>
    <n v="5007"/>
    <x v="4"/>
  </r>
  <r>
    <x v="3"/>
    <x v="9"/>
    <x v="25"/>
    <n v="34234"/>
    <n v="3160"/>
    <x v="4"/>
  </r>
  <r>
    <x v="3"/>
    <x v="9"/>
    <x v="6"/>
    <n v="85"/>
    <n v="11"/>
    <x v="22"/>
  </r>
  <r>
    <x v="3"/>
    <x v="9"/>
    <x v="52"/>
    <n v="43819"/>
    <n v="3618"/>
    <x v="4"/>
  </r>
  <r>
    <x v="3"/>
    <x v="9"/>
    <x v="33"/>
    <n v="515"/>
    <n v="96"/>
    <x v="4"/>
  </r>
  <r>
    <x v="3"/>
    <x v="9"/>
    <x v="16"/>
    <n v="6459"/>
    <n v="584"/>
    <x v="24"/>
  </r>
  <r>
    <x v="3"/>
    <x v="9"/>
    <x v="34"/>
    <n v="13063"/>
    <n v="984"/>
    <x v="4"/>
  </r>
  <r>
    <x v="3"/>
    <x v="9"/>
    <x v="22"/>
    <n v="7040"/>
    <n v="1046"/>
    <x v="19"/>
  </r>
  <r>
    <x v="3"/>
    <x v="9"/>
    <x v="40"/>
    <n v="13628"/>
    <n v="163"/>
    <x v="21"/>
  </r>
  <r>
    <x v="3"/>
    <x v="9"/>
    <x v="11"/>
    <n v="134"/>
    <n v="32"/>
    <x v="29"/>
  </r>
  <r>
    <x v="3"/>
    <x v="9"/>
    <x v="11"/>
    <n v="212"/>
    <n v="40"/>
    <x v="26"/>
  </r>
  <r>
    <x v="3"/>
    <x v="9"/>
    <x v="2"/>
    <n v="592"/>
    <n v="95"/>
    <x v="12"/>
  </r>
  <r>
    <x v="3"/>
    <x v="9"/>
    <x v="53"/>
    <n v="96579"/>
    <n v="4326"/>
    <x v="10"/>
  </r>
  <r>
    <x v="3"/>
    <x v="9"/>
    <x v="51"/>
    <n v="6"/>
    <n v="6"/>
    <x v="10"/>
  </r>
  <r>
    <x v="3"/>
    <x v="9"/>
    <x v="13"/>
    <n v="9880"/>
    <n v="979"/>
    <x v="17"/>
  </r>
  <r>
    <x v="3"/>
    <x v="3"/>
    <x v="0"/>
    <n v="0"/>
    <n v="0"/>
    <x v="19"/>
  </r>
  <r>
    <x v="3"/>
    <x v="3"/>
    <x v="0"/>
    <n v="0"/>
    <n v="0"/>
    <x v="9"/>
  </r>
  <r>
    <x v="3"/>
    <x v="3"/>
    <x v="0"/>
    <n v="0"/>
    <n v="0"/>
    <x v="27"/>
  </r>
  <r>
    <x v="3"/>
    <x v="3"/>
    <x v="0"/>
    <n v="0"/>
    <n v="0"/>
    <x v="0"/>
  </r>
  <r>
    <x v="3"/>
    <x v="3"/>
    <x v="1"/>
    <n v="1383"/>
    <n v="159"/>
    <x v="3"/>
  </r>
  <r>
    <x v="3"/>
    <x v="3"/>
    <x v="3"/>
    <n v="3410"/>
    <n v="310"/>
    <x v="9"/>
  </r>
  <r>
    <x v="3"/>
    <x v="3"/>
    <x v="48"/>
    <n v="2775"/>
    <n v="62"/>
    <x v="4"/>
  </r>
  <r>
    <x v="3"/>
    <x v="3"/>
    <x v="41"/>
    <n v="956"/>
    <n v="60"/>
    <x v="4"/>
  </r>
  <r>
    <x v="3"/>
    <x v="3"/>
    <x v="20"/>
    <n v="834"/>
    <n v="48"/>
    <x v="4"/>
  </r>
  <r>
    <x v="3"/>
    <x v="3"/>
    <x v="15"/>
    <n v="392"/>
    <n v="8"/>
    <x v="22"/>
  </r>
  <r>
    <x v="3"/>
    <x v="3"/>
    <x v="50"/>
    <n v="3120"/>
    <n v="89"/>
    <x v="27"/>
  </r>
  <r>
    <x v="3"/>
    <x v="3"/>
    <x v="26"/>
    <n v="5"/>
    <n v="1"/>
    <x v="1"/>
  </r>
  <r>
    <x v="3"/>
    <x v="3"/>
    <x v="27"/>
    <n v="422"/>
    <n v="95"/>
    <x v="29"/>
  </r>
  <r>
    <x v="3"/>
    <x v="3"/>
    <x v="27"/>
    <n v="1110"/>
    <n v="120"/>
    <x v="0"/>
  </r>
  <r>
    <x v="3"/>
    <x v="3"/>
    <x v="43"/>
    <n v="6002"/>
    <n v="372"/>
    <x v="10"/>
  </r>
  <r>
    <x v="3"/>
    <x v="3"/>
    <x v="44"/>
    <n v="8411"/>
    <n v="469"/>
    <x v="10"/>
  </r>
  <r>
    <x v="3"/>
    <x v="3"/>
    <x v="54"/>
    <n v="3625"/>
    <n v="166"/>
    <x v="10"/>
  </r>
  <r>
    <x v="3"/>
    <x v="3"/>
    <x v="36"/>
    <n v="63"/>
    <n v="17"/>
    <x v="8"/>
  </r>
  <r>
    <x v="3"/>
    <x v="3"/>
    <x v="13"/>
    <n v="578"/>
    <n v="44"/>
    <x v="2"/>
  </r>
  <r>
    <x v="3"/>
    <x v="6"/>
    <x v="14"/>
    <n v="9783"/>
    <n v="198"/>
    <x v="22"/>
  </r>
  <r>
    <x v="3"/>
    <x v="6"/>
    <x v="15"/>
    <n v="55781"/>
    <n v="3979"/>
    <x v="4"/>
  </r>
  <r>
    <x v="3"/>
    <x v="6"/>
    <x v="25"/>
    <n v="72582"/>
    <n v="6724"/>
    <x v="4"/>
  </r>
  <r>
    <x v="3"/>
    <x v="6"/>
    <x v="59"/>
    <n v="4642"/>
    <n v="276"/>
    <x v="4"/>
  </r>
  <r>
    <x v="3"/>
    <x v="6"/>
    <x v="56"/>
    <n v="345"/>
    <n v="96"/>
    <x v="4"/>
  </r>
  <r>
    <x v="3"/>
    <x v="6"/>
    <x v="52"/>
    <n v="49726"/>
    <n v="5324"/>
    <x v="4"/>
  </r>
  <r>
    <x v="3"/>
    <x v="6"/>
    <x v="42"/>
    <n v="2689"/>
    <n v="193"/>
    <x v="22"/>
  </r>
  <r>
    <x v="3"/>
    <x v="6"/>
    <x v="57"/>
    <n v="45397"/>
    <n v="6350"/>
    <x v="4"/>
  </r>
  <r>
    <x v="3"/>
    <x v="6"/>
    <x v="2"/>
    <n v="214"/>
    <n v="45"/>
    <x v="24"/>
  </r>
  <r>
    <x v="3"/>
    <x v="6"/>
    <x v="2"/>
    <n v="9"/>
    <n v="2"/>
    <x v="15"/>
  </r>
  <r>
    <x v="3"/>
    <x v="6"/>
    <x v="17"/>
    <n v="8686"/>
    <n v="960"/>
    <x v="8"/>
  </r>
  <r>
    <x v="3"/>
    <x v="6"/>
    <x v="53"/>
    <n v="77950"/>
    <n v="5432"/>
    <x v="10"/>
  </r>
  <r>
    <x v="3"/>
    <x v="6"/>
    <x v="47"/>
    <n v="93603"/>
    <n v="5087"/>
    <x v="10"/>
  </r>
  <r>
    <x v="3"/>
    <x v="7"/>
    <x v="0"/>
    <n v="0"/>
    <n v="0"/>
    <x v="17"/>
  </r>
  <r>
    <x v="3"/>
    <x v="7"/>
    <x v="0"/>
    <n v="0"/>
    <n v="0"/>
    <x v="3"/>
  </r>
  <r>
    <x v="3"/>
    <x v="7"/>
    <x v="3"/>
    <n v="16999"/>
    <n v="2697"/>
    <x v="9"/>
  </r>
  <r>
    <x v="3"/>
    <x v="7"/>
    <x v="48"/>
    <n v="37804"/>
    <n v="1344"/>
    <x v="4"/>
  </r>
  <r>
    <x v="3"/>
    <x v="7"/>
    <x v="4"/>
    <n v="32000"/>
    <n v="1569"/>
    <x v="4"/>
  </r>
  <r>
    <x v="3"/>
    <x v="7"/>
    <x v="5"/>
    <n v="44394"/>
    <n v="5558"/>
    <x v="4"/>
  </r>
  <r>
    <x v="3"/>
    <x v="7"/>
    <x v="58"/>
    <n v="29459"/>
    <n v="4265"/>
    <x v="4"/>
  </r>
  <r>
    <x v="3"/>
    <x v="7"/>
    <x v="21"/>
    <n v="10716"/>
    <n v="1322"/>
    <x v="4"/>
  </r>
  <r>
    <x v="3"/>
    <x v="7"/>
    <x v="27"/>
    <n v="1960"/>
    <n v="419"/>
    <x v="1"/>
  </r>
  <r>
    <x v="3"/>
    <x v="7"/>
    <x v="23"/>
    <n v="16"/>
    <n v="0"/>
    <x v="30"/>
  </r>
  <r>
    <x v="3"/>
    <x v="7"/>
    <x v="11"/>
    <n v="9231"/>
    <n v="1230"/>
    <x v="7"/>
  </r>
  <r>
    <x v="3"/>
    <x v="7"/>
    <x v="2"/>
    <n v="291"/>
    <n v="39"/>
    <x v="8"/>
  </r>
  <r>
    <x v="3"/>
    <x v="7"/>
    <x v="2"/>
    <n v="86"/>
    <n v="9"/>
    <x v="0"/>
  </r>
  <r>
    <x v="3"/>
    <x v="7"/>
    <x v="43"/>
    <n v="4871"/>
    <n v="304"/>
    <x v="20"/>
  </r>
  <r>
    <x v="3"/>
    <x v="7"/>
    <x v="54"/>
    <n v="111347"/>
    <n v="5081"/>
    <x v="10"/>
  </r>
  <r>
    <x v="3"/>
    <x v="7"/>
    <x v="24"/>
    <n v="2539"/>
    <n v="351"/>
    <x v="8"/>
  </r>
  <r>
    <x v="3"/>
    <x v="7"/>
    <x v="24"/>
    <n v="7737"/>
    <n v="927"/>
    <x v="16"/>
  </r>
  <r>
    <x v="3"/>
    <x v="7"/>
    <x v="13"/>
    <n v="8631"/>
    <n v="851"/>
    <x v="19"/>
  </r>
  <r>
    <x v="3"/>
    <x v="0"/>
    <x v="0"/>
    <n v="0"/>
    <n v="0"/>
    <x v="21"/>
  </r>
  <r>
    <x v="3"/>
    <x v="0"/>
    <x v="0"/>
    <n v="0"/>
    <n v="0"/>
    <x v="1"/>
  </r>
  <r>
    <x v="3"/>
    <x v="0"/>
    <x v="15"/>
    <n v="0"/>
    <n v="0"/>
    <x v="14"/>
  </r>
  <r>
    <x v="3"/>
    <x v="0"/>
    <x v="7"/>
    <n v="35967"/>
    <n v="3586"/>
    <x v="4"/>
  </r>
  <r>
    <x v="3"/>
    <x v="0"/>
    <x v="26"/>
    <n v="9454"/>
    <n v="1208"/>
    <x v="25"/>
  </r>
  <r>
    <x v="3"/>
    <x v="0"/>
    <x v="9"/>
    <n v="398"/>
    <n v="40"/>
    <x v="5"/>
  </r>
  <r>
    <x v="3"/>
    <x v="0"/>
    <x v="16"/>
    <n v="5166"/>
    <n v="503"/>
    <x v="8"/>
  </r>
  <r>
    <x v="3"/>
    <x v="0"/>
    <x v="2"/>
    <n v="4"/>
    <n v="1"/>
    <x v="5"/>
  </r>
  <r>
    <x v="3"/>
    <x v="0"/>
    <x v="2"/>
    <n v="5224"/>
    <n v="838"/>
    <x v="9"/>
  </r>
  <r>
    <x v="3"/>
    <x v="0"/>
    <x v="2"/>
    <n v="106"/>
    <n v="34"/>
    <x v="11"/>
  </r>
  <r>
    <x v="3"/>
    <x v="0"/>
    <x v="12"/>
    <n v="34"/>
    <n v="34"/>
    <x v="10"/>
  </r>
  <r>
    <x v="3"/>
    <x v="1"/>
    <x v="14"/>
    <n v="6737"/>
    <n v="514"/>
    <x v="4"/>
  </r>
  <r>
    <x v="3"/>
    <x v="1"/>
    <x v="15"/>
    <n v="56131"/>
    <n v="3582"/>
    <x v="4"/>
  </r>
  <r>
    <x v="3"/>
    <x v="1"/>
    <x v="25"/>
    <n v="52730"/>
    <n v="4684"/>
    <x v="4"/>
  </r>
  <r>
    <x v="3"/>
    <x v="1"/>
    <x v="59"/>
    <n v="4309"/>
    <n v="213"/>
    <x v="4"/>
  </r>
  <r>
    <x v="3"/>
    <x v="1"/>
    <x v="56"/>
    <n v="271"/>
    <n v="44"/>
    <x v="4"/>
  </r>
  <r>
    <x v="3"/>
    <x v="1"/>
    <x v="52"/>
    <n v="46199"/>
    <n v="3865"/>
    <x v="4"/>
  </r>
  <r>
    <x v="3"/>
    <x v="1"/>
    <x v="42"/>
    <n v="34786"/>
    <n v="2605"/>
    <x v="22"/>
  </r>
  <r>
    <x v="3"/>
    <x v="1"/>
    <x v="57"/>
    <n v="52789"/>
    <n v="6090"/>
    <x v="4"/>
  </r>
  <r>
    <x v="3"/>
    <x v="1"/>
    <x v="9"/>
    <n v="1207"/>
    <n v="109"/>
    <x v="19"/>
  </r>
  <r>
    <x v="3"/>
    <x v="1"/>
    <x v="63"/>
    <n v="441"/>
    <n v="48"/>
    <x v="22"/>
  </r>
  <r>
    <x v="3"/>
    <x v="1"/>
    <x v="17"/>
    <n v="11059"/>
    <n v="1075"/>
    <x v="8"/>
  </r>
  <r>
    <x v="3"/>
    <x v="1"/>
    <x v="17"/>
    <n v="15902"/>
    <n v="1639"/>
    <x v="16"/>
  </r>
  <r>
    <x v="3"/>
    <x v="1"/>
    <x v="53"/>
    <n v="95275"/>
    <n v="5311"/>
    <x v="10"/>
  </r>
  <r>
    <x v="3"/>
    <x v="5"/>
    <x v="0"/>
    <n v="0"/>
    <n v="0"/>
    <x v="2"/>
  </r>
  <r>
    <x v="3"/>
    <x v="5"/>
    <x v="0"/>
    <n v="0"/>
    <n v="0"/>
    <x v="17"/>
  </r>
  <r>
    <x v="3"/>
    <x v="5"/>
    <x v="4"/>
    <n v="36837"/>
    <n v="1410"/>
    <x v="4"/>
  </r>
  <r>
    <x v="3"/>
    <x v="5"/>
    <x v="5"/>
    <n v="56268"/>
    <n v="5895"/>
    <x v="4"/>
  </r>
  <r>
    <x v="3"/>
    <x v="5"/>
    <x v="58"/>
    <n v="41904"/>
    <n v="5404"/>
    <x v="4"/>
  </r>
  <r>
    <x v="3"/>
    <x v="5"/>
    <x v="21"/>
    <n v="9808"/>
    <n v="1350"/>
    <x v="4"/>
  </r>
  <r>
    <x v="3"/>
    <x v="5"/>
    <x v="28"/>
    <n v="6876"/>
    <n v="763"/>
    <x v="2"/>
  </r>
  <r>
    <x v="3"/>
    <x v="5"/>
    <x v="27"/>
    <n v="2326"/>
    <n v="482"/>
    <x v="1"/>
  </r>
  <r>
    <x v="3"/>
    <x v="5"/>
    <x v="11"/>
    <n v="9837"/>
    <n v="1335"/>
    <x v="7"/>
  </r>
  <r>
    <x v="3"/>
    <x v="5"/>
    <x v="2"/>
    <n v="467"/>
    <n v="69"/>
    <x v="8"/>
  </r>
  <r>
    <x v="3"/>
    <x v="5"/>
    <x v="2"/>
    <n v="282"/>
    <n v="56"/>
    <x v="3"/>
  </r>
  <r>
    <x v="3"/>
    <x v="5"/>
    <x v="2"/>
    <n v="80"/>
    <n v="15"/>
    <x v="0"/>
  </r>
  <r>
    <x v="3"/>
    <x v="5"/>
    <x v="54"/>
    <n v="87817"/>
    <n v="4105"/>
    <x v="10"/>
  </r>
  <r>
    <x v="3"/>
    <x v="5"/>
    <x v="24"/>
    <n v="7043"/>
    <n v="659"/>
    <x v="16"/>
  </r>
  <r>
    <x v="3"/>
    <x v="5"/>
    <x v="13"/>
    <n v="669"/>
    <n v="99"/>
    <x v="11"/>
  </r>
  <r>
    <x v="3"/>
    <x v="8"/>
    <x v="0"/>
    <n v="0"/>
    <n v="0"/>
    <x v="21"/>
  </r>
  <r>
    <x v="3"/>
    <x v="8"/>
    <x v="0"/>
    <n v="0"/>
    <n v="0"/>
    <x v="13"/>
  </r>
  <r>
    <x v="3"/>
    <x v="8"/>
    <x v="15"/>
    <n v="0"/>
    <n v="0"/>
    <x v="14"/>
  </r>
  <r>
    <x v="3"/>
    <x v="8"/>
    <x v="26"/>
    <n v="774"/>
    <n v="75"/>
    <x v="0"/>
  </r>
  <r>
    <x v="3"/>
    <x v="8"/>
    <x v="9"/>
    <n v="442"/>
    <n v="50"/>
    <x v="5"/>
  </r>
  <r>
    <x v="3"/>
    <x v="8"/>
    <x v="2"/>
    <n v="5"/>
    <n v="0"/>
    <x v="5"/>
  </r>
  <r>
    <x v="3"/>
    <x v="8"/>
    <x v="2"/>
    <n v="86"/>
    <n v="26"/>
    <x v="11"/>
  </r>
  <r>
    <x v="3"/>
    <x v="8"/>
    <x v="2"/>
    <n v="3"/>
    <n v="0"/>
    <x v="1"/>
  </r>
  <r>
    <x v="3"/>
    <x v="8"/>
    <x v="31"/>
    <n v="69622"/>
    <n v="2749"/>
    <x v="10"/>
  </r>
  <r>
    <x v="3"/>
    <x v="9"/>
    <x v="14"/>
    <n v="5823"/>
    <n v="241"/>
    <x v="4"/>
  </r>
  <r>
    <x v="3"/>
    <x v="9"/>
    <x v="15"/>
    <n v="40362"/>
    <n v="2242"/>
    <x v="4"/>
  </r>
  <r>
    <x v="3"/>
    <x v="9"/>
    <x v="59"/>
    <n v="3330"/>
    <n v="127"/>
    <x v="4"/>
  </r>
  <r>
    <x v="3"/>
    <x v="9"/>
    <x v="56"/>
    <n v="247"/>
    <n v="34"/>
    <x v="4"/>
  </r>
  <r>
    <x v="3"/>
    <x v="9"/>
    <x v="42"/>
    <n v="27541"/>
    <n v="1704"/>
    <x v="22"/>
  </r>
  <r>
    <x v="3"/>
    <x v="9"/>
    <x v="57"/>
    <n v="56880"/>
    <n v="6899"/>
    <x v="4"/>
  </r>
  <r>
    <x v="3"/>
    <x v="9"/>
    <x v="9"/>
    <n v="1390"/>
    <n v="148"/>
    <x v="19"/>
  </r>
  <r>
    <x v="3"/>
    <x v="9"/>
    <x v="63"/>
    <n v="307"/>
    <n v="22"/>
    <x v="22"/>
  </r>
  <r>
    <x v="3"/>
    <x v="9"/>
    <x v="17"/>
    <n v="14310"/>
    <n v="1300"/>
    <x v="8"/>
  </r>
  <r>
    <x v="3"/>
    <x v="9"/>
    <x v="17"/>
    <n v="13644"/>
    <n v="1165"/>
    <x v="16"/>
  </r>
  <r>
    <x v="3"/>
    <x v="9"/>
    <x v="35"/>
    <n v="79733"/>
    <n v="2114"/>
    <x v="10"/>
  </r>
  <r>
    <x v="3"/>
    <x v="3"/>
    <x v="0"/>
    <n v="0"/>
    <n v="0"/>
    <x v="2"/>
  </r>
  <r>
    <x v="3"/>
    <x v="3"/>
    <x v="3"/>
    <n v="1795"/>
    <n v="198"/>
    <x v="3"/>
  </r>
  <r>
    <x v="3"/>
    <x v="3"/>
    <x v="4"/>
    <n v="1237"/>
    <n v="27"/>
    <x v="4"/>
  </r>
  <r>
    <x v="3"/>
    <x v="3"/>
    <x v="5"/>
    <n v="538"/>
    <n v="57"/>
    <x v="4"/>
  </r>
  <r>
    <x v="3"/>
    <x v="3"/>
    <x v="6"/>
    <n v="109"/>
    <n v="4"/>
    <x v="4"/>
  </r>
  <r>
    <x v="3"/>
    <x v="3"/>
    <x v="58"/>
    <n v="348"/>
    <n v="48"/>
    <x v="4"/>
  </r>
  <r>
    <x v="3"/>
    <x v="3"/>
    <x v="10"/>
    <n v="2211"/>
    <n v="26"/>
    <x v="6"/>
  </r>
  <r>
    <x v="3"/>
    <x v="3"/>
    <x v="2"/>
    <n v="15"/>
    <n v="1"/>
    <x v="8"/>
  </r>
  <r>
    <x v="3"/>
    <x v="3"/>
    <x v="2"/>
    <n v="83"/>
    <n v="4"/>
    <x v="17"/>
  </r>
  <r>
    <x v="3"/>
    <x v="3"/>
    <x v="2"/>
    <n v="30"/>
    <n v="7"/>
    <x v="3"/>
  </r>
  <r>
    <x v="3"/>
    <x v="3"/>
    <x v="2"/>
    <n v="47"/>
    <n v="8"/>
    <x v="0"/>
  </r>
  <r>
    <x v="3"/>
    <x v="3"/>
    <x v="29"/>
    <n v="11255"/>
    <n v="670"/>
    <x v="10"/>
  </r>
  <r>
    <x v="3"/>
    <x v="3"/>
    <x v="13"/>
    <n v="93"/>
    <n v="14"/>
    <x v="11"/>
  </r>
  <r>
    <x v="3"/>
    <x v="6"/>
    <x v="0"/>
    <n v="0"/>
    <n v="0"/>
    <x v="17"/>
  </r>
  <r>
    <x v="3"/>
    <x v="6"/>
    <x v="1"/>
    <n v="12187"/>
    <n v="1810"/>
    <x v="13"/>
  </r>
  <r>
    <x v="3"/>
    <x v="6"/>
    <x v="38"/>
    <n v="37461"/>
    <n v="2912"/>
    <x v="4"/>
  </r>
  <r>
    <x v="3"/>
    <x v="6"/>
    <x v="20"/>
    <n v="22"/>
    <n v="22"/>
    <x v="14"/>
  </r>
  <r>
    <x v="3"/>
    <x v="6"/>
    <x v="21"/>
    <n v="11291"/>
    <n v="1365"/>
    <x v="4"/>
  </r>
  <r>
    <x v="3"/>
    <x v="6"/>
    <x v="26"/>
    <n v="6411"/>
    <n v="750"/>
    <x v="25"/>
  </r>
  <r>
    <x v="3"/>
    <x v="6"/>
    <x v="9"/>
    <n v="2095"/>
    <n v="176"/>
    <x v="19"/>
  </r>
  <r>
    <x v="3"/>
    <x v="6"/>
    <x v="9"/>
    <n v="2668"/>
    <n v="136"/>
    <x v="12"/>
  </r>
  <r>
    <x v="3"/>
    <x v="6"/>
    <x v="9"/>
    <n v="18424"/>
    <n v="2656"/>
    <x v="2"/>
  </r>
  <r>
    <x v="3"/>
    <x v="6"/>
    <x v="11"/>
    <n v="1312"/>
    <n v="154"/>
    <x v="13"/>
  </r>
  <r>
    <x v="3"/>
    <x v="6"/>
    <x v="2"/>
    <n v="310"/>
    <n v="66"/>
    <x v="3"/>
  </r>
  <r>
    <x v="3"/>
    <x v="6"/>
    <x v="24"/>
    <n v="7471"/>
    <n v="935"/>
    <x v="16"/>
  </r>
  <r>
    <x v="3"/>
    <x v="7"/>
    <x v="0"/>
    <n v="0"/>
    <n v="0"/>
    <x v="2"/>
  </r>
  <r>
    <x v="3"/>
    <x v="7"/>
    <x v="0"/>
    <n v="0"/>
    <n v="0"/>
    <x v="6"/>
  </r>
  <r>
    <x v="3"/>
    <x v="7"/>
    <x v="49"/>
    <n v="21070"/>
    <n v="2918"/>
    <x v="4"/>
  </r>
  <r>
    <x v="3"/>
    <x v="7"/>
    <x v="39"/>
    <n v="65423"/>
    <n v="5623"/>
    <x v="4"/>
  </r>
  <r>
    <x v="3"/>
    <x v="7"/>
    <x v="25"/>
    <n v="63273"/>
    <n v="6636"/>
    <x v="4"/>
  </r>
  <r>
    <x v="3"/>
    <x v="7"/>
    <x v="25"/>
    <n v="769"/>
    <n v="121"/>
    <x v="22"/>
  </r>
  <r>
    <x v="3"/>
    <x v="7"/>
    <x v="6"/>
    <n v="3803"/>
    <n v="104"/>
    <x v="4"/>
  </r>
  <r>
    <x v="3"/>
    <x v="7"/>
    <x v="6"/>
    <n v="100"/>
    <n v="15"/>
    <x v="22"/>
  </r>
  <r>
    <x v="3"/>
    <x v="7"/>
    <x v="56"/>
    <n v="288"/>
    <n v="64"/>
    <x v="4"/>
  </r>
  <r>
    <x v="3"/>
    <x v="7"/>
    <x v="52"/>
    <n v="52980"/>
    <n v="5410"/>
    <x v="4"/>
  </r>
  <r>
    <x v="3"/>
    <x v="7"/>
    <x v="42"/>
    <n v="0"/>
    <n v="0"/>
    <x v="18"/>
  </r>
  <r>
    <x v="3"/>
    <x v="7"/>
    <x v="26"/>
    <n v="950"/>
    <n v="83"/>
    <x v="0"/>
  </r>
  <r>
    <x v="3"/>
    <x v="7"/>
    <x v="22"/>
    <n v="14601"/>
    <n v="1711"/>
    <x v="19"/>
  </r>
  <r>
    <x v="3"/>
    <x v="7"/>
    <x v="2"/>
    <n v="4"/>
    <n v="2"/>
    <x v="16"/>
  </r>
  <r>
    <x v="3"/>
    <x v="7"/>
    <x v="31"/>
    <n v="65964"/>
    <n v="2460"/>
    <x v="10"/>
  </r>
  <r>
    <x v="3"/>
    <x v="0"/>
    <x v="0"/>
    <n v="0"/>
    <n v="0"/>
    <x v="12"/>
  </r>
  <r>
    <x v="3"/>
    <x v="0"/>
    <x v="0"/>
    <n v="0"/>
    <n v="0"/>
    <x v="10"/>
  </r>
  <r>
    <x v="3"/>
    <x v="0"/>
    <x v="1"/>
    <n v="6990"/>
    <n v="1565"/>
    <x v="3"/>
  </r>
  <r>
    <x v="3"/>
    <x v="0"/>
    <x v="3"/>
    <n v="17592"/>
    <n v="2977"/>
    <x v="9"/>
  </r>
  <r>
    <x v="3"/>
    <x v="0"/>
    <x v="48"/>
    <n v="39773"/>
    <n v="1379"/>
    <x v="4"/>
  </r>
  <r>
    <x v="3"/>
    <x v="0"/>
    <x v="41"/>
    <n v="36421"/>
    <n v="2464"/>
    <x v="4"/>
  </r>
  <r>
    <x v="3"/>
    <x v="0"/>
    <x v="15"/>
    <n v="45324"/>
    <n v="2782"/>
    <x v="4"/>
  </r>
  <r>
    <x v="3"/>
    <x v="0"/>
    <x v="50"/>
    <n v="29162"/>
    <n v="768"/>
    <x v="27"/>
  </r>
  <r>
    <x v="3"/>
    <x v="0"/>
    <x v="26"/>
    <n v="5233"/>
    <n v="572"/>
    <x v="15"/>
  </r>
  <r>
    <x v="3"/>
    <x v="0"/>
    <x v="26"/>
    <n v="149"/>
    <n v="21"/>
    <x v="1"/>
  </r>
  <r>
    <x v="3"/>
    <x v="0"/>
    <x v="27"/>
    <n v="2912"/>
    <n v="500"/>
    <x v="29"/>
  </r>
  <r>
    <x v="3"/>
    <x v="0"/>
    <x v="11"/>
    <n v="679"/>
    <n v="74"/>
    <x v="6"/>
  </r>
  <r>
    <x v="3"/>
    <x v="0"/>
    <x v="2"/>
    <n v="8"/>
    <n v="3"/>
    <x v="1"/>
  </r>
  <r>
    <x v="3"/>
    <x v="0"/>
    <x v="2"/>
    <n v="165"/>
    <n v="31"/>
    <x v="0"/>
  </r>
  <r>
    <x v="3"/>
    <x v="0"/>
    <x v="17"/>
    <n v="12437"/>
    <n v="1131"/>
    <x v="16"/>
  </r>
  <r>
    <x v="3"/>
    <x v="0"/>
    <x v="35"/>
    <n v="81522"/>
    <n v="2530"/>
    <x v="10"/>
  </r>
  <r>
    <x v="3"/>
    <x v="0"/>
    <x v="18"/>
    <n v="22164"/>
    <n v="835"/>
    <x v="10"/>
  </r>
  <r>
    <x v="3"/>
    <x v="0"/>
    <x v="54"/>
    <n v="98492"/>
    <n v="5128"/>
    <x v="10"/>
  </r>
  <r>
    <x v="3"/>
    <x v="1"/>
    <x v="1"/>
    <n v="17768"/>
    <n v="2766"/>
    <x v="13"/>
  </r>
  <r>
    <x v="3"/>
    <x v="1"/>
    <x v="20"/>
    <n v="35"/>
    <n v="35"/>
    <x v="14"/>
  </r>
  <r>
    <x v="3"/>
    <x v="1"/>
    <x v="26"/>
    <n v="8861"/>
    <n v="1227"/>
    <x v="25"/>
  </r>
  <r>
    <x v="3"/>
    <x v="1"/>
    <x v="9"/>
    <n v="3614"/>
    <n v="284"/>
    <x v="12"/>
  </r>
  <r>
    <x v="3"/>
    <x v="1"/>
    <x v="9"/>
    <n v="18335"/>
    <n v="2968"/>
    <x v="2"/>
  </r>
  <r>
    <x v="3"/>
    <x v="1"/>
    <x v="11"/>
    <n v="9710"/>
    <n v="2476"/>
    <x v="25"/>
  </r>
  <r>
    <x v="3"/>
    <x v="1"/>
    <x v="2"/>
    <n v="117"/>
    <n v="42"/>
    <x v="24"/>
  </r>
  <r>
    <x v="3"/>
    <x v="1"/>
    <x v="2"/>
    <n v="13576"/>
    <n v="1066"/>
    <x v="17"/>
  </r>
  <r>
    <x v="3"/>
    <x v="1"/>
    <x v="2"/>
    <n v="263"/>
    <n v="62"/>
    <x v="3"/>
  </r>
  <r>
    <x v="3"/>
    <x v="1"/>
    <x v="29"/>
    <n v="103259"/>
    <n v="5755"/>
    <x v="10"/>
  </r>
  <r>
    <x v="3"/>
    <x v="5"/>
    <x v="0"/>
    <n v="0"/>
    <n v="0"/>
    <x v="6"/>
  </r>
  <r>
    <x v="3"/>
    <x v="5"/>
    <x v="49"/>
    <n v="22955"/>
    <n v="2880"/>
    <x v="4"/>
  </r>
  <r>
    <x v="3"/>
    <x v="5"/>
    <x v="25"/>
    <n v="47112"/>
    <n v="4596"/>
    <x v="4"/>
  </r>
  <r>
    <x v="3"/>
    <x v="5"/>
    <x v="25"/>
    <n v="758"/>
    <n v="142"/>
    <x v="22"/>
  </r>
  <r>
    <x v="3"/>
    <x v="5"/>
    <x v="6"/>
    <n v="3432"/>
    <n v="95"/>
    <x v="4"/>
  </r>
  <r>
    <x v="3"/>
    <x v="5"/>
    <x v="6"/>
    <n v="102"/>
    <n v="21"/>
    <x v="22"/>
  </r>
  <r>
    <x v="3"/>
    <x v="5"/>
    <x v="59"/>
    <n v="4248"/>
    <n v="193"/>
    <x v="4"/>
  </r>
  <r>
    <x v="3"/>
    <x v="5"/>
    <x v="56"/>
    <n v="264"/>
    <n v="31"/>
    <x v="4"/>
  </r>
  <r>
    <x v="3"/>
    <x v="5"/>
    <x v="52"/>
    <n v="44406"/>
    <n v="3977"/>
    <x v="4"/>
  </r>
  <r>
    <x v="3"/>
    <x v="5"/>
    <x v="42"/>
    <n v="0"/>
    <n v="0"/>
    <x v="18"/>
  </r>
  <r>
    <x v="3"/>
    <x v="5"/>
    <x v="26"/>
    <n v="831"/>
    <n v="69"/>
    <x v="0"/>
  </r>
  <r>
    <x v="3"/>
    <x v="5"/>
    <x v="23"/>
    <n v="269"/>
    <n v="80"/>
    <x v="2"/>
  </r>
  <r>
    <x v="3"/>
    <x v="5"/>
    <x v="2"/>
    <n v="3392"/>
    <n v="614"/>
    <x v="2"/>
  </r>
  <r>
    <x v="3"/>
    <x v="5"/>
    <x v="31"/>
    <n v="68526"/>
    <n v="2617"/>
    <x v="10"/>
  </r>
  <r>
    <x v="3"/>
    <x v="5"/>
    <x v="43"/>
    <n v="2933"/>
    <n v="230"/>
    <x v="20"/>
  </r>
  <r>
    <x v="3"/>
    <x v="5"/>
    <x v="24"/>
    <n v="6879"/>
    <n v="675"/>
    <x v="8"/>
  </r>
  <r>
    <x v="3"/>
    <x v="5"/>
    <x v="13"/>
    <n v="8665"/>
    <n v="832"/>
    <x v="19"/>
  </r>
  <r>
    <x v="3"/>
    <x v="8"/>
    <x v="0"/>
    <n v="0"/>
    <n v="0"/>
    <x v="12"/>
  </r>
  <r>
    <x v="3"/>
    <x v="8"/>
    <x v="0"/>
    <n v="0"/>
    <n v="0"/>
    <x v="10"/>
  </r>
  <r>
    <x v="3"/>
    <x v="8"/>
    <x v="3"/>
    <n v="24145"/>
    <n v="3054"/>
    <x v="9"/>
  </r>
  <r>
    <x v="3"/>
    <x v="8"/>
    <x v="48"/>
    <n v="41591"/>
    <n v="1480"/>
    <x v="4"/>
  </r>
  <r>
    <x v="3"/>
    <x v="8"/>
    <x v="4"/>
    <n v="39414"/>
    <n v="1445"/>
    <x v="4"/>
  </r>
  <r>
    <x v="3"/>
    <x v="8"/>
    <x v="41"/>
    <n v="29113"/>
    <n v="2748"/>
    <x v="4"/>
  </r>
  <r>
    <x v="3"/>
    <x v="8"/>
    <x v="15"/>
    <n v="46041"/>
    <n v="2748"/>
    <x v="4"/>
  </r>
  <r>
    <x v="3"/>
    <x v="8"/>
    <x v="15"/>
    <n v="19823"/>
    <n v="679"/>
    <x v="22"/>
  </r>
  <r>
    <x v="3"/>
    <x v="8"/>
    <x v="26"/>
    <n v="6267"/>
    <n v="643"/>
    <x v="15"/>
  </r>
  <r>
    <x v="3"/>
    <x v="8"/>
    <x v="26"/>
    <n v="185"/>
    <n v="29"/>
    <x v="1"/>
  </r>
  <r>
    <x v="3"/>
    <x v="8"/>
    <x v="34"/>
    <n v="12460"/>
    <n v="1124"/>
    <x v="4"/>
  </r>
  <r>
    <x v="3"/>
    <x v="8"/>
    <x v="11"/>
    <n v="838"/>
    <n v="109"/>
    <x v="6"/>
  </r>
  <r>
    <x v="3"/>
    <x v="8"/>
    <x v="11"/>
    <n v="144"/>
    <n v="29"/>
    <x v="26"/>
  </r>
  <r>
    <x v="3"/>
    <x v="8"/>
    <x v="2"/>
    <n v="298"/>
    <n v="39"/>
    <x v="8"/>
  </r>
  <r>
    <x v="3"/>
    <x v="8"/>
    <x v="2"/>
    <n v="58"/>
    <n v="4"/>
    <x v="0"/>
  </r>
  <r>
    <x v="3"/>
    <x v="8"/>
    <x v="17"/>
    <n v="14760"/>
    <n v="1375"/>
    <x v="16"/>
  </r>
  <r>
    <x v="3"/>
    <x v="8"/>
    <x v="35"/>
    <n v="88494"/>
    <n v="2378"/>
    <x v="10"/>
  </r>
  <r>
    <x v="3"/>
    <x v="8"/>
    <x v="12"/>
    <n v="30"/>
    <n v="30"/>
    <x v="10"/>
  </r>
  <r>
    <x v="3"/>
    <x v="8"/>
    <x v="18"/>
    <n v="22727"/>
    <n v="815"/>
    <x v="10"/>
  </r>
  <r>
    <x v="3"/>
    <x v="8"/>
    <x v="54"/>
    <n v="90522"/>
    <n v="4012"/>
    <x v="10"/>
  </r>
  <r>
    <x v="3"/>
    <x v="8"/>
    <x v="13"/>
    <n v="657"/>
    <n v="93"/>
    <x v="11"/>
  </r>
  <r>
    <x v="3"/>
    <x v="9"/>
    <x v="0"/>
    <n v="0"/>
    <n v="0"/>
    <x v="19"/>
  </r>
  <r>
    <x v="3"/>
    <x v="9"/>
    <x v="20"/>
    <n v="44522"/>
    <n v="2202"/>
    <x v="4"/>
  </r>
  <r>
    <x v="3"/>
    <x v="9"/>
    <x v="20"/>
    <n v="31"/>
    <n v="31"/>
    <x v="14"/>
  </r>
  <r>
    <x v="3"/>
    <x v="9"/>
    <x v="26"/>
    <n v="6657"/>
    <n v="889"/>
    <x v="25"/>
  </r>
  <r>
    <x v="3"/>
    <x v="9"/>
    <x v="9"/>
    <n v="1319"/>
    <n v="148"/>
    <x v="12"/>
  </r>
  <r>
    <x v="3"/>
    <x v="9"/>
    <x v="9"/>
    <n v="15728"/>
    <n v="2237"/>
    <x v="2"/>
  </r>
  <r>
    <x v="3"/>
    <x v="9"/>
    <x v="11"/>
    <n v="12401"/>
    <n v="2805"/>
    <x v="25"/>
  </r>
  <r>
    <x v="3"/>
    <x v="9"/>
    <x v="2"/>
    <n v="52"/>
    <n v="16"/>
    <x v="24"/>
  </r>
  <r>
    <x v="3"/>
    <x v="9"/>
    <x v="2"/>
    <n v="14072"/>
    <n v="1355"/>
    <x v="17"/>
  </r>
  <r>
    <x v="3"/>
    <x v="9"/>
    <x v="2"/>
    <n v="349"/>
    <n v="81"/>
    <x v="3"/>
  </r>
  <r>
    <x v="3"/>
    <x v="9"/>
    <x v="29"/>
    <n v="105919"/>
    <n v="5697"/>
    <x v="10"/>
  </r>
  <r>
    <x v="3"/>
    <x v="3"/>
    <x v="0"/>
    <n v="0"/>
    <n v="0"/>
    <x v="6"/>
  </r>
  <r>
    <x v="3"/>
    <x v="3"/>
    <x v="0"/>
    <n v="0"/>
    <n v="0"/>
    <x v="11"/>
  </r>
  <r>
    <x v="3"/>
    <x v="3"/>
    <x v="37"/>
    <n v="2024"/>
    <n v="36"/>
    <x v="28"/>
  </r>
  <r>
    <x v="3"/>
    <x v="3"/>
    <x v="49"/>
    <n v="2140"/>
    <n v="150"/>
    <x v="4"/>
  </r>
  <r>
    <x v="3"/>
    <x v="3"/>
    <x v="25"/>
    <n v="1452"/>
    <n v="132"/>
    <x v="4"/>
  </r>
  <r>
    <x v="3"/>
    <x v="3"/>
    <x v="59"/>
    <n v="85"/>
    <n v="7"/>
    <x v="4"/>
  </r>
  <r>
    <x v="3"/>
    <x v="3"/>
    <x v="52"/>
    <n v="1285"/>
    <n v="110"/>
    <x v="4"/>
  </r>
  <r>
    <x v="3"/>
    <x v="3"/>
    <x v="26"/>
    <n v="92"/>
    <n v="9"/>
    <x v="0"/>
  </r>
  <r>
    <x v="3"/>
    <x v="3"/>
    <x v="27"/>
    <n v="180"/>
    <n v="35"/>
    <x v="1"/>
  </r>
  <r>
    <x v="3"/>
    <x v="3"/>
    <x v="11"/>
    <n v="41"/>
    <n v="7"/>
    <x v="23"/>
  </r>
  <r>
    <x v="3"/>
    <x v="3"/>
    <x v="2"/>
    <n v="163"/>
    <n v="9"/>
    <x v="2"/>
  </r>
  <r>
    <x v="3"/>
    <x v="3"/>
    <x v="43"/>
    <n v="171"/>
    <n v="10"/>
    <x v="20"/>
  </r>
  <r>
    <x v="3"/>
    <x v="3"/>
    <x v="24"/>
    <n v="418"/>
    <n v="33"/>
    <x v="8"/>
  </r>
  <r>
    <x v="3"/>
    <x v="3"/>
    <x v="13"/>
    <n v="649"/>
    <n v="68"/>
    <x v="19"/>
  </r>
  <r>
    <x v="3"/>
    <x v="6"/>
    <x v="0"/>
    <n v="0"/>
    <n v="0"/>
    <x v="3"/>
  </r>
  <r>
    <x v="3"/>
    <x v="6"/>
    <x v="0"/>
    <n v="0"/>
    <n v="0"/>
    <x v="13"/>
  </r>
  <r>
    <x v="3"/>
    <x v="6"/>
    <x v="3"/>
    <n v="386"/>
    <n v="59"/>
    <x v="1"/>
  </r>
  <r>
    <x v="3"/>
    <x v="6"/>
    <x v="9"/>
    <n v="356"/>
    <n v="27"/>
    <x v="5"/>
  </r>
  <r>
    <x v="3"/>
    <x v="6"/>
    <x v="16"/>
    <n v="12404"/>
    <n v="854"/>
    <x v="24"/>
  </r>
  <r>
    <x v="3"/>
    <x v="6"/>
    <x v="16"/>
    <n v="8294"/>
    <n v="874"/>
    <x v="2"/>
  </r>
  <r>
    <x v="3"/>
    <x v="6"/>
    <x v="23"/>
    <n v="15"/>
    <n v="0"/>
    <x v="30"/>
  </r>
  <r>
    <x v="3"/>
    <x v="6"/>
    <x v="11"/>
    <n v="159"/>
    <n v="34"/>
    <x v="29"/>
  </r>
  <r>
    <x v="3"/>
    <x v="6"/>
    <x v="11"/>
    <n v="9553"/>
    <n v="2316"/>
    <x v="25"/>
  </r>
  <r>
    <x v="3"/>
    <x v="6"/>
    <x v="51"/>
    <n v="4"/>
    <n v="4"/>
    <x v="10"/>
  </r>
  <r>
    <x v="3"/>
    <x v="7"/>
    <x v="0"/>
    <n v="0"/>
    <n v="0"/>
    <x v="9"/>
  </r>
  <r>
    <x v="3"/>
    <x v="7"/>
    <x v="0"/>
    <n v="0"/>
    <n v="0"/>
    <x v="11"/>
  </r>
  <r>
    <x v="3"/>
    <x v="7"/>
    <x v="0"/>
    <n v="0"/>
    <n v="0"/>
    <x v="1"/>
  </r>
  <r>
    <x v="3"/>
    <x v="7"/>
    <x v="19"/>
    <n v="19959"/>
    <n v="851"/>
    <x v="4"/>
  </r>
  <r>
    <x v="3"/>
    <x v="7"/>
    <x v="14"/>
    <n v="15020"/>
    <n v="886"/>
    <x v="4"/>
  </r>
  <r>
    <x v="3"/>
    <x v="7"/>
    <x v="59"/>
    <n v="3438"/>
    <n v="194"/>
    <x v="4"/>
  </r>
  <r>
    <x v="3"/>
    <x v="7"/>
    <x v="7"/>
    <n v="29478"/>
    <n v="3258"/>
    <x v="4"/>
  </r>
  <r>
    <x v="3"/>
    <x v="7"/>
    <x v="27"/>
    <n v="8289"/>
    <n v="1238"/>
    <x v="0"/>
  </r>
  <r>
    <x v="3"/>
    <x v="7"/>
    <x v="16"/>
    <n v="4889"/>
    <n v="314"/>
    <x v="8"/>
  </r>
  <r>
    <x v="3"/>
    <x v="7"/>
    <x v="22"/>
    <n v="9031"/>
    <n v="1415"/>
    <x v="12"/>
  </r>
  <r>
    <x v="3"/>
    <x v="7"/>
    <x v="11"/>
    <n v="190"/>
    <n v="54"/>
    <x v="23"/>
  </r>
  <r>
    <x v="3"/>
    <x v="7"/>
    <x v="2"/>
    <n v="1180"/>
    <n v="263"/>
    <x v="19"/>
  </r>
  <r>
    <x v="3"/>
    <x v="7"/>
    <x v="2"/>
    <n v="3452"/>
    <n v="540"/>
    <x v="2"/>
  </r>
  <r>
    <x v="3"/>
    <x v="7"/>
    <x v="2"/>
    <n v="4749"/>
    <n v="800"/>
    <x v="9"/>
  </r>
  <r>
    <x v="3"/>
    <x v="7"/>
    <x v="17"/>
    <n v="8131"/>
    <n v="1040"/>
    <x v="8"/>
  </r>
  <r>
    <x v="3"/>
    <x v="7"/>
    <x v="43"/>
    <n v="95423"/>
    <n v="6034"/>
    <x v="10"/>
  </r>
  <r>
    <x v="3"/>
    <x v="7"/>
    <x v="44"/>
    <n v="87108"/>
    <n v="4998"/>
    <x v="10"/>
  </r>
  <r>
    <x v="3"/>
    <x v="7"/>
    <x v="13"/>
    <n v="11847"/>
    <n v="1234"/>
    <x v="17"/>
  </r>
  <r>
    <x v="3"/>
    <x v="0"/>
    <x v="0"/>
    <n v="0"/>
    <n v="0"/>
    <x v="27"/>
  </r>
  <r>
    <x v="3"/>
    <x v="0"/>
    <x v="1"/>
    <n v="6027"/>
    <n v="892"/>
    <x v="2"/>
  </r>
  <r>
    <x v="3"/>
    <x v="0"/>
    <x v="3"/>
    <n v="8497"/>
    <n v="2021"/>
    <x v="3"/>
  </r>
  <r>
    <x v="3"/>
    <x v="0"/>
    <x v="4"/>
    <n v="40180"/>
    <n v="1915"/>
    <x v="4"/>
  </r>
  <r>
    <x v="3"/>
    <x v="0"/>
    <x v="14"/>
    <n v="8695"/>
    <n v="187"/>
    <x v="22"/>
  </r>
  <r>
    <x v="3"/>
    <x v="0"/>
    <x v="8"/>
    <n v="1404"/>
    <n v="253"/>
    <x v="4"/>
  </r>
  <r>
    <x v="3"/>
    <x v="0"/>
    <x v="45"/>
    <n v="7038"/>
    <n v="540"/>
    <x v="4"/>
  </r>
  <r>
    <x v="3"/>
    <x v="0"/>
    <x v="46"/>
    <n v="9428"/>
    <n v="466"/>
    <x v="4"/>
  </r>
  <r>
    <x v="3"/>
    <x v="0"/>
    <x v="28"/>
    <n v="5186"/>
    <n v="2082"/>
    <x v="24"/>
  </r>
  <r>
    <x v="3"/>
    <x v="0"/>
    <x v="28"/>
    <n v="25448"/>
    <n v="3071"/>
    <x v="7"/>
  </r>
  <r>
    <x v="3"/>
    <x v="0"/>
    <x v="34"/>
    <n v="13064"/>
    <n v="1129"/>
    <x v="4"/>
  </r>
  <r>
    <x v="3"/>
    <x v="0"/>
    <x v="40"/>
    <n v="7449"/>
    <n v="242"/>
    <x v="21"/>
  </r>
  <r>
    <x v="3"/>
    <x v="0"/>
    <x v="10"/>
    <n v="19199"/>
    <n v="397"/>
    <x v="6"/>
  </r>
  <r>
    <x v="3"/>
    <x v="0"/>
    <x v="11"/>
    <n v="31"/>
    <n v="2"/>
    <x v="12"/>
  </r>
  <r>
    <x v="3"/>
    <x v="0"/>
    <x v="11"/>
    <n v="56"/>
    <n v="7"/>
    <x v="26"/>
  </r>
  <r>
    <x v="3"/>
    <x v="0"/>
    <x v="2"/>
    <n v="463"/>
    <n v="74"/>
    <x v="8"/>
  </r>
  <r>
    <x v="3"/>
    <x v="0"/>
    <x v="2"/>
    <n v="654"/>
    <n v="119"/>
    <x v="12"/>
  </r>
  <r>
    <x v="3"/>
    <x v="0"/>
    <x v="2"/>
    <n v="29"/>
    <n v="6"/>
    <x v="15"/>
  </r>
  <r>
    <x v="3"/>
    <x v="0"/>
    <x v="53"/>
    <n v="94475"/>
    <n v="5468"/>
    <x v="10"/>
  </r>
  <r>
    <x v="3"/>
    <x v="0"/>
    <x v="47"/>
    <n v="88576"/>
    <n v="4272"/>
    <x v="10"/>
  </r>
  <r>
    <x v="3"/>
    <x v="0"/>
    <x v="36"/>
    <n v="1130"/>
    <n v="224"/>
    <x v="8"/>
  </r>
  <r>
    <x v="3"/>
    <x v="0"/>
    <x v="13"/>
    <n v="672"/>
    <n v="124"/>
    <x v="11"/>
  </r>
  <r>
    <x v="3"/>
    <x v="1"/>
    <x v="0"/>
    <n v="0"/>
    <n v="0"/>
    <x v="17"/>
  </r>
  <r>
    <x v="3"/>
    <x v="1"/>
    <x v="0"/>
    <n v="0"/>
    <n v="0"/>
    <x v="3"/>
  </r>
  <r>
    <x v="3"/>
    <x v="1"/>
    <x v="0"/>
    <n v="0"/>
    <n v="0"/>
    <x v="13"/>
  </r>
  <r>
    <x v="3"/>
    <x v="1"/>
    <x v="21"/>
    <n v="10248"/>
    <n v="1390"/>
    <x v="4"/>
  </r>
  <r>
    <x v="3"/>
    <x v="1"/>
    <x v="16"/>
    <n v="8132"/>
    <n v="997"/>
    <x v="2"/>
  </r>
  <r>
    <x v="3"/>
    <x v="1"/>
    <x v="11"/>
    <n v="126"/>
    <n v="27"/>
    <x v="29"/>
  </r>
  <r>
    <x v="3"/>
    <x v="1"/>
    <x v="11"/>
    <n v="1045"/>
    <n v="109"/>
    <x v="13"/>
  </r>
  <r>
    <x v="3"/>
    <x v="1"/>
    <x v="51"/>
    <n v="7"/>
    <n v="7"/>
    <x v="10"/>
  </r>
  <r>
    <x v="3"/>
    <x v="1"/>
    <x v="24"/>
    <n v="8160"/>
    <n v="906"/>
    <x v="16"/>
  </r>
  <r>
    <x v="3"/>
    <x v="5"/>
    <x v="0"/>
    <n v="0"/>
    <n v="0"/>
    <x v="21"/>
  </r>
  <r>
    <x v="3"/>
    <x v="5"/>
    <x v="0"/>
    <n v="0"/>
    <n v="0"/>
    <x v="11"/>
  </r>
  <r>
    <x v="3"/>
    <x v="5"/>
    <x v="0"/>
    <n v="0"/>
    <n v="0"/>
    <x v="1"/>
  </r>
  <r>
    <x v="3"/>
    <x v="5"/>
    <x v="19"/>
    <n v="17597"/>
    <n v="773"/>
    <x v="4"/>
  </r>
  <r>
    <x v="3"/>
    <x v="5"/>
    <x v="14"/>
    <n v="6294"/>
    <n v="467"/>
    <x v="4"/>
  </r>
  <r>
    <x v="3"/>
    <x v="5"/>
    <x v="39"/>
    <n v="77666"/>
    <n v="5837"/>
    <x v="4"/>
  </r>
  <r>
    <x v="3"/>
    <x v="5"/>
    <x v="7"/>
    <n v="34551"/>
    <n v="3584"/>
    <x v="4"/>
  </r>
  <r>
    <x v="3"/>
    <x v="5"/>
    <x v="27"/>
    <n v="7742"/>
    <n v="1165"/>
    <x v="0"/>
  </r>
  <r>
    <x v="3"/>
    <x v="5"/>
    <x v="16"/>
    <n v="5306"/>
    <n v="558"/>
    <x v="8"/>
  </r>
  <r>
    <x v="3"/>
    <x v="5"/>
    <x v="63"/>
    <n v="16572"/>
    <n v="1056"/>
    <x v="4"/>
  </r>
  <r>
    <x v="3"/>
    <x v="5"/>
    <x v="22"/>
    <n v="11542"/>
    <n v="1621"/>
    <x v="19"/>
  </r>
  <r>
    <x v="3"/>
    <x v="5"/>
    <x v="22"/>
    <n v="9727"/>
    <n v="1675"/>
    <x v="12"/>
  </r>
  <r>
    <x v="3"/>
    <x v="5"/>
    <x v="11"/>
    <n v="183"/>
    <n v="39"/>
    <x v="23"/>
  </r>
  <r>
    <x v="3"/>
    <x v="5"/>
    <x v="2"/>
    <n v="1224"/>
    <n v="237"/>
    <x v="19"/>
  </r>
  <r>
    <x v="3"/>
    <x v="5"/>
    <x v="2"/>
    <n v="5657"/>
    <n v="1036"/>
    <x v="9"/>
  </r>
  <r>
    <x v="3"/>
    <x v="5"/>
    <x v="44"/>
    <n v="89147"/>
    <n v="4572"/>
    <x v="10"/>
  </r>
  <r>
    <x v="3"/>
    <x v="5"/>
    <x v="13"/>
    <n v="12515"/>
    <n v="1224"/>
    <x v="17"/>
  </r>
  <r>
    <x v="3"/>
    <x v="8"/>
    <x v="0"/>
    <n v="0"/>
    <n v="0"/>
    <x v="20"/>
  </r>
  <r>
    <x v="3"/>
    <x v="8"/>
    <x v="0"/>
    <n v="0"/>
    <n v="0"/>
    <x v="27"/>
  </r>
  <r>
    <x v="3"/>
    <x v="8"/>
    <x v="3"/>
    <n v="12468"/>
    <n v="2063"/>
    <x v="3"/>
  </r>
  <r>
    <x v="3"/>
    <x v="8"/>
    <x v="14"/>
    <n v="872"/>
    <n v="12"/>
    <x v="22"/>
  </r>
  <r>
    <x v="3"/>
    <x v="8"/>
    <x v="42"/>
    <n v="26047"/>
    <n v="1245"/>
    <x v="22"/>
  </r>
  <r>
    <x v="3"/>
    <x v="8"/>
    <x v="8"/>
    <n v="1298"/>
    <n v="209"/>
    <x v="4"/>
  </r>
  <r>
    <x v="3"/>
    <x v="8"/>
    <x v="57"/>
    <n v="60096"/>
    <n v="7528"/>
    <x v="4"/>
  </r>
  <r>
    <x v="3"/>
    <x v="8"/>
    <x v="46"/>
    <n v="10521"/>
    <n v="487"/>
    <x v="4"/>
  </r>
  <r>
    <x v="3"/>
    <x v="8"/>
    <x v="28"/>
    <n v="3254"/>
    <n v="307"/>
    <x v="24"/>
  </r>
  <r>
    <x v="3"/>
    <x v="8"/>
    <x v="28"/>
    <n v="19485"/>
    <n v="2159"/>
    <x v="7"/>
  </r>
  <r>
    <x v="3"/>
    <x v="8"/>
    <x v="27"/>
    <n v="2980"/>
    <n v="511"/>
    <x v="29"/>
  </r>
  <r>
    <x v="3"/>
    <x v="8"/>
    <x v="40"/>
    <n v="14124"/>
    <n v="141"/>
    <x v="21"/>
  </r>
  <r>
    <x v="3"/>
    <x v="8"/>
    <x v="10"/>
    <n v="22088"/>
    <n v="465"/>
    <x v="6"/>
  </r>
  <r>
    <x v="3"/>
    <x v="8"/>
    <x v="2"/>
    <n v="739"/>
    <n v="137"/>
    <x v="12"/>
  </r>
  <r>
    <x v="3"/>
    <x v="8"/>
    <x v="2"/>
    <n v="33"/>
    <n v="9"/>
    <x v="15"/>
  </r>
  <r>
    <x v="3"/>
    <x v="8"/>
    <x v="53"/>
    <n v="94804"/>
    <n v="4941"/>
    <x v="10"/>
  </r>
  <r>
    <x v="3"/>
    <x v="8"/>
    <x v="47"/>
    <n v="93862"/>
    <n v="5723"/>
    <x v="10"/>
  </r>
  <r>
    <x v="3"/>
    <x v="8"/>
    <x v="36"/>
    <n v="1100"/>
    <n v="222"/>
    <x v="8"/>
  </r>
  <r>
    <x v="3"/>
    <x v="9"/>
    <x v="0"/>
    <n v="0"/>
    <n v="0"/>
    <x v="17"/>
  </r>
  <r>
    <x v="3"/>
    <x v="9"/>
    <x v="0"/>
    <n v="0"/>
    <n v="0"/>
    <x v="3"/>
  </r>
  <r>
    <x v="3"/>
    <x v="9"/>
    <x v="0"/>
    <n v="0"/>
    <n v="0"/>
    <x v="13"/>
  </r>
  <r>
    <x v="3"/>
    <x v="9"/>
    <x v="1"/>
    <n v="19967"/>
    <n v="2089"/>
    <x v="13"/>
  </r>
  <r>
    <x v="3"/>
    <x v="9"/>
    <x v="58"/>
    <n v="35957"/>
    <n v="4308"/>
    <x v="4"/>
  </r>
  <r>
    <x v="3"/>
    <x v="9"/>
    <x v="21"/>
    <n v="9956"/>
    <n v="1285"/>
    <x v="4"/>
  </r>
  <r>
    <x v="3"/>
    <x v="9"/>
    <x v="27"/>
    <n v="19110"/>
    <n v="2855"/>
    <x v="23"/>
  </r>
  <r>
    <x v="3"/>
    <x v="9"/>
    <x v="16"/>
    <n v="9094"/>
    <n v="1088"/>
    <x v="2"/>
  </r>
  <r>
    <x v="3"/>
    <x v="9"/>
    <x v="11"/>
    <n v="1105"/>
    <n v="132"/>
    <x v="13"/>
  </r>
  <r>
    <x v="3"/>
    <x v="9"/>
    <x v="24"/>
    <n v="6138"/>
    <n v="628"/>
    <x v="16"/>
  </r>
  <r>
    <x v="3"/>
    <x v="3"/>
    <x v="0"/>
    <n v="0"/>
    <n v="0"/>
    <x v="21"/>
  </r>
  <r>
    <x v="3"/>
    <x v="3"/>
    <x v="0"/>
    <n v="0"/>
    <n v="0"/>
    <x v="1"/>
  </r>
  <r>
    <x v="3"/>
    <x v="3"/>
    <x v="19"/>
    <n v="34"/>
    <n v="5"/>
    <x v="4"/>
  </r>
  <r>
    <x v="3"/>
    <x v="3"/>
    <x v="39"/>
    <n v="1790"/>
    <n v="127"/>
    <x v="4"/>
  </r>
  <r>
    <x v="3"/>
    <x v="3"/>
    <x v="7"/>
    <n v="243"/>
    <n v="36"/>
    <x v="4"/>
  </r>
  <r>
    <x v="3"/>
    <x v="3"/>
    <x v="16"/>
    <n v="231"/>
    <n v="15"/>
    <x v="8"/>
  </r>
  <r>
    <x v="3"/>
    <x v="3"/>
    <x v="63"/>
    <n v="1073"/>
    <n v="34"/>
    <x v="4"/>
  </r>
  <r>
    <x v="3"/>
    <x v="3"/>
    <x v="2"/>
    <n v="98"/>
    <n v="15"/>
    <x v="19"/>
  </r>
  <r>
    <x v="3"/>
    <x v="3"/>
    <x v="2"/>
    <n v="0"/>
    <n v="0"/>
    <x v="5"/>
  </r>
  <r>
    <x v="3"/>
    <x v="3"/>
    <x v="2"/>
    <n v="802"/>
    <n v="125"/>
    <x v="9"/>
  </r>
  <r>
    <x v="3"/>
    <x v="3"/>
    <x v="2"/>
    <n v="14"/>
    <n v="3"/>
    <x v="11"/>
  </r>
  <r>
    <x v="3"/>
    <x v="3"/>
    <x v="13"/>
    <n v="378"/>
    <n v="24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7E584A-458F-4844-A3AC-C45967AE031F}" name="din_capa" cacheId="3" applyNumberFormats="0" applyBorderFormats="0" applyFontFormats="0" applyPatternFormats="0" applyAlignmentFormats="0" applyWidthHeightFormats="1" dataCaption="Valores" updatedVersion="8" minRefreshableVersion="5" itemPrintTitles="1" mergeItem="1" createdVersion="7" indent="0" compact="0" compactData="0" gridDropZones="1" multipleFieldFilters="0" fieldListSortAscending="1">
  <location ref="I53:Q65" firstHeaderRow="1" firstDataRow="2" firstDataCol="3" rowPageCount="11" colPageCount="1"/>
  <pivotFields count="20"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3">
        <item m="1" x="1"/>
        <item x="0"/>
        <item t="default"/>
      </items>
    </pivotField>
    <pivotField axis="axisPage" compact="0" outline="0" showAll="0">
      <items count="18"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0"/>
        <item m="1" x="16"/>
        <item x="1"/>
        <item t="default"/>
      </items>
    </pivotField>
    <pivotField axis="axisPage" compact="0" outline="0" showAll="0" sortType="descending">
      <items count="3">
        <item x="0"/>
        <item m="1" x="1"/>
        <item t="default"/>
      </items>
    </pivotField>
    <pivotField axis="axisPage" compact="0" outline="0" showAll="0" defaultSubtotal="0">
      <items count="40">
        <item x="1"/>
        <item x="29"/>
        <item x="2"/>
        <item x="3"/>
        <item x="4"/>
        <item x="5"/>
        <item x="6"/>
        <item x="8"/>
        <item x="9"/>
        <item x="10"/>
        <item x="12"/>
        <item x="13"/>
        <item m="1" x="35"/>
        <item x="14"/>
        <item x="16"/>
        <item x="21"/>
        <item x="23"/>
        <item x="31"/>
        <item x="26"/>
        <item m="1" x="38"/>
        <item x="30"/>
        <item x="11"/>
        <item x="22"/>
        <item x="24"/>
        <item x="28"/>
        <item x="27"/>
        <item x="33"/>
        <item x="15"/>
        <item x="32"/>
        <item m="1" x="37"/>
        <item x="18"/>
        <item x="19"/>
        <item x="7"/>
        <item x="20"/>
        <item m="1" x="39"/>
        <item x="34"/>
        <item x="17"/>
        <item x="25"/>
        <item m="1" x="36"/>
        <item x="0"/>
      </items>
    </pivotField>
    <pivotField axis="axisPage" compact="0" outline="0" showAll="0" defaultSubtotal="0">
      <items count="389">
        <item x="305"/>
        <item m="1" x="350"/>
        <item x="290"/>
        <item x="72"/>
        <item x="259"/>
        <item x="176"/>
        <item x="68"/>
        <item x="17"/>
        <item x="134"/>
        <item x="69"/>
        <item x="135"/>
        <item x="161"/>
        <item x="219"/>
        <item x="242"/>
        <item x="152"/>
        <item x="42"/>
        <item x="113"/>
        <item x="44"/>
        <item x="45"/>
        <item x="207"/>
        <item x="43"/>
        <item x="122"/>
        <item x="21"/>
        <item x="153"/>
        <item x="136"/>
        <item x="216"/>
        <item x="51"/>
        <item x="52"/>
        <item x="237"/>
        <item x="119"/>
        <item x="232"/>
        <item x="287"/>
        <item x="35"/>
        <item m="1" x="347"/>
        <item x="120"/>
        <item x="57"/>
        <item x="26"/>
        <item x="195"/>
        <item x="27"/>
        <item x="157"/>
        <item x="53"/>
        <item x="89"/>
        <item x="283"/>
        <item x="103"/>
        <item x="149"/>
        <item x="88"/>
        <item x="150"/>
        <item x="98"/>
        <item x="209"/>
        <item x="46"/>
        <item x="22"/>
        <item x="85"/>
        <item x="106"/>
        <item x="158"/>
        <item x="244"/>
        <item x="55"/>
        <item x="34"/>
        <item x="47"/>
        <item x="87"/>
        <item x="154"/>
        <item x="166"/>
        <item x="130"/>
        <item x="54"/>
        <item x="127"/>
        <item x="230"/>
        <item x="13"/>
        <item x="211"/>
        <item x="151"/>
        <item x="155"/>
        <item x="196"/>
        <item x="270"/>
        <item x="276"/>
        <item x="86"/>
        <item x="115"/>
        <item x="173"/>
        <item x="63"/>
        <item x="114"/>
        <item x="203"/>
        <item x="28"/>
        <item x="107"/>
        <item x="200"/>
        <item x="140"/>
        <item x="141"/>
        <item x="77"/>
        <item x="179"/>
        <item x="284"/>
        <item x="238"/>
        <item x="76"/>
        <item x="61"/>
        <item x="64"/>
        <item x="128"/>
        <item x="75"/>
        <item x="301"/>
        <item x="266"/>
        <item x="248"/>
        <item x="295"/>
        <item m="1" x="372"/>
        <item x="131"/>
        <item x="224"/>
        <item x="123"/>
        <item x="260"/>
        <item x="180"/>
        <item x="252"/>
        <item x="165"/>
        <item x="204"/>
        <item x="175"/>
        <item x="234"/>
        <item x="193"/>
        <item x="148"/>
        <item x="19"/>
        <item x="227"/>
        <item m="1" x="349"/>
        <item m="1" x="354"/>
        <item x="206"/>
        <item x="39"/>
        <item x="222"/>
        <item x="11"/>
        <item x="18"/>
        <item x="169"/>
        <item x="90"/>
        <item x="93"/>
        <item x="262"/>
        <item x="197"/>
        <item x="129"/>
        <item x="99"/>
        <item x="78"/>
        <item m="1" x="363"/>
        <item x="121"/>
        <item m="1" x="348"/>
        <item x="82"/>
        <item m="1" x="373"/>
        <item x="20"/>
        <item x="58"/>
        <item x="100"/>
        <item x="263"/>
        <item x="29"/>
        <item x="73"/>
        <item x="208"/>
        <item x="62"/>
        <item x="163"/>
        <item x="247"/>
        <item x="185"/>
        <item x="147"/>
        <item x="271"/>
        <item m="1" x="376"/>
        <item m="1" x="360"/>
        <item m="1" x="313"/>
        <item m="1" x="343"/>
        <item m="1" x="319"/>
        <item x="278"/>
        <item x="124"/>
        <item x="221"/>
        <item m="1" x="306"/>
        <item x="118"/>
        <item x="289"/>
        <item x="269"/>
        <item x="215"/>
        <item x="223"/>
        <item x="91"/>
        <item x="274"/>
        <item x="40"/>
        <item x="96"/>
        <item x="174"/>
        <item x="67"/>
        <item x="285"/>
        <item x="37"/>
        <item x="303"/>
        <item x="159"/>
        <item x="143"/>
        <item x="92"/>
        <item x="16"/>
        <item x="210"/>
        <item x="10"/>
        <item x="145"/>
        <item m="1" x="315"/>
        <item x="30"/>
        <item x="181"/>
        <item x="201"/>
        <item x="296"/>
        <item x="253"/>
        <item m="1" x="370"/>
        <item m="1" x="361"/>
        <item x="251"/>
        <item x="199"/>
        <item x="108"/>
        <item x="79"/>
        <item m="1" x="356"/>
        <item m="1" x="369"/>
        <item m="1" x="309"/>
        <item x="233"/>
        <item x="146"/>
        <item x="38"/>
        <item x="144"/>
        <item x="249"/>
        <item x="83"/>
        <item x="156"/>
        <item x="95"/>
        <item x="109"/>
        <item m="1" x="317"/>
        <item x="84"/>
        <item x="101"/>
        <item x="256"/>
        <item x="15"/>
        <item x="14"/>
        <item m="1" x="355"/>
        <item m="1" x="374"/>
        <item x="80"/>
        <item x="104"/>
        <item x="280"/>
        <item x="288"/>
        <item x="275"/>
        <item x="59"/>
        <item m="1" x="378"/>
        <item m="1" x="340"/>
        <item x="12"/>
        <item m="1" x="383"/>
        <item x="102"/>
        <item m="1" x="331"/>
        <item m="1" x="325"/>
        <item m="1" x="338"/>
        <item m="1" x="351"/>
        <item m="1" x="352"/>
        <item m="1" x="335"/>
        <item m="1" x="339"/>
        <item m="1" x="329"/>
        <item m="1" x="336"/>
        <item m="1" x="332"/>
        <item x="172"/>
        <item m="1" x="371"/>
        <item m="1" x="334"/>
        <item m="1" x="323"/>
        <item m="1" x="326"/>
        <item m="1" x="330"/>
        <item m="1" x="359"/>
        <item m="1" x="380"/>
        <item m="1" x="318"/>
        <item m="1" x="322"/>
        <item x="273"/>
        <item x="300"/>
        <item x="56"/>
        <item m="1" x="364"/>
        <item m="1" x="328"/>
        <item x="162"/>
        <item m="1" x="387"/>
        <item m="1" x="327"/>
        <item x="298"/>
        <item m="1" x="320"/>
        <item m="1" x="385"/>
        <item x="198"/>
        <item x="97"/>
        <item x="9"/>
        <item m="1" x="337"/>
        <item x="217"/>
        <item x="191"/>
        <item x="229"/>
        <item x="187"/>
        <item x="257"/>
        <item x="23"/>
        <item x="236"/>
        <item x="218"/>
        <item x="190"/>
        <item x="235"/>
        <item x="32"/>
        <item x="272"/>
        <item x="31"/>
        <item x="258"/>
        <item m="1" x="311"/>
        <item x="264"/>
        <item x="299"/>
        <item x="265"/>
        <item x="70"/>
        <item x="214"/>
        <item x="116"/>
        <item x="183"/>
        <item m="1" x="367"/>
        <item m="1" x="316"/>
        <item x="184"/>
        <item x="245"/>
        <item x="33"/>
        <item m="1" x="308"/>
        <item x="267"/>
        <item m="1" x="307"/>
        <item x="125"/>
        <item x="50"/>
        <item x="142"/>
        <item x="112"/>
        <item x="254"/>
        <item x="182"/>
        <item x="25"/>
        <item x="250"/>
        <item x="304"/>
        <item x="294"/>
        <item m="1" x="353"/>
        <item x="110"/>
        <item m="1" x="314"/>
        <item x="243"/>
        <item x="168"/>
        <item x="189"/>
        <item m="1" x="346"/>
        <item x="279"/>
        <item x="164"/>
        <item x="41"/>
        <item m="1" x="342"/>
        <item m="1" x="344"/>
        <item x="239"/>
        <item x="81"/>
        <item m="1" x="324"/>
        <item x="220"/>
        <item m="1" x="365"/>
        <item x="167"/>
        <item m="1" x="377"/>
        <item x="36"/>
        <item x="268"/>
        <item x="231"/>
        <item x="48"/>
        <item x="291"/>
        <item x="246"/>
        <item x="65"/>
        <item x="293"/>
        <item m="1" x="310"/>
        <item x="261"/>
        <item x="132"/>
        <item m="1" x="388"/>
        <item m="1" x="358"/>
        <item m="1" x="357"/>
        <item x="297"/>
        <item x="94"/>
        <item m="1" x="345"/>
        <item x="160"/>
        <item m="1" x="368"/>
        <item x="194"/>
        <item x="49"/>
        <item m="1" x="312"/>
        <item m="1" x="366"/>
        <item x="202"/>
        <item x="24"/>
        <item x="105"/>
        <item m="1" x="321"/>
        <item m="1" x="333"/>
        <item m="1" x="341"/>
        <item x="117"/>
        <item x="228"/>
        <item m="1" x="362"/>
        <item x="292"/>
        <item m="1" x="375"/>
        <item m="1" x="379"/>
        <item x="60"/>
        <item m="1" x="381"/>
        <item m="1" x="382"/>
        <item m="1" x="384"/>
        <item x="170"/>
        <item m="1" x="386"/>
        <item x="0"/>
        <item x="1"/>
        <item x="2"/>
        <item x="3"/>
        <item x="4"/>
        <item x="5"/>
        <item x="6"/>
        <item x="7"/>
        <item x="8"/>
        <item x="66"/>
        <item x="71"/>
        <item x="74"/>
        <item x="111"/>
        <item x="126"/>
        <item x="133"/>
        <item x="137"/>
        <item x="138"/>
        <item x="139"/>
        <item x="171"/>
        <item x="177"/>
        <item x="178"/>
        <item x="186"/>
        <item x="188"/>
        <item x="192"/>
        <item x="205"/>
        <item x="212"/>
        <item x="213"/>
        <item x="225"/>
        <item x="226"/>
        <item x="240"/>
        <item x="241"/>
        <item x="255"/>
        <item x="277"/>
        <item x="281"/>
        <item x="282"/>
        <item x="286"/>
        <item x="302"/>
      </items>
    </pivotField>
    <pivotField axis="axisRow" compact="0" outline="0" showAll="0">
      <items count="3">
        <item x="1"/>
        <item x="0"/>
        <item t="default"/>
      </items>
    </pivotField>
    <pivotField axis="axisRow" compact="0" outline="0" showAll="0">
      <items count="33">
        <item h="1" x="1"/>
        <item x="18"/>
        <item h="1" x="21"/>
        <item h="1" x="14"/>
        <item h="1" x="19"/>
        <item h="1" m="1" x="28"/>
        <item h="1" x="3"/>
        <item h="1" x="5"/>
        <item h="1" x="2"/>
        <item h="1" x="22"/>
        <item h="1" m="1" x="30"/>
        <item h="1" x="26"/>
        <item h="1" x="7"/>
        <item h="1" x="25"/>
        <item h="1" x="0"/>
        <item h="1" x="6"/>
        <item h="1" x="13"/>
        <item h="1" x="15"/>
        <item h="1" x="4"/>
        <item h="1" x="24"/>
        <item h="1" x="10"/>
        <item h="1" x="9"/>
        <item h="1" x="11"/>
        <item h="1" m="1" x="31"/>
        <item h="1" m="1" x="27"/>
        <item h="1" x="20"/>
        <item h="1" x="23"/>
        <item h="1" m="1" x="29"/>
        <item h="1" x="8"/>
        <item h="1" x="16"/>
        <item h="1" x="12"/>
        <item h="1" x="17"/>
        <item t="default"/>
      </items>
    </pivotField>
    <pivotField axis="axisRow" compact="0" outline="0" showAll="0">
      <items count="360">
        <item x="83"/>
        <item x="6"/>
        <item m="1" x="301"/>
        <item m="1" x="320"/>
        <item x="200"/>
        <item x="218"/>
        <item x="10"/>
        <item x="18"/>
        <item x="19"/>
        <item m="1" x="321"/>
        <item x="139"/>
        <item m="1" x="264"/>
        <item x="26"/>
        <item m="1" x="324"/>
        <item m="1" x="276"/>
        <item m="1" x="341"/>
        <item m="1" x="266"/>
        <item x="157"/>
        <item x="232"/>
        <item m="1" x="346"/>
        <item x="213"/>
        <item x="31"/>
        <item x="124"/>
        <item x="66"/>
        <item x="63"/>
        <item x="159"/>
        <item x="125"/>
        <item x="192"/>
        <item x="64"/>
        <item x="65"/>
        <item x="87"/>
        <item x="238"/>
        <item m="1" x="303"/>
        <item x="220"/>
        <item m="1" x="302"/>
        <item x="168"/>
        <item x="9"/>
        <item x="7"/>
        <item x="209"/>
        <item x="88"/>
        <item x="34"/>
        <item m="1" x="325"/>
        <item x="219"/>
        <item x="176"/>
        <item x="211"/>
        <item x="35"/>
        <item x="186"/>
        <item m="1" x="337"/>
        <item x="33"/>
        <item x="8"/>
        <item x="86"/>
        <item x="114"/>
        <item x="53"/>
        <item x="260"/>
        <item x="52"/>
        <item x="120"/>
        <item x="121"/>
        <item x="222"/>
        <item m="1" x="327"/>
        <item x="122"/>
        <item m="1" x="286"/>
        <item m="1" x="287"/>
        <item m="1" x="288"/>
        <item m="1" x="289"/>
        <item m="1" x="292"/>
        <item m="1" x="290"/>
        <item m="1" x="291"/>
        <item x="156"/>
        <item x="57"/>
        <item x="208"/>
        <item x="247"/>
        <item m="1" x="355"/>
        <item x="145"/>
        <item x="25"/>
        <item x="24"/>
        <item x="103"/>
        <item x="102"/>
        <item m="1" x="309"/>
        <item x="234"/>
        <item x="183"/>
        <item x="15"/>
        <item x="93"/>
        <item m="1" x="353"/>
        <item x="138"/>
        <item x="171"/>
        <item x="170"/>
        <item x="99"/>
        <item x="141"/>
        <item x="254"/>
        <item x="126"/>
        <item x="212"/>
        <item x="194"/>
        <item x="241"/>
        <item m="1" x="338"/>
        <item x="240"/>
        <item x="248"/>
        <item x="153"/>
        <item x="96"/>
        <item x="97"/>
        <item m="1" x="323"/>
        <item x="20"/>
        <item x="140"/>
        <item m="1" x="331"/>
        <item x="258"/>
        <item m="1" x="272"/>
        <item x="78"/>
        <item x="79"/>
        <item x="80"/>
        <item x="134"/>
        <item x="81"/>
        <item x="252"/>
        <item x="116"/>
        <item x="58"/>
        <item x="207"/>
        <item x="119"/>
        <item x="224"/>
        <item x="13"/>
        <item x="91"/>
        <item x="239"/>
        <item x="251"/>
        <item m="1" x="274"/>
        <item x="174"/>
        <item x="32"/>
        <item x="29"/>
        <item x="245"/>
        <item x="61"/>
        <item x="180"/>
        <item x="216"/>
        <item x="60"/>
        <item x="62"/>
        <item x="197"/>
        <item x="68"/>
        <item x="67"/>
        <item m="1" x="283"/>
        <item m="1" x="351"/>
        <item x="148"/>
        <item x="225"/>
        <item x="147"/>
        <item x="89"/>
        <item x="177"/>
        <item x="115"/>
        <item x="249"/>
        <item m="1" x="339"/>
        <item m="1" x="334"/>
        <item x="56"/>
        <item x="227"/>
        <item x="95"/>
        <item x="16"/>
        <item x="14"/>
        <item x="94"/>
        <item m="1" x="328"/>
        <item m="1" x="285"/>
        <item x="210"/>
        <item x="54"/>
        <item x="85"/>
        <item x="137"/>
        <item x="182"/>
        <item m="1" x="267"/>
        <item x="188"/>
        <item x="107"/>
        <item x="206"/>
        <item x="217"/>
        <item m="1" x="349"/>
        <item x="109"/>
        <item m="1" x="310"/>
        <item m="1" x="348"/>
        <item m="1" x="345"/>
        <item x="178"/>
        <item x="12"/>
        <item x="146"/>
        <item x="196"/>
        <item m="1" x="284"/>
        <item x="30"/>
        <item m="1" x="336"/>
        <item x="230"/>
        <item x="198"/>
        <item x="236"/>
        <item m="1" x="297"/>
        <item m="1" x="300"/>
        <item m="1" x="313"/>
        <item m="1" x="296"/>
        <item m="1" x="298"/>
        <item m="1" x="314"/>
        <item m="1" x="273"/>
        <item m="1" x="299"/>
        <item m="1" x="295"/>
        <item x="27"/>
        <item x="231"/>
        <item x="28"/>
        <item x="143"/>
        <item x="22"/>
        <item x="72"/>
        <item x="101"/>
        <item m="1" x="356"/>
        <item m="1" x="343"/>
        <item x="129"/>
        <item x="49"/>
        <item x="47"/>
        <item x="113"/>
        <item x="48"/>
        <item m="1" x="316"/>
        <item x="172"/>
        <item x="144"/>
        <item x="69"/>
        <item x="50"/>
        <item x="111"/>
        <item x="112"/>
        <item x="128"/>
        <item x="195"/>
        <item x="189"/>
        <item x="46"/>
        <item x="40"/>
        <item x="39"/>
        <item x="150"/>
        <item x="187"/>
        <item x="205"/>
        <item x="37"/>
        <item x="38"/>
        <item x="106"/>
        <item m="1" x="317"/>
        <item x="105"/>
        <item x="173"/>
        <item x="70"/>
        <item x="71"/>
        <item x="136"/>
        <item x="166"/>
        <item x="164"/>
        <item x="162"/>
        <item x="73"/>
        <item x="82"/>
        <item x="74"/>
        <item x="131"/>
        <item x="163"/>
        <item m="1" x="318"/>
        <item x="135"/>
        <item x="151"/>
        <item x="256"/>
        <item x="152"/>
        <item x="259"/>
        <item m="1" x="279"/>
        <item x="262"/>
        <item x="43"/>
        <item x="108"/>
        <item x="257"/>
        <item x="118"/>
        <item x="92"/>
        <item x="155"/>
        <item x="42"/>
        <item m="1" x="357"/>
        <item m="1" x="330"/>
        <item m="1" x="332"/>
        <item x="233"/>
        <item x="226"/>
        <item x="123"/>
        <item m="1" x="268"/>
        <item x="261"/>
        <item x="253"/>
        <item x="117"/>
        <item m="1" x="322"/>
        <item x="90"/>
        <item m="1" x="308"/>
        <item m="1" x="277"/>
        <item m="1" x="333"/>
        <item x="84"/>
        <item x="36"/>
        <item x="17"/>
        <item x="169"/>
        <item x="142"/>
        <item m="1" x="340"/>
        <item m="1" x="307"/>
        <item m="1" x="278"/>
        <item x="41"/>
        <item x="23"/>
        <item x="244"/>
        <item x="44"/>
        <item m="1" x="275"/>
        <item m="1" x="271"/>
        <item m="1" x="265"/>
        <item x="202"/>
        <item x="250"/>
        <item x="11"/>
        <item x="21"/>
        <item x="184"/>
        <item x="98"/>
        <item x="100"/>
        <item m="1" x="269"/>
        <item m="1" x="270"/>
        <item x="228"/>
        <item m="1" x="280"/>
        <item x="55"/>
        <item m="1" x="281"/>
        <item x="161"/>
        <item x="181"/>
        <item m="1" x="282"/>
        <item x="235"/>
        <item m="1" x="293"/>
        <item m="1" x="294"/>
        <item m="1" x="304"/>
        <item m="1" x="305"/>
        <item m="1" x="306"/>
        <item x="110"/>
        <item m="1" x="311"/>
        <item m="1" x="312"/>
        <item x="165"/>
        <item m="1" x="315"/>
        <item x="255"/>
        <item x="204"/>
        <item m="1" x="319"/>
        <item x="149"/>
        <item m="1" x="326"/>
        <item x="45"/>
        <item x="199"/>
        <item x="77"/>
        <item m="1" x="329"/>
        <item x="167"/>
        <item x="179"/>
        <item x="193"/>
        <item m="1" x="335"/>
        <item m="1" x="342"/>
        <item m="1" x="344"/>
        <item m="1" x="347"/>
        <item x="229"/>
        <item m="1" x="350"/>
        <item m="1" x="352"/>
        <item x="154"/>
        <item m="1" x="354"/>
        <item x="75"/>
        <item x="76"/>
        <item x="263"/>
        <item m="1" x="358"/>
        <item x="0"/>
        <item x="1"/>
        <item x="2"/>
        <item x="3"/>
        <item x="4"/>
        <item x="5"/>
        <item x="51"/>
        <item x="59"/>
        <item x="104"/>
        <item x="127"/>
        <item x="130"/>
        <item x="132"/>
        <item x="133"/>
        <item x="158"/>
        <item x="160"/>
        <item x="175"/>
        <item x="185"/>
        <item x="190"/>
        <item x="191"/>
        <item x="201"/>
        <item x="203"/>
        <item x="214"/>
        <item x="215"/>
        <item x="221"/>
        <item x="223"/>
        <item x="237"/>
        <item x="242"/>
        <item x="243"/>
        <item x="246"/>
        <item t="default"/>
      </items>
    </pivotField>
    <pivotField axis="axisPage" compact="0" outline="0" showAll="0">
      <items count="73">
        <item x="34"/>
        <item x="15"/>
        <item x="7"/>
        <item x="47"/>
        <item x="8"/>
        <item x="30"/>
        <item x="16"/>
        <item x="6"/>
        <item x="49"/>
        <item x="54"/>
        <item x="42"/>
        <item x="0"/>
        <item x="25"/>
        <item x="21"/>
        <item x="28"/>
        <item x="43"/>
        <item x="22"/>
        <item x="13"/>
        <item x="23"/>
        <item x="27"/>
        <item x="12"/>
        <item x="33"/>
        <item x="39"/>
        <item x="17"/>
        <item m="1" x="68"/>
        <item x="53"/>
        <item x="10"/>
        <item x="29"/>
        <item x="20"/>
        <item x="1"/>
        <item x="19"/>
        <item x="36"/>
        <item x="52"/>
        <item x="4"/>
        <item x="18"/>
        <item m="1" x="65"/>
        <item x="9"/>
        <item x="24"/>
        <item m="1" x="67"/>
        <item x="45"/>
        <item x="48"/>
        <item x="5"/>
        <item x="61"/>
        <item m="1" x="71"/>
        <item x="37"/>
        <item x="3"/>
        <item m="1" x="64"/>
        <item m="1" x="66"/>
        <item m="1" x="70"/>
        <item x="63"/>
        <item x="11"/>
        <item x="40"/>
        <item x="44"/>
        <item x="50"/>
        <item x="31"/>
        <item x="56"/>
        <item x="46"/>
        <item x="32"/>
        <item x="38"/>
        <item x="62"/>
        <item x="55"/>
        <item x="51"/>
        <item x="59"/>
        <item x="58"/>
        <item x="26"/>
        <item x="41"/>
        <item x="60"/>
        <item x="14"/>
        <item x="57"/>
        <item x="35"/>
        <item m="1" x="69"/>
        <item x="2"/>
        <item t="default"/>
      </items>
    </pivotField>
    <pivotField axis="axisPage" compact="0" outline="0" showAll="0">
      <items count="4">
        <item x="0"/>
        <item x="1"/>
        <item x="2"/>
        <item t="default"/>
      </items>
    </pivotField>
    <pivotField axis="axisPage" compact="0" outline="0" multipleItemSelectionAllowed="1" showAll="0">
      <items count="12">
        <item x="1"/>
        <item x="0"/>
        <item x="2"/>
        <item x="5"/>
        <item m="1" x="10"/>
        <item x="6"/>
        <item x="8"/>
        <item x="3"/>
        <item x="9"/>
        <item x="4"/>
        <item x="7"/>
        <item t="default"/>
      </items>
    </pivotField>
    <pivotField axis="axisPage" compact="0" outline="0" showAll="0">
      <items count="3">
        <item x="0"/>
        <item x="1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3">
    <field x="8"/>
    <field x="7"/>
    <field x="9"/>
  </rowFields>
  <rowItems count="11">
    <i>
      <x v="1"/>
      <x/>
      <x v="94"/>
    </i>
    <i r="2">
      <x v="96"/>
    </i>
    <i r="2">
      <x v="252"/>
    </i>
    <i r="2">
      <x v="280"/>
    </i>
    <i t="default" r="1">
      <x/>
    </i>
    <i r="1">
      <x v="1"/>
      <x v="92"/>
    </i>
    <i r="2">
      <x v="95"/>
    </i>
    <i r="2">
      <x v="324"/>
    </i>
    <i t="default" r="1">
      <x v="1"/>
    </i>
    <i t="default"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1">
    <pageField fld="12" hier="-1"/>
    <pageField fld="10" hier="-1"/>
    <pageField fld="11" hier="-1"/>
    <pageField fld="5" hier="-1"/>
    <pageField fld="6" hier="-1"/>
    <pageField fld="0" hier="-1"/>
    <pageField fld="1" hier="-1"/>
    <pageField fld="2" hier="-1"/>
    <pageField fld="3" hier="-1"/>
    <pageField fld="4" hier="-1"/>
    <pageField fld="13" hier="-1"/>
  </pageFields>
  <dataFields count="6">
    <dataField name="TOTAL DISCAGENS" fld="14" baseField="9" baseItem="96" numFmtId="3"/>
    <dataField name="TOTAL DUPLICADAS" fld="15" baseField="9" baseItem="93"/>
    <dataField name="TOTAL NÚMEROS AFETADOS" fld="16" baseField="9" baseItem="93"/>
    <dataField name="2 LIGAÇÕES" fld="17" baseField="9" baseItem="93"/>
    <dataField name="3 LIGAÇÕES" fld="18" baseField="9" baseItem="93"/>
    <dataField name="4+ LIGAÇÕES" fld="19" baseField="9" baseItem="93"/>
  </dataFields>
  <formats count="63">
    <format dxfId="0">
      <pivotArea outline="0" collapsedLevelsAreSubtotals="1" fieldPosition="0"/>
    </format>
    <format dxfId="1">
      <pivotArea field="-2" type="button" dataOnly="0" labelOnly="1" outline="0" axis="axisCol" fieldPosition="0"/>
    </format>
    <format dxfId="2">
      <pivotArea outline="0" collapsedLevelsAreSubtotals="1" fieldPosition="0"/>
    </format>
    <format dxfId="3">
      <pivotArea field="-2" type="button" dataOnly="0" labelOnly="1" outline="0" axis="axisCol" fieldPosition="0"/>
    </format>
    <format dxfId="4">
      <pivotArea field="6" type="button" dataOnly="0" labelOnly="1" outline="0" axis="axisPage" fieldPosition="4"/>
    </format>
    <format dxfId="5">
      <pivotArea outline="0" collapsedLevelsAreSubtotals="1" fieldPosition="0"/>
    </format>
    <format dxfId="6">
      <pivotArea dataOnly="0" labelOnly="1" grandRow="1" outline="0" fieldPosition="0"/>
    </format>
    <format dxfId="7">
      <pivotArea field="3" type="button" dataOnly="0" labelOnly="1" outline="0" axis="axisPage" fieldPosition="8"/>
    </format>
    <format dxfId="8">
      <pivotArea field="11" type="button" dataOnly="0" labelOnly="1" outline="0" axis="axisPage" fieldPosition="2"/>
    </format>
    <format dxfId="9">
      <pivotArea field="-2" type="button" dataOnly="0" labelOnly="1" outline="0" axis="axisCol" fieldPosition="0"/>
    </format>
    <format dxfId="10">
      <pivotArea field="3" type="button" dataOnly="0" labelOnly="1" outline="0" axis="axisPage" fieldPosition="8"/>
    </format>
    <format dxfId="11">
      <pivotArea field="3" type="button" dataOnly="0" labelOnly="1" outline="0" axis="axisPage" fieldPosition="8"/>
    </format>
    <format dxfId="12">
      <pivotArea field="3" type="button" dataOnly="0" labelOnly="1" outline="0" axis="axisPage" fieldPosition="8"/>
    </format>
    <format dxfId="13">
      <pivotArea field="3" type="button" dataOnly="0" labelOnly="1" outline="0" axis="axisPage" fieldPosition="8"/>
    </format>
    <format dxfId="14">
      <pivotArea field="3" type="button" dataOnly="0" labelOnly="1" outline="0" axis="axisPage" fieldPosition="8"/>
    </format>
    <format dxfId="15">
      <pivotArea field="3" type="button" dataOnly="0" labelOnly="1" outline="0" axis="axisPage" fieldPosition="8"/>
    </format>
    <format dxfId="16">
      <pivotArea field="3" type="button" dataOnly="0" labelOnly="1" outline="0" axis="axisPage" fieldPosition="8"/>
    </format>
    <format dxfId="17">
      <pivotArea field="3" type="button" dataOnly="0" labelOnly="1" outline="0" axis="axisPage" fieldPosition="8"/>
    </format>
    <format dxfId="18">
      <pivotArea field="3" type="button" dataOnly="0" labelOnly="1" outline="0" axis="axisPage" fieldPosition="8"/>
    </format>
    <format dxfId="19">
      <pivotArea field="3" type="button" dataOnly="0" labelOnly="1" outline="0" axis="axisPage" fieldPosition="8"/>
    </format>
    <format dxfId="20">
      <pivotArea field="3" type="button" dataOnly="0" labelOnly="1" outline="0" axis="axisPage" fieldPosition="8"/>
    </format>
    <format dxfId="21">
      <pivotArea field="3" type="button" dataOnly="0" labelOnly="1" outline="0" axis="axisPage" fieldPosition="8"/>
    </format>
    <format dxfId="22">
      <pivotArea field="3" type="button" dataOnly="0" labelOnly="1" outline="0" axis="axisPage" fieldPosition="8"/>
    </format>
    <format dxfId="23">
      <pivotArea field="3" type="button" dataOnly="0" labelOnly="1" outline="0" axis="axisPage" fieldPosition="8"/>
    </format>
    <format dxfId="24">
      <pivotArea field="3" type="button" dataOnly="0" labelOnly="1" outline="0" axis="axisPage" fieldPosition="8"/>
    </format>
    <format dxfId="25">
      <pivotArea field="3" type="button" dataOnly="0" labelOnly="1" outline="0" axis="axisPage" fieldPosition="8"/>
    </format>
    <format dxfId="26">
      <pivotArea field="3" type="button" dataOnly="0" labelOnly="1" outline="0" axis="axisPage" fieldPosition="8"/>
    </format>
    <format dxfId="27">
      <pivotArea field="3" type="button" dataOnly="0" labelOnly="1" outline="0" axis="axisPage" fieldPosition="8"/>
    </format>
    <format dxfId="28">
      <pivotArea field="3" type="button" dataOnly="0" labelOnly="1" outline="0" axis="axisPage" fieldPosition="8"/>
    </format>
    <format dxfId="29">
      <pivotArea field="3" type="button" dataOnly="0" labelOnly="1" outline="0" axis="axisPage" fieldPosition="8"/>
    </format>
    <format dxfId="30">
      <pivotArea field="3" type="button" dataOnly="0" labelOnly="1" outline="0" axis="axisPage" fieldPosition="8"/>
    </format>
    <format dxfId="31">
      <pivotArea field="3" type="button" dataOnly="0" labelOnly="1" outline="0" axis="axisPage" fieldPosition="8"/>
    </format>
    <format dxfId="32">
      <pivotArea field="3" type="button" dataOnly="0" labelOnly="1" outline="0" axis="axisPage" fieldPosition="8"/>
    </format>
    <format dxfId="33">
      <pivotArea field="4" type="button" dataOnly="0" labelOnly="1" outline="0" axis="axisPage" fieldPosition="9"/>
    </format>
    <format dxfId="34">
      <pivotArea field="4" type="button" dataOnly="0" labelOnly="1" outline="0" axis="axisPage" fieldPosition="9"/>
    </format>
    <format dxfId="35">
      <pivotArea field="4" type="button" dataOnly="0" labelOnly="1" outline="0" axis="axisPage" fieldPosition="9"/>
    </format>
    <format dxfId="36">
      <pivotArea field="4" type="button" dataOnly="0" labelOnly="1" outline="0" axis="axisPage" fieldPosition="9"/>
    </format>
    <format dxfId="37">
      <pivotArea field="4" type="button" dataOnly="0" labelOnly="1" outline="0" axis="axisPage" fieldPosition="9"/>
    </format>
    <format dxfId="38">
      <pivotArea field="4" type="button" dataOnly="0" labelOnly="1" outline="0" axis="axisPage" fieldPosition="9"/>
    </format>
    <format dxfId="39">
      <pivotArea field="4" type="button" dataOnly="0" labelOnly="1" outline="0" axis="axisPage" fieldPosition="9"/>
    </format>
    <format dxfId="40">
      <pivotArea field="4" type="button" dataOnly="0" labelOnly="1" outline="0" axis="axisPage" fieldPosition="9"/>
    </format>
    <format dxfId="41">
      <pivotArea field="4" type="button" dataOnly="0" labelOnly="1" outline="0" axis="axisPage" fieldPosition="9"/>
    </format>
    <format dxfId="42">
      <pivotArea field="4" type="button" dataOnly="0" labelOnly="1" outline="0" axis="axisPage" fieldPosition="9"/>
    </format>
    <format dxfId="43">
      <pivotArea field="8" type="button" dataOnly="0" labelOnly="1" outline="0" axis="axisRow" fieldPosition="0"/>
    </format>
    <format dxfId="44">
      <pivotArea field="7" type="button" dataOnly="0" labelOnly="1" outline="0" axis="axisRow" fieldPosition="1"/>
    </format>
    <format dxfId="45">
      <pivotArea field="9" type="button" dataOnly="0" labelOnly="1" outline="0" axis="axisRow" fieldPosition="2"/>
    </format>
    <format dxfId="46">
      <pivotArea field="9" type="button" dataOnly="0" labelOnly="1" outline="0" axis="axisRow" fieldPosition="2"/>
    </format>
    <format dxfId="47">
      <pivotArea field="9" type="button" dataOnly="0" labelOnly="1" outline="0" axis="axisRow" fieldPosition="2"/>
    </format>
    <format dxfId="48">
      <pivotArea field="9" type="button" dataOnly="0" labelOnly="1" outline="0" axis="axisRow" fieldPosition="2"/>
    </format>
    <format dxfId="49">
      <pivotArea field="9" type="button" dataOnly="0" labelOnly="1" outline="0" axis="axisRow" fieldPosition="2"/>
    </format>
    <format dxfId="50">
      <pivotArea field="9" type="button" dataOnly="0" labelOnly="1" outline="0" axis="axisRow" fieldPosition="2"/>
    </format>
    <format dxfId="51">
      <pivotArea type="all" dataOnly="0" outline="0" fieldPosition="0"/>
    </format>
    <format dxfId="52">
      <pivotArea outline="0" collapsedLevelsAreSubtotals="1" fieldPosition="0"/>
    </format>
    <format dxfId="53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54">
      <pivotArea field="8" type="button" dataOnly="0" labelOnly="1" outline="0" axis="axisRow" fieldPosition="0"/>
    </format>
    <format dxfId="55">
      <pivotArea field="7" type="button" dataOnly="0" labelOnly="1" outline="0" axis="axisRow" fieldPosition="1"/>
    </format>
    <format dxfId="56">
      <pivotArea field="9" type="button" dataOnly="0" labelOnly="1" outline="0" axis="axisRow" fieldPosition="2"/>
    </format>
    <format dxfId="5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8">
      <pivotArea field="8" type="button" dataOnly="0" labelOnly="1" outline="0" axis="axisRow" fieldPosition="0"/>
    </format>
    <format dxfId="59">
      <pivotArea field="7" type="button" dataOnly="0" labelOnly="1" outline="0" axis="axisRow" fieldPosition="1"/>
    </format>
    <format dxfId="60">
      <pivotArea field="9" type="button" dataOnly="0" labelOnly="1" outline="0" axis="axisRow" fieldPosition="2"/>
    </format>
    <format dxfId="6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pivotTableStyleInfo name="Padrão Esteiras" showRowHeaders="1" showColHeaders="1" showRowStripes="0" showColStripes="0" showLastColumn="1"/>
  <filters count="1">
    <filter fld="4" type="dateEqual" evalOrder="-1" id="13" name="Data">
      <autoFilter ref="A1">
        <filterColumn colId="0">
          <customFilters>
            <customFilter val="4594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D4FE7C-9D79-48D1-8E2B-BD1FF5029939}" name="din_capa" cacheId="1" applyNumberFormats="0" applyBorderFormats="0" applyFontFormats="0" applyPatternFormats="0" applyAlignmentFormats="0" applyWidthHeightFormats="1" dataCaption="Valores" updatedVersion="8" minRefreshableVersion="5" showDrill="0" itemPrintTitles="1" mergeItem="1" createdVersion="7" indent="0" compact="0" compactData="0" gridDropZones="1" multipleFieldFilters="0" fieldListSortAscending="1">
  <location ref="I53:AA55" firstHeaderRow="1" firstDataRow="2" firstDataCol="3" rowPageCount="13" colPageCount="1"/>
  <pivotFields count="81">
    <pivotField axis="axisRow" compact="0" outline="0" showAll="0" sortType="descending" defaultSubtotal="0">
      <items count="759">
        <item x="3"/>
        <item x="2"/>
        <item x="1"/>
        <item x="0"/>
        <item x="14"/>
        <item x="12"/>
        <item x="11"/>
        <item x="7"/>
        <item x="6"/>
        <item x="5"/>
        <item x="4"/>
        <item x="13"/>
        <item x="10"/>
        <item x="9"/>
        <item x="8"/>
        <item x="65"/>
        <item x="62"/>
        <item x="66"/>
        <item x="63"/>
        <item x="58"/>
        <item x="57"/>
        <item x="61"/>
        <item x="51"/>
        <item x="67"/>
        <item x="59"/>
        <item x="50"/>
        <item x="49"/>
        <item x="48"/>
        <item x="47"/>
        <item x="46"/>
        <item x="68"/>
        <item x="64"/>
        <item x="56"/>
        <item x="55"/>
        <item x="54"/>
        <item x="53"/>
        <item x="52"/>
        <item x="60"/>
        <item x="45"/>
        <item x="44"/>
        <item x="43"/>
        <item x="42"/>
        <item x="41"/>
        <item x="37"/>
        <item x="24"/>
        <item x="23"/>
        <item x="22"/>
        <item x="21"/>
        <item x="20"/>
        <item x="39"/>
        <item x="36"/>
        <item x="35"/>
        <item x="25"/>
        <item x="38"/>
        <item x="29"/>
        <item x="34"/>
        <item x="33"/>
        <item x="40"/>
        <item x="19"/>
        <item x="18"/>
        <item x="17"/>
        <item x="16"/>
        <item x="32"/>
        <item x="26"/>
        <item x="31"/>
        <item x="28"/>
        <item x="30"/>
        <item x="27"/>
        <item x="15"/>
        <item m="1" x="109"/>
        <item m="1" x="106"/>
        <item m="1" x="105"/>
        <item m="1" x="104"/>
        <item m="1" x="111"/>
        <item m="1" x="108"/>
        <item m="1" x="103"/>
        <item m="1" x="102"/>
        <item m="1" x="101"/>
        <item m="1" x="100"/>
        <item m="1" x="99"/>
        <item m="1" x="110"/>
        <item m="1" x="107"/>
        <item m="1" x="98"/>
        <item m="1" x="82"/>
        <item m="1" x="81"/>
        <item m="1" x="80"/>
        <item m="1" x="79"/>
        <item m="1" x="94"/>
        <item m="1" x="91"/>
        <item m="1" x="78"/>
        <item m="1" x="77"/>
        <item m="1" x="86"/>
        <item m="1" x="76"/>
        <item m="1" x="75"/>
        <item m="1" x="96"/>
        <item m="1" x="93"/>
        <item m="1" x="74"/>
        <item m="1" x="73"/>
        <item m="1" x="72"/>
        <item m="1" x="90"/>
        <item m="1" x="89"/>
        <item m="1" x="95"/>
        <item m="1" x="88"/>
        <item m="1" x="85"/>
        <item m="1" x="84"/>
        <item m="1" x="83"/>
        <item m="1" x="71"/>
        <item m="1" x="70"/>
        <item m="1" x="97"/>
        <item m="1" x="87"/>
        <item m="1" x="69"/>
        <item m="1" x="92"/>
        <item m="1" x="128"/>
        <item m="1" x="131"/>
        <item m="1" x="127"/>
        <item m="1" x="142"/>
        <item m="1" x="137"/>
        <item m="1" x="126"/>
        <item m="1" x="130"/>
        <item m="1" x="125"/>
        <item m="1" x="124"/>
        <item m="1" x="123"/>
        <item m="1" x="141"/>
        <item m="1" x="136"/>
        <item m="1" x="122"/>
        <item m="1" x="135"/>
        <item m="1" x="132"/>
        <item m="1" x="121"/>
        <item m="1" x="120"/>
        <item m="1" x="140"/>
        <item m="1" x="133"/>
        <item m="1" x="119"/>
        <item m="1" x="118"/>
        <item m="1" x="117"/>
        <item m="1" x="116"/>
        <item m="1" x="129"/>
        <item m="1" x="139"/>
        <item m="1" x="134"/>
        <item m="1" x="115"/>
        <item m="1" x="114"/>
        <item m="1" x="113"/>
        <item m="1" x="112"/>
        <item m="1" x="138"/>
        <item m="1" x="178"/>
        <item m="1" x="179"/>
        <item m="1" x="175"/>
        <item m="1" x="177"/>
        <item m="1" x="176"/>
        <item m="1" x="174"/>
        <item m="1" x="162"/>
        <item m="1" x="161"/>
        <item m="1" x="165"/>
        <item m="1" x="172"/>
        <item m="1" x="160"/>
        <item m="1" x="159"/>
        <item m="1" x="158"/>
        <item m="1" x="157"/>
        <item m="1" x="144"/>
        <item m="1" x="171"/>
        <item m="1" x="164"/>
        <item m="1" x="156"/>
        <item m="1" x="170"/>
        <item m="1" x="155"/>
        <item m="1" x="154"/>
        <item m="1" x="153"/>
        <item m="1" x="173"/>
        <item m="1" x="169"/>
        <item m="1" x="152"/>
        <item m="1" x="168"/>
        <item m="1" x="143"/>
        <item m="1" x="151"/>
        <item m="1" x="150"/>
        <item m="1" x="163"/>
        <item m="1" x="149"/>
        <item m="1" x="148"/>
        <item m="1" x="147"/>
        <item m="1" x="167"/>
        <item m="1" x="146"/>
        <item m="1" x="145"/>
        <item m="1" x="166"/>
        <item m="1" x="238"/>
        <item m="1" x="229"/>
        <item m="1" x="228"/>
        <item m="1" x="227"/>
        <item m="1" x="226"/>
        <item m="1" x="225"/>
        <item m="1" x="233"/>
        <item m="1" x="237"/>
        <item m="1" x="236"/>
        <item m="1" x="224"/>
        <item m="1" x="223"/>
        <item m="1" x="222"/>
        <item m="1" x="221"/>
        <item m="1" x="239"/>
        <item m="1" x="220"/>
        <item m="1" x="235"/>
        <item m="1" x="219"/>
        <item m="1" x="218"/>
        <item m="1" x="234"/>
        <item m="1" x="210"/>
        <item m="1" x="232"/>
        <item m="1" x="217"/>
        <item m="1" x="231"/>
        <item m="1" x="216"/>
        <item m="1" x="215"/>
        <item m="1" x="214"/>
        <item m="1" x="213"/>
        <item m="1" x="230"/>
        <item m="1" x="212"/>
        <item m="1" x="209"/>
        <item m="1" x="211"/>
        <item m="1" x="200"/>
        <item m="1" x="199"/>
        <item m="1" x="198"/>
        <item m="1" x="197"/>
        <item m="1" x="180"/>
        <item m="1" x="196"/>
        <item m="1" x="204"/>
        <item m="1" x="195"/>
        <item m="1" x="194"/>
        <item m="1" x="207"/>
        <item m="1" x="206"/>
        <item m="1" x="193"/>
        <item m="1" x="192"/>
        <item m="1" x="191"/>
        <item m="1" x="205"/>
        <item m="1" x="190"/>
        <item m="1" x="203"/>
        <item m="1" x="189"/>
        <item m="1" x="188"/>
        <item m="1" x="187"/>
        <item m="1" x="202"/>
        <item m="1" x="186"/>
        <item m="1" x="185"/>
        <item m="1" x="201"/>
        <item m="1" x="184"/>
        <item m="1" x="183"/>
        <item m="1" x="182"/>
        <item m="1" x="208"/>
        <item m="1" x="181"/>
        <item m="1" x="750"/>
        <item m="1" x="482"/>
        <item m="1" x="743"/>
        <item m="1" x="475"/>
        <item m="1" x="735"/>
        <item m="1" x="467"/>
        <item m="1" x="727"/>
        <item m="1" x="459"/>
        <item m="1" x="719"/>
        <item m="1" x="450"/>
        <item m="1" x="710"/>
        <item m="1" x="441"/>
        <item m="1" x="699"/>
        <item m="1" x="431"/>
        <item m="1" x="689"/>
        <item m="1" x="421"/>
        <item m="1" x="678"/>
        <item m="1" x="409"/>
        <item m="1" x="666"/>
        <item m="1" x="397"/>
        <item m="1" x="652"/>
        <item m="1" x="497"/>
        <item m="1" x="241"/>
        <item m="1" x="492"/>
        <item m="1" x="755"/>
        <item m="1" x="487"/>
        <item m="1" x="748"/>
        <item m="1" x="480"/>
        <item m="1" x="741"/>
        <item m="1" x="473"/>
        <item m="1" x="733"/>
        <item m="1" x="465"/>
        <item m="1" x="725"/>
        <item m="1" x="457"/>
        <item m="1" x="717"/>
        <item m="1" x="448"/>
        <item m="1" x="708"/>
        <item m="1" x="439"/>
        <item m="1" x="697"/>
        <item m="1" x="429"/>
        <item m="1" x="687"/>
        <item m="1" x="419"/>
        <item m="1" x="676"/>
        <item m="1" x="407"/>
        <item m="1" x="664"/>
        <item m="1" x="395"/>
        <item m="1" x="650"/>
        <item m="1" x="383"/>
        <item m="1" x="638"/>
        <item m="1" x="371"/>
        <item m="1" x="626"/>
        <item m="1" x="753"/>
        <item m="1" x="485"/>
        <item m="1" x="746"/>
        <item m="1" x="478"/>
        <item m="1" x="739"/>
        <item m="1" x="471"/>
        <item m="1" x="731"/>
        <item m="1" x="463"/>
        <item m="1" x="723"/>
        <item m="1" x="455"/>
        <item m="1" x="715"/>
        <item m="1" x="446"/>
        <item m="1" x="706"/>
        <item m="1" x="437"/>
        <item m="1" x="695"/>
        <item m="1" x="427"/>
        <item m="1" x="685"/>
        <item m="1" x="417"/>
        <item m="1" x="674"/>
        <item m="1" x="405"/>
        <item m="1" x="662"/>
        <item m="1" x="393"/>
        <item m="1" x="648"/>
        <item m="1" x="381"/>
        <item m="1" x="636"/>
        <item m="1" x="369"/>
        <item m="1" x="624"/>
        <item m="1" x="359"/>
        <item m="1" x="614"/>
        <item m="1" x="349"/>
        <item m="1" x="602"/>
        <item m="1" x="738"/>
        <item m="1" x="470"/>
        <item m="1" x="730"/>
        <item m="1" x="462"/>
        <item m="1" x="722"/>
        <item m="1" x="454"/>
        <item m="1" x="714"/>
        <item m="1" x="445"/>
        <item m="1" x="705"/>
        <item m="1" x="436"/>
        <item m="1" x="694"/>
        <item m="1" x="426"/>
        <item m="1" x="684"/>
        <item m="1" x="416"/>
        <item m="1" x="673"/>
        <item m="1" x="404"/>
        <item m="1" x="661"/>
        <item m="1" x="392"/>
        <item m="1" x="647"/>
        <item m="1" x="380"/>
        <item m="1" x="635"/>
        <item m="1" x="368"/>
        <item m="1" x="623"/>
        <item m="1" x="358"/>
        <item m="1" x="613"/>
        <item m="1" x="348"/>
        <item m="1" x="601"/>
        <item m="1" x="337"/>
        <item m="1" x="590"/>
        <item m="1" x="326"/>
        <item m="1" x="579"/>
        <item m="1" x="453"/>
        <item m="1" x="713"/>
        <item m="1" x="444"/>
        <item m="1" x="704"/>
        <item m="1" x="435"/>
        <item m="1" x="693"/>
        <item m="1" x="425"/>
        <item m="1" x="683"/>
        <item m="1" x="415"/>
        <item m="1" x="672"/>
        <item m="1" x="403"/>
        <item m="1" x="660"/>
        <item m="1" x="391"/>
        <item m="1" x="646"/>
        <item m="1" x="379"/>
        <item m="1" x="634"/>
        <item m="1" x="367"/>
        <item m="1" x="622"/>
        <item m="1" x="612"/>
        <item m="1" x="347"/>
        <item m="1" x="600"/>
        <item m="1" x="336"/>
        <item m="1" x="589"/>
        <item m="1" x="325"/>
        <item m="1" x="578"/>
        <item m="1" x="315"/>
        <item m="1" x="568"/>
        <item m="1" x="305"/>
        <item m="1" x="558"/>
        <item m="1" x="703"/>
        <item m="1" x="434"/>
        <item m="1" x="692"/>
        <item m="1" x="424"/>
        <item m="1" x="681"/>
        <item m="1" x="413"/>
        <item m="1" x="670"/>
        <item m="1" x="401"/>
        <item m="1" x="658"/>
        <item m="1" x="389"/>
        <item m="1" x="644"/>
        <item m="1" x="377"/>
        <item m="1" x="632"/>
        <item m="1" x="365"/>
        <item m="1" x="620"/>
        <item m="1" x="356"/>
        <item m="1" x="610"/>
        <item m="1" x="345"/>
        <item m="1" x="598"/>
        <item m="1" x="334"/>
        <item m="1" x="587"/>
        <item m="1" x="323"/>
        <item m="1" x="576"/>
        <item m="1" x="313"/>
        <item m="1" x="566"/>
        <item m="1" x="303"/>
        <item m="1" x="556"/>
        <item m="1" x="295"/>
        <item m="1" x="548"/>
        <item m="1" x="287"/>
        <item m="1" x="540"/>
        <item m="1" x="411"/>
        <item m="1" x="668"/>
        <item m="1" x="399"/>
        <item m="1" x="656"/>
        <item m="1" x="387"/>
        <item m="1" x="642"/>
        <item m="1" x="375"/>
        <item m="1" x="630"/>
        <item m="1" x="363"/>
        <item m="1" x="618"/>
        <item m="1" x="354"/>
        <item m="1" x="608"/>
        <item m="1" x="343"/>
        <item m="1" x="596"/>
        <item m="1" x="332"/>
        <item m="1" x="585"/>
        <item m="1" x="321"/>
        <item m="1" x="574"/>
        <item m="1" x="311"/>
        <item m="1" x="564"/>
        <item m="1" x="301"/>
        <item m="1" x="554"/>
        <item m="1" x="293"/>
        <item m="1" x="546"/>
        <item m="1" x="285"/>
        <item m="1" x="538"/>
        <item m="1" x="279"/>
        <item m="1" x="533"/>
        <item m="1" x="274"/>
        <item m="1" x="528"/>
        <item m="1" x="654"/>
        <item m="1" x="385"/>
        <item m="1" x="640"/>
        <item m="1" x="373"/>
        <item m="1" x="628"/>
        <item m="1" x="361"/>
        <item m="1" x="616"/>
        <item m="1" x="352"/>
        <item m="1" x="606"/>
        <item m="1" x="341"/>
        <item m="1" x="594"/>
        <item m="1" x="330"/>
        <item m="1" x="583"/>
        <item m="1" x="319"/>
        <item m="1" x="572"/>
        <item m="1" x="309"/>
        <item m="1" x="562"/>
        <item m="1" x="299"/>
        <item m="1" x="552"/>
        <item m="1" x="291"/>
        <item m="1" x="544"/>
        <item m="1" x="283"/>
        <item m="1" x="536"/>
        <item m="1" x="277"/>
        <item m="1" x="531"/>
        <item m="1" x="272"/>
        <item m="1" x="526"/>
        <item m="1" x="269"/>
        <item m="1" x="523"/>
        <item m="1" x="265"/>
        <item m="1" x="519"/>
        <item m="1" x="350"/>
        <item m="1" x="604"/>
        <item m="1" x="339"/>
        <item m="1" x="592"/>
        <item m="1" x="328"/>
        <item m="1" x="581"/>
        <item m="1" x="317"/>
        <item m="1" x="570"/>
        <item m="1" x="307"/>
        <item m="1" x="560"/>
        <item m="1" x="297"/>
        <item m="1" x="550"/>
        <item m="1" x="289"/>
        <item m="1" x="542"/>
        <item m="1" x="281"/>
        <item m="1" x="535"/>
        <item m="1" x="276"/>
        <item m="1" x="530"/>
        <item m="1" x="271"/>
        <item m="1" x="525"/>
        <item m="1" x="268"/>
        <item m="1" x="522"/>
        <item m="1" x="264"/>
        <item m="1" x="518"/>
        <item m="1" x="261"/>
        <item m="1" x="515"/>
        <item m="1" x="258"/>
        <item m="1" x="511"/>
        <item m="1" x="603"/>
        <item m="1" x="338"/>
        <item m="1" x="591"/>
        <item m="1" x="327"/>
        <item m="1" x="580"/>
        <item m="1" x="316"/>
        <item m="1" x="569"/>
        <item m="1" x="306"/>
        <item m="1" x="559"/>
        <item m="1" x="296"/>
        <item m="1" x="549"/>
        <item m="1" x="288"/>
        <item m="1" x="541"/>
        <item m="1" x="280"/>
        <item m="1" x="534"/>
        <item m="1" x="275"/>
        <item m="1" x="529"/>
        <item m="1" x="270"/>
        <item m="1" x="524"/>
        <item m="1" x="267"/>
        <item m="1" x="521"/>
        <item m="1" x="263"/>
        <item m="1" x="517"/>
        <item m="1" x="260"/>
        <item m="1" x="514"/>
        <item m="1" x="257"/>
        <item m="1" x="510"/>
        <item m="1" x="254"/>
        <item m="1" x="507"/>
        <item m="1" x="266"/>
        <item m="1" x="520"/>
        <item m="1" x="262"/>
        <item m="1" x="516"/>
        <item m="1" x="259"/>
        <item m="1" x="513"/>
        <item m="1" x="256"/>
        <item m="1" x="509"/>
        <item m="1" x="253"/>
        <item m="1" x="506"/>
        <item m="1" x="250"/>
        <item m="1" x="503"/>
        <item m="1" x="247"/>
        <item m="1" x="500"/>
        <item m="1" x="244"/>
        <item m="1" x="495"/>
        <item m="1" x="758"/>
        <item m="1" x="490"/>
        <item m="1" x="752"/>
        <item m="1" x="484"/>
        <item m="1" x="745"/>
        <item m="1" x="477"/>
        <item m="1" x="737"/>
        <item m="1" x="469"/>
        <item m="1" x="729"/>
        <item m="1" x="461"/>
        <item m="1" x="721"/>
        <item m="1" x="452"/>
        <item m="1" x="712"/>
        <item m="1" x="443"/>
        <item m="1" x="701"/>
        <item m="1" x="512"/>
        <item m="1" x="255"/>
        <item m="1" x="508"/>
        <item m="1" x="252"/>
        <item m="1" x="505"/>
        <item m="1" x="249"/>
        <item m="1" x="502"/>
        <item m="1" x="246"/>
        <item m="1" x="499"/>
        <item m="1" x="243"/>
        <item m="1" x="494"/>
        <item m="1" x="757"/>
        <item m="1" x="489"/>
        <item m="1" x="751"/>
        <item m="1" x="483"/>
        <item m="1" x="744"/>
        <item m="1" x="476"/>
        <item m="1" x="736"/>
        <item m="1" x="468"/>
        <item m="1" x="728"/>
        <item m="1" x="460"/>
        <item m="1" x="720"/>
        <item m="1" x="451"/>
        <item m="1" x="711"/>
        <item m="1" x="442"/>
        <item m="1" x="700"/>
        <item m="1" x="432"/>
        <item m="1" x="690"/>
        <item m="1" x="422"/>
        <item m="1" x="679"/>
        <item m="1" x="251"/>
        <item m="1" x="504"/>
        <item m="1" x="248"/>
        <item m="1" x="501"/>
        <item m="1" x="245"/>
        <item m="1" x="498"/>
        <item m="1" x="242"/>
        <item m="1" x="493"/>
        <item m="1" x="756"/>
        <item m="1" x="488"/>
        <item m="1" x="749"/>
        <item m="1" x="481"/>
        <item m="1" x="742"/>
        <item m="1" x="474"/>
        <item m="1" x="734"/>
        <item m="1" x="466"/>
        <item m="1" x="726"/>
        <item m="1" x="458"/>
        <item m="1" x="718"/>
        <item m="1" x="449"/>
        <item m="1" x="709"/>
        <item m="1" x="440"/>
        <item m="1" x="698"/>
        <item m="1" x="430"/>
        <item m="1" x="688"/>
        <item m="1" x="420"/>
        <item m="1" x="677"/>
        <item m="1" x="408"/>
        <item m="1" x="665"/>
        <item m="1" x="396"/>
        <item m="1" x="651"/>
        <item m="1" x="496"/>
        <item m="1" x="240"/>
        <item m="1" x="491"/>
        <item m="1" x="754"/>
        <item m="1" x="486"/>
        <item m="1" x="747"/>
        <item m="1" x="479"/>
        <item m="1" x="740"/>
        <item m="1" x="472"/>
        <item m="1" x="732"/>
        <item m="1" x="464"/>
        <item m="1" x="724"/>
        <item m="1" x="456"/>
        <item m="1" x="716"/>
        <item m="1" x="447"/>
        <item m="1" x="707"/>
        <item m="1" x="438"/>
        <item m="1" x="696"/>
        <item m="1" x="428"/>
        <item m="1" x="686"/>
        <item m="1" x="418"/>
        <item m="1" x="675"/>
        <item m="1" x="406"/>
        <item m="1" x="663"/>
        <item m="1" x="394"/>
        <item m="1" x="649"/>
        <item m="1" x="382"/>
        <item m="1" x="637"/>
        <item m="1" x="370"/>
        <item m="1" x="625"/>
        <item m="1" x="682"/>
        <item m="1" x="414"/>
        <item m="1" x="671"/>
        <item m="1" x="402"/>
        <item m="1" x="659"/>
        <item m="1" x="390"/>
        <item m="1" x="645"/>
        <item m="1" x="378"/>
        <item m="1" x="633"/>
        <item m="1" x="366"/>
        <item m="1" x="621"/>
        <item m="1" x="357"/>
        <item m="1" x="611"/>
        <item m="1" x="346"/>
        <item m="1" x="599"/>
        <item m="1" x="335"/>
        <item m="1" x="588"/>
        <item m="1" x="324"/>
        <item m="1" x="577"/>
        <item m="1" x="314"/>
        <item m="1" x="567"/>
        <item m="1" x="304"/>
        <item m="1" x="557"/>
        <item m="1" x="702"/>
        <item m="1" x="433"/>
        <item m="1" x="691"/>
        <item m="1" x="423"/>
        <item m="1" x="680"/>
        <item m="1" x="412"/>
        <item m="1" x="669"/>
        <item m="1" x="400"/>
        <item m="1" x="657"/>
        <item m="1" x="388"/>
        <item m="1" x="643"/>
        <item m="1" x="376"/>
        <item m="1" x="631"/>
        <item m="1" x="364"/>
        <item m="1" x="619"/>
        <item m="1" x="355"/>
        <item m="1" x="609"/>
        <item m="1" x="344"/>
        <item m="1" x="597"/>
        <item m="1" x="333"/>
        <item m="1" x="586"/>
        <item m="1" x="322"/>
        <item m="1" x="575"/>
        <item m="1" x="312"/>
        <item m="1" x="565"/>
        <item m="1" x="302"/>
        <item m="1" x="555"/>
        <item m="1" x="294"/>
        <item m="1" x="547"/>
        <item m="1" x="286"/>
        <item m="1" x="539"/>
        <item m="1" x="410"/>
        <item m="1" x="667"/>
        <item m="1" x="398"/>
        <item m="1" x="655"/>
        <item m="1" x="386"/>
        <item m="1" x="641"/>
        <item m="1" x="374"/>
        <item m="1" x="629"/>
        <item m="1" x="362"/>
        <item m="1" x="617"/>
        <item m="1" x="353"/>
        <item m="1" x="607"/>
        <item m="1" x="342"/>
        <item m="1" x="595"/>
        <item m="1" x="331"/>
        <item m="1" x="584"/>
        <item m="1" x="320"/>
        <item m="1" x="573"/>
        <item m="1" x="310"/>
        <item m="1" x="563"/>
        <item m="1" x="300"/>
        <item m="1" x="553"/>
        <item m="1" x="292"/>
        <item m="1" x="545"/>
        <item m="1" x="284"/>
        <item m="1" x="537"/>
        <item m="1" x="278"/>
        <item m="1" x="532"/>
        <item m="1" x="273"/>
        <item m="1" x="527"/>
        <item m="1" x="653"/>
        <item m="1" x="384"/>
        <item m="1" x="639"/>
        <item m="1" x="372"/>
        <item m="1" x="627"/>
        <item m="1" x="360"/>
        <item m="1" x="615"/>
        <item m="1" x="351"/>
        <item m="1" x="605"/>
        <item m="1" x="340"/>
        <item m="1" x="593"/>
        <item m="1" x="329"/>
        <item m="1" x="582"/>
        <item m="1" x="318"/>
        <item m="1" x="571"/>
        <item m="1" x="308"/>
        <item m="1" x="561"/>
        <item m="1" x="298"/>
        <item m="1" x="551"/>
        <item m="1" x="290"/>
        <item m="1" x="543"/>
        <item m="1" x="2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">
        <item m="1" x="6"/>
        <item m="1" x="4"/>
        <item m="1" x="5"/>
        <item m="1" x="8"/>
        <item m="1" x="7"/>
        <item m="1" x="3"/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13">
        <item m="1" x="9"/>
        <item m="1" x="3"/>
        <item m="1" x="4"/>
        <item m="1" x="12"/>
        <item m="1" x="5"/>
        <item m="1" x="6"/>
        <item m="1" x="10"/>
        <item m="1" x="11"/>
        <item x="1"/>
        <item x="2"/>
        <item x="0"/>
        <item m="1" x="7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1">
        <item x="9"/>
        <item x="10"/>
        <item x="13"/>
        <item x="4"/>
        <item x="5"/>
        <item x="6"/>
        <item x="28"/>
        <item x="17"/>
        <item x="20"/>
        <item x="18"/>
        <item x="19"/>
        <item x="26"/>
        <item x="16"/>
        <item x="11"/>
        <item x="12"/>
        <item x="14"/>
        <item x="1"/>
        <item x="2"/>
        <item x="29"/>
        <item x="22"/>
        <item x="21"/>
        <item x="0"/>
        <item x="23"/>
        <item x="27"/>
        <item x="24"/>
        <item x="30"/>
        <item x="15"/>
        <item x="7"/>
        <item x="3"/>
        <item x="25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14"/>
        <item x="17"/>
        <item m="1" x="20"/>
        <item x="19"/>
        <item x="9"/>
        <item x="8"/>
        <item x="4"/>
        <item x="7"/>
        <item x="2"/>
        <item x="5"/>
        <item x="0"/>
        <item x="3"/>
        <item x="6"/>
        <item x="1"/>
        <item x="10"/>
        <item x="11"/>
        <item x="12"/>
        <item x="13"/>
        <item x="16"/>
        <item x="15"/>
        <item x="18"/>
        <item m="1" x="22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1590">
        <item x="0"/>
        <item x="522"/>
        <item m="1" x="1241"/>
        <item m="1" x="1252"/>
        <item x="432"/>
        <item m="1" x="1289"/>
        <item x="1"/>
        <item m="1" x="1309"/>
        <item x="2"/>
        <item x="433"/>
        <item m="1" x="1342"/>
        <item x="3"/>
        <item x="4"/>
        <item m="1" x="746"/>
        <item m="1" x="747"/>
        <item x="6"/>
        <item m="1" x="1434"/>
        <item x="7"/>
        <item x="8"/>
        <item x="9"/>
        <item x="10"/>
        <item x="11"/>
        <item x="12"/>
        <item x="13"/>
        <item x="14"/>
        <item x="15"/>
        <item x="16"/>
        <item x="434"/>
        <item x="17"/>
        <item x="18"/>
        <item m="1" x="536"/>
        <item x="19"/>
        <item x="20"/>
        <item m="1" x="718"/>
        <item m="1" x="1533"/>
        <item m="1" x="537"/>
        <item m="1" x="917"/>
        <item m="1" x="748"/>
        <item m="1" x="1239"/>
        <item m="1" x="1556"/>
        <item x="21"/>
        <item x="22"/>
        <item m="1" x="1261"/>
        <item m="1" x="1574"/>
        <item m="1" x="1270"/>
        <item m="1" x="749"/>
        <item m="1" x="750"/>
        <item m="1" x="751"/>
        <item m="1" x="973"/>
        <item m="1" x="1296"/>
        <item m="1" x="980"/>
        <item m="1" x="1315"/>
        <item m="1" x="1005"/>
        <item m="1" x="752"/>
        <item x="24"/>
        <item x="26"/>
        <item x="27"/>
        <item m="1" x="918"/>
        <item m="1" x="1106"/>
        <item x="28"/>
        <item x="29"/>
        <item x="35"/>
        <item m="1" x="1307"/>
        <item m="1" x="753"/>
        <item m="1" x="1327"/>
        <item x="37"/>
        <item x="38"/>
        <item x="39"/>
        <item x="40"/>
        <item m="1" x="952"/>
        <item x="41"/>
        <item m="1" x="754"/>
        <item x="42"/>
        <item m="1" x="755"/>
        <item m="1" x="540"/>
        <item x="43"/>
        <item x="44"/>
        <item x="45"/>
        <item m="1" x="756"/>
        <item m="1" x="1418"/>
        <item x="46"/>
        <item x="47"/>
        <item m="1" x="1122"/>
        <item x="48"/>
        <item x="439"/>
        <item x="49"/>
        <item x="50"/>
        <item x="51"/>
        <item m="1" x="1151"/>
        <item m="1" x="1466"/>
        <item m="1" x="1473"/>
        <item m="1" x="1023"/>
        <item m="1" x="1065"/>
        <item m="1" x="1403"/>
        <item m="1" x="1112"/>
        <item m="1" x="758"/>
        <item x="67"/>
        <item m="1" x="1440"/>
        <item x="68"/>
        <item m="1" x="1449"/>
        <item m="1" x="1459"/>
        <item x="70"/>
        <item m="1" x="759"/>
        <item m="1" x="1285"/>
        <item m="1" x="1306"/>
        <item x="72"/>
        <item m="1" x="1366"/>
        <item m="1" x="1064"/>
        <item m="1" x="1071"/>
        <item m="1" x="1481"/>
        <item m="1" x="1177"/>
        <item m="1" x="1189"/>
        <item m="1" x="1582"/>
        <item x="77"/>
        <item m="1" x="1295"/>
        <item m="1" x="979"/>
        <item m="1" x="1305"/>
        <item m="1" x="761"/>
        <item m="1" x="1402"/>
        <item m="1" x="1103"/>
        <item m="1" x="1429"/>
        <item m="1" x="762"/>
        <item m="1" x="763"/>
        <item m="1" x="1457"/>
        <item m="1" x="910"/>
        <item m="1" x="719"/>
        <item x="92"/>
        <item m="1" x="544"/>
        <item x="445"/>
        <item m="1" x="1217"/>
        <item m="1" x="1032"/>
        <item m="1" x="1348"/>
        <item m="1" x="1044"/>
        <item m="1" x="1356"/>
        <item m="1" x="1529"/>
        <item m="1" x="1216"/>
        <item m="1" x="1277"/>
        <item m="1" x="764"/>
        <item m="1" x="1314"/>
        <item m="1" x="1003"/>
        <item m="1" x="953"/>
        <item m="1" x="1427"/>
        <item m="1" x="1518"/>
        <item m="1" x="1552"/>
        <item m="1" x="972"/>
        <item m="1" x="977"/>
        <item m="1" x="985"/>
        <item m="1" x="1001"/>
        <item m="1" x="1029"/>
        <item m="1" x="1053"/>
        <item m="1" x="1069"/>
        <item m="1" x="1074"/>
        <item m="1" x="1128"/>
        <item m="1" x="1146"/>
        <item x="109"/>
        <item m="1" x="1463"/>
        <item m="1" x="765"/>
        <item m="1" x="548"/>
        <item m="1" x="766"/>
        <item m="1" x="954"/>
        <item m="1" x="767"/>
        <item m="1" x="1504"/>
        <item m="1" x="768"/>
        <item m="1" x="1204"/>
        <item m="1" x="1209"/>
        <item m="1" x="1527"/>
        <item m="1" x="1215"/>
        <item m="1" x="769"/>
        <item m="1" x="1221"/>
        <item m="1" x="770"/>
        <item m="1" x="1259"/>
        <item m="1" x="773"/>
        <item x="110"/>
        <item m="1" x="1231"/>
        <item x="111"/>
        <item x="112"/>
        <item m="1" x="1080"/>
        <item x="121"/>
        <item m="1" x="1278"/>
        <item m="1" x="1442"/>
        <item m="1" x="1287"/>
        <item m="1" x="1452"/>
        <item m="1" x="549"/>
        <item m="1" x="1328"/>
        <item m="1" x="553"/>
        <item m="1" x="717"/>
        <item m="1" x="1485"/>
        <item m="1" x="554"/>
        <item x="448"/>
        <item x="145"/>
        <item m="1" x="1499"/>
        <item x="146"/>
        <item m="1" x="1043"/>
        <item x="147"/>
        <item m="1" x="555"/>
        <item m="1" x="1428"/>
        <item m="1" x="787"/>
        <item m="1" x="788"/>
        <item m="1" x="1438"/>
        <item m="1" x="789"/>
        <item x="152"/>
        <item x="153"/>
        <item x="154"/>
        <item m="1" x="560"/>
        <item m="1" x="792"/>
        <item x="158"/>
        <item x="450"/>
        <item m="1" x="744"/>
        <item x="159"/>
        <item x="160"/>
        <item m="1" x="921"/>
        <item x="162"/>
        <item m="1" x="1362"/>
        <item m="1" x="562"/>
        <item x="163"/>
        <item m="1" x="793"/>
        <item x="164"/>
        <item x="166"/>
        <item x="167"/>
        <item x="168"/>
        <item x="454"/>
        <item x="169"/>
        <item x="170"/>
        <item x="171"/>
        <item m="1" x="1441"/>
        <item m="1" x="1461"/>
        <item m="1" x="978"/>
        <item m="1" x="1510"/>
        <item m="1" x="566"/>
        <item m="1" x="1345"/>
        <item m="1" x="568"/>
        <item m="1" x="1047"/>
        <item x="177"/>
        <item m="1" x="1121"/>
        <item m="1" x="1297"/>
        <item m="1" x="1070"/>
        <item m="1" x="964"/>
        <item m="1" x="1223"/>
        <item m="1" x="1152"/>
        <item m="1" x="575"/>
        <item x="185"/>
        <item m="1" x="1382"/>
        <item m="1" x="799"/>
        <item x="187"/>
        <item x="188"/>
        <item x="431"/>
        <item m="1" x="1088"/>
        <item m="1" x="576"/>
        <item x="189"/>
        <item m="1" x="800"/>
        <item m="1" x="577"/>
        <item m="1" x="578"/>
        <item m="1" x="963"/>
        <item x="535"/>
        <item x="461"/>
        <item x="193"/>
        <item m="1" x="1387"/>
        <item m="1" x="1451"/>
        <item m="1" x="1303"/>
        <item m="1" x="1381"/>
        <item m="1" x="1543"/>
        <item m="1" x="987"/>
        <item m="1" x="1160"/>
        <item m="1" x="1002"/>
        <item m="1" x="1087"/>
        <item m="1" x="1170"/>
        <item m="1" x="1245"/>
        <item m="1" x="1323"/>
        <item m="1" x="1404"/>
        <item m="1" x="1484"/>
        <item m="1" x="1562"/>
        <item m="1" x="1020"/>
        <item m="1" x="1105"/>
        <item m="1" x="1181"/>
        <item m="1" x="1258"/>
        <item m="1" x="1337"/>
        <item m="1" x="1419"/>
        <item m="1" x="1432"/>
        <item m="1" x="1509"/>
        <item m="1" x="1579"/>
        <item m="1" x="1040"/>
        <item m="1" x="1123"/>
        <item m="1" x="1201"/>
        <item m="1" x="962"/>
        <item m="1" x="1299"/>
        <item m="1" x="1380"/>
        <item m="1" x="1474"/>
        <item m="1" x="1550"/>
        <item m="1" x="1084"/>
        <item m="1" x="802"/>
        <item m="1" x="1399"/>
        <item x="210"/>
        <item m="1" x="595"/>
        <item m="1" x="1325"/>
        <item x="219"/>
        <item m="1" x="602"/>
        <item m="1" x="714"/>
        <item m="1" x="603"/>
        <item m="1" x="604"/>
        <item m="1" x="716"/>
        <item m="1" x="605"/>
        <item x="220"/>
        <item x="221"/>
        <item x="528"/>
        <item m="1" x="984"/>
        <item m="1" x="1076"/>
        <item m="1" x="1157"/>
        <item m="1" x="1312"/>
        <item m="1" x="1389"/>
        <item m="1" x="1472"/>
        <item m="1" x="724"/>
        <item m="1" x="997"/>
        <item m="1" x="1083"/>
        <item m="1" x="1166"/>
        <item m="1" x="1243"/>
        <item m="1" x="1320"/>
        <item m="1" x="1396"/>
        <item m="1" x="1482"/>
        <item m="1" x="1098"/>
        <item m="1" x="1178"/>
        <item m="1" x="1254"/>
        <item m="1" x="1332"/>
        <item m="1" x="1413"/>
        <item m="1" x="1494"/>
        <item m="1" x="1567"/>
        <item m="1" x="1109"/>
        <item m="1" x="1266"/>
        <item m="1" x="1347"/>
        <item m="1" x="1426"/>
        <item m="1" x="969"/>
        <item m="1" x="804"/>
        <item m="1" x="1374"/>
        <item m="1" x="1455"/>
        <item x="470"/>
        <item m="1" x="1153"/>
        <item m="1" x="1478"/>
        <item m="1" x="1554"/>
        <item m="1" x="1011"/>
        <item m="1" x="1093"/>
        <item m="1" x="806"/>
        <item m="1" x="606"/>
        <item m="1" x="607"/>
        <item x="473"/>
        <item m="1" x="807"/>
        <item m="1" x="808"/>
        <item m="1" x="1186"/>
        <item m="1" x="1115"/>
        <item m="1" x="1194"/>
        <item m="1" x="1268"/>
        <item m="1" x="1349"/>
        <item m="1" x="811"/>
        <item m="1" x="812"/>
        <item m="1" x="1264"/>
        <item m="1" x="1222"/>
        <item m="1" x="1014"/>
        <item m="1" x="705"/>
        <item m="1" x="1253"/>
        <item m="1" x="615"/>
        <item m="1" x="1412"/>
        <item m="1" x="1492"/>
        <item m="1" x="1565"/>
        <item m="1" x="1026"/>
        <item m="1" x="1188"/>
        <item m="1" x="1263"/>
        <item m="1" x="1346"/>
        <item m="1" x="1424"/>
        <item m="1" x="1507"/>
        <item m="1" x="1576"/>
        <item m="1" x="1036"/>
        <item m="1" x="1119"/>
        <item m="1" x="1199"/>
        <item m="1" x="1272"/>
        <item m="1" x="1067"/>
        <item m="1" x="1226"/>
        <item m="1" x="1384"/>
        <item m="1" x="992"/>
        <item m="1" x="1079"/>
        <item m="1" x="1318"/>
        <item m="1" x="1553"/>
        <item m="1" x="1008"/>
        <item x="231"/>
        <item x="233"/>
        <item m="1" x="616"/>
        <item m="1" x="617"/>
        <item x="246"/>
        <item x="247"/>
        <item x="248"/>
        <item m="1" x="618"/>
        <item m="1" x="827"/>
        <item m="1" x="1180"/>
        <item m="1" x="1257"/>
        <item m="1" x="1335"/>
        <item m="1" x="1496"/>
        <item m="1" x="1568"/>
        <item m="1" x="1028"/>
        <item m="1" x="1110"/>
        <item m="1" x="619"/>
        <item x="250"/>
        <item x="254"/>
        <item x="255"/>
        <item m="1" x="706"/>
        <item m="1" x="621"/>
        <item m="1" x="1354"/>
        <item m="1" x="1516"/>
        <item m="1" x="1587"/>
        <item m="1" x="1052"/>
        <item m="1" x="1133"/>
        <item m="1" x="1283"/>
        <item m="1" x="1364"/>
        <item m="1" x="1445"/>
        <item m="1" x="1523"/>
        <item m="1" x="970"/>
        <item m="1" x="1063"/>
        <item m="1" x="1375"/>
        <item m="1" x="1456"/>
        <item m="1" x="976"/>
        <item m="1" x="1148"/>
        <item m="1" x="1298"/>
        <item m="1" x="1379"/>
        <item m="1" x="1465"/>
        <item m="1" x="1539"/>
        <item m="1" x="982"/>
        <item m="1" x="1073"/>
        <item m="1" x="1154"/>
        <item m="1" x="1232"/>
        <item m="1" x="1311"/>
        <item m="1" x="996"/>
        <item m="1" x="1081"/>
        <item m="1" x="1240"/>
        <item m="1" x="1411"/>
        <item m="1" x="1435"/>
        <item m="1" x="1048"/>
        <item m="1" x="1127"/>
        <item m="1" x="624"/>
        <item m="1" x="1383"/>
        <item m="1" x="1469"/>
        <item x="277"/>
        <item x="485"/>
        <item m="1" x="1200"/>
        <item m="1" x="1273"/>
        <item m="1" x="930"/>
        <item m="1" x="856"/>
        <item m="1" x="1589"/>
        <item x="486"/>
        <item x="487"/>
        <item m="1" x="638"/>
        <item m="1" x="932"/>
        <item m="1" x="639"/>
        <item x="280"/>
        <item x="281"/>
        <item x="488"/>
        <item m="1" x="1214"/>
        <item m="1" x="1293"/>
        <item m="1" x="640"/>
        <item m="1" x="1150"/>
        <item x="283"/>
        <item m="1" x="641"/>
        <item m="1" x="642"/>
        <item m="1" x="643"/>
        <item m="1" x="1158"/>
        <item m="1" x="1397"/>
        <item m="1" x="1560"/>
        <item m="1" x="1016"/>
        <item m="1" x="1099"/>
        <item m="1" x="1255"/>
        <item m="1" x="1333"/>
        <item m="1" x="707"/>
        <item m="1" x="646"/>
        <item x="286"/>
        <item m="1" x="1470"/>
        <item m="1" x="1094"/>
        <item m="1" x="1174"/>
        <item m="1" x="1249"/>
        <item m="1" x="1329"/>
        <item m="1" x="1407"/>
        <item m="1" x="1489"/>
        <item m="1" x="1116"/>
        <item m="1" x="1276"/>
        <item m="1" x="1165"/>
        <item m="1" x="1242"/>
        <item m="1" x="1395"/>
        <item m="1" x="1480"/>
        <item m="1" x="1558"/>
        <item m="1" x="1015"/>
        <item m="1" x="661"/>
        <item x="297"/>
        <item x="298"/>
        <item x="299"/>
        <item m="1" x="662"/>
        <item x="300"/>
        <item x="301"/>
        <item x="302"/>
        <item x="303"/>
        <item x="304"/>
        <item x="305"/>
        <item x="306"/>
        <item m="1" x="663"/>
        <item x="307"/>
        <item m="1" x="865"/>
        <item x="309"/>
        <item x="310"/>
        <item x="311"/>
        <item m="1" x="866"/>
        <item m="1" x="867"/>
        <item x="312"/>
        <item x="313"/>
        <item x="498"/>
        <item m="1" x="868"/>
        <item x="314"/>
        <item x="315"/>
        <item m="1" x="666"/>
        <item x="329"/>
        <item m="1" x="1423"/>
        <item m="1" x="738"/>
        <item x="371"/>
        <item m="1" x="672"/>
        <item m="1" x="873"/>
        <item m="1" x="986"/>
        <item m="1" x="1041"/>
        <item m="1" x="1078"/>
        <item m="1" x="1124"/>
        <item m="1" x="1159"/>
        <item m="1" x="1202"/>
        <item x="520"/>
        <item x="502"/>
        <item x="503"/>
        <item x="396"/>
        <item m="1" x="689"/>
        <item x="397"/>
        <item m="1" x="961"/>
        <item m="1" x="942"/>
        <item m="1" x="885"/>
        <item m="1" x="1095"/>
        <item x="399"/>
        <item x="400"/>
        <item x="504"/>
        <item m="1" x="887"/>
        <item m="1" x="1330"/>
        <item m="1" x="1372"/>
        <item m="1" x="1408"/>
        <item x="401"/>
        <item x="402"/>
        <item x="403"/>
        <item m="1" x="1564"/>
        <item x="404"/>
        <item x="405"/>
        <item x="406"/>
        <item m="1" x="889"/>
        <item m="1" x="742"/>
        <item m="1" x="690"/>
        <item x="407"/>
        <item m="1" x="945"/>
        <item x="408"/>
        <item x="505"/>
        <item m="1" x="890"/>
        <item x="409"/>
        <item x="412"/>
        <item m="1" x="891"/>
        <item m="1" x="1035"/>
        <item m="1" x="1198"/>
        <item m="1" x="1227"/>
        <item m="1" x="892"/>
        <item m="1" x="893"/>
        <item m="1" x="946"/>
        <item m="1" x="1385"/>
        <item x="507"/>
        <item m="1" x="894"/>
        <item m="1" x="895"/>
        <item m="1" x="691"/>
        <item x="508"/>
        <item m="1" x="897"/>
        <item m="1" x="1391"/>
        <item m="1" x="743"/>
        <item m="1" x="1476"/>
        <item m="1" x="966"/>
        <item m="1" x="1009"/>
        <item m="1" x="949"/>
        <item m="1" x="1025"/>
        <item m="1" x="1107"/>
        <item m="1" x="1143"/>
        <item m="1" x="1184"/>
        <item m="1" x="1218"/>
        <item m="1" x="1262"/>
        <item m="1" x="995"/>
        <item m="1" x="1039"/>
        <item x="426"/>
        <item x="514"/>
        <item x="428"/>
        <item x="429"/>
        <item x="512"/>
        <item m="1" x="1393"/>
        <item x="453"/>
        <item x="113"/>
        <item x="114"/>
        <item m="1" x="857"/>
        <item m="1" x="1520"/>
        <item m="1" x="1548"/>
        <item x="71"/>
        <item m="1" x="1555"/>
        <item m="1" x="1238"/>
        <item m="1" x="1229"/>
        <item m="1" x="1057"/>
        <item m="1" x="1022"/>
        <item m="1" x="1338"/>
        <item x="115"/>
        <item m="1" x="1225"/>
        <item m="1" x="1515"/>
        <item m="1" x="620"/>
        <item x="251"/>
        <item m="1" x="1343"/>
        <item m="1" x="1233"/>
        <item m="1" x="1219"/>
        <item m="1" x="1410"/>
        <item m="1" x="1251"/>
        <item m="1" x="1140"/>
        <item m="1" x="1301"/>
        <item m="1" x="1467"/>
        <item m="1" x="1446"/>
        <item m="1" x="1498"/>
        <item m="1" x="1524"/>
        <item m="1" x="983"/>
        <item m="1" x="1569"/>
        <item m="1" x="1584"/>
        <item m="1" x="667"/>
        <item m="1" x="1030"/>
        <item x="462"/>
        <item m="1" x="1007"/>
        <item m="1" x="1182"/>
        <item m="1" x="1417"/>
        <item m="1" x="1503"/>
        <item m="1" x="1339"/>
        <item m="1" x="1319"/>
        <item m="1" x="1211"/>
        <item m="1" x="1583"/>
        <item m="1" x="965"/>
        <item m="1" x="1269"/>
        <item m="1" x="1532"/>
        <item m="1" x="1156"/>
        <item m="1" x="1091"/>
        <item m="1" x="1517"/>
        <item m="1" x="1075"/>
        <item m="1" x="647"/>
        <item m="1" x="1573"/>
        <item m="1" x="1414"/>
        <item m="1" x="1100"/>
        <item m="1" x="648"/>
        <item m="1" x="1530"/>
        <item x="116"/>
        <item x="52"/>
        <item m="1" x="884"/>
        <item x="125"/>
        <item m="1" x="1077"/>
        <item m="1" x="1179"/>
        <item m="1" x="1205"/>
        <item m="1" x="579"/>
        <item x="194"/>
        <item m="1" x="1279"/>
        <item m="1" x="580"/>
        <item x="195"/>
        <item x="463"/>
        <item m="1" x="805"/>
        <item m="1" x="1038"/>
        <item x="435"/>
        <item x="519"/>
        <item m="1" x="1120"/>
        <item x="410"/>
        <item m="1" x="1236"/>
        <item m="1" x="1163"/>
        <item m="1" x="999"/>
        <item m="1" x="1321"/>
        <item x="123"/>
        <item x="447"/>
        <item m="1" x="1490"/>
        <item m="1" x="1126"/>
        <item m="1" x="1534"/>
        <item m="1" x="1352"/>
        <item m="1" x="1436"/>
        <item m="1" x="1513"/>
        <item m="1" x="1585"/>
        <item m="1" x="1050"/>
        <item m="1" x="1129"/>
        <item m="1" x="1206"/>
        <item m="1" x="1363"/>
        <item m="1" x="1444"/>
        <item m="1" x="1394"/>
        <item m="1" x="1557"/>
        <item x="490"/>
        <item m="1" x="1357"/>
        <item m="1" x="1195"/>
        <item m="1" x="1220"/>
        <item m="1" x="683"/>
        <item x="499"/>
        <item m="1" x="998"/>
        <item m="1" x="1054"/>
        <item m="1" x="1085"/>
        <item m="1" x="1135"/>
        <item m="1" x="1168"/>
        <item m="1" x="688"/>
        <item m="1" x="1244"/>
        <item m="1" x="1361"/>
        <item m="1" x="1464"/>
        <item m="1" x="1368"/>
        <item x="266"/>
        <item m="1" x="950"/>
        <item m="1" x="990"/>
        <item m="1" x="1167"/>
        <item x="53"/>
        <item m="1" x="1058"/>
        <item m="1" x="1149"/>
        <item m="1" x="1544"/>
        <item m="1" x="1581"/>
        <item m="1" x="1234"/>
        <item m="1" x="1551"/>
        <item m="1" x="771"/>
        <item m="1" x="772"/>
        <item x="122"/>
        <item m="1" x="1138"/>
        <item m="1" x="1144"/>
        <item x="124"/>
        <item m="1" x="1308"/>
        <item m="1" x="1468"/>
        <item m="1" x="991"/>
        <item m="1" x="1162"/>
        <item m="1" x="1183"/>
        <item m="1" x="1341"/>
        <item m="1" x="1401"/>
        <item x="131"/>
        <item m="1" x="556"/>
        <item m="1" x="1056"/>
        <item x="155"/>
        <item x="157"/>
        <item x="161"/>
        <item m="1" x="1360"/>
        <item m="1" x="1210"/>
        <item m="1" x="1275"/>
        <item m="1" x="722"/>
        <item x="202"/>
        <item m="1" x="1313"/>
        <item m="1" x="1113"/>
        <item m="1" x="1192"/>
        <item m="1" x="1274"/>
        <item m="1" x="1055"/>
        <item m="1" x="1559"/>
        <item x="471"/>
        <item m="1" x="1540"/>
        <item m="1" x="1588"/>
        <item m="1" x="1134"/>
        <item m="1" x="1208"/>
        <item m="1" x="1281"/>
        <item m="1" x="1172"/>
        <item x="235"/>
        <item m="1" x="1141"/>
        <item m="1" x="1212"/>
        <item m="1" x="1291"/>
        <item m="1" x="1549"/>
        <item m="1" x="1164"/>
        <item m="1" x="1479"/>
        <item m="1" x="1013"/>
        <item m="1" x="1547"/>
        <item m="1" x="1235"/>
        <item m="1" x="1317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1031"/>
        <item m="1" x="843"/>
        <item x="257"/>
        <item x="258"/>
        <item x="259"/>
        <item m="1" x="1340"/>
        <item x="479"/>
        <item x="480"/>
        <item x="481"/>
        <item x="260"/>
        <item x="261"/>
        <item m="1" x="845"/>
        <item m="1" x="1350"/>
        <item m="1" x="628"/>
        <item x="262"/>
        <item x="263"/>
        <item m="1" x="1066"/>
        <item m="1" x="1004"/>
        <item m="1" x="1090"/>
        <item m="1" x="1405"/>
        <item m="1" x="1487"/>
        <item m="1" x="1563"/>
        <item m="1" x="1024"/>
        <item x="267"/>
        <item x="268"/>
        <item x="269"/>
        <item m="1" x="1302"/>
        <item x="270"/>
        <item x="271"/>
        <item x="272"/>
        <item m="1" x="846"/>
        <item m="1" x="847"/>
        <item m="1" x="848"/>
        <item m="1" x="644"/>
        <item m="1" x="645"/>
        <item m="1" x="1421"/>
        <item m="1" x="1505"/>
        <item m="1" x="1572"/>
        <item m="1" x="1034"/>
        <item m="1" x="1542"/>
        <item m="1" x="1493"/>
        <item m="1" x="1566"/>
        <item m="1" x="1027"/>
        <item x="294"/>
        <item m="1" x="1265"/>
        <item m="1" x="1508"/>
        <item m="1" x="1037"/>
        <item m="1" x="934"/>
        <item x="496"/>
        <item x="497"/>
        <item m="1" x="1137"/>
        <item m="1" x="658"/>
        <item x="316"/>
        <item x="318"/>
        <item m="1" x="665"/>
        <item x="340"/>
        <item x="341"/>
        <item m="1" x="870"/>
        <item x="373"/>
        <item x="374"/>
        <item m="1" x="872"/>
        <item x="375"/>
        <item m="1" x="1012"/>
        <item m="1" x="1062"/>
        <item m="1" x="1096"/>
        <item m="1" x="739"/>
        <item m="1" x="1250"/>
        <item m="1" x="740"/>
        <item m="1" x="1331"/>
        <item m="1" x="874"/>
        <item m="1" x="1409"/>
        <item m="1" x="1454"/>
        <item m="1" x="1491"/>
        <item m="1" x="1400"/>
        <item m="1" x="1447"/>
        <item m="1" x="1483"/>
        <item m="1" x="1525"/>
        <item m="1" x="1561"/>
        <item m="1" x="971"/>
        <item m="1" x="1458"/>
        <item m="1" x="1495"/>
        <item x="506"/>
        <item m="1" x="1117"/>
        <item m="1" x="1519"/>
        <item m="1" x="1060"/>
        <item m="1" x="948"/>
        <item m="1" x="898"/>
        <item m="1" x="1370"/>
        <item m="1" x="1420"/>
        <item m="1" x="1506"/>
        <item m="1" x="1537"/>
        <item m="1" x="1316"/>
        <item m="1" x="933"/>
        <item m="1" x="1197"/>
        <item m="1" x="1358"/>
        <item m="1" x="1488"/>
        <item m="1" x="1326"/>
        <item m="1" x="1155"/>
        <item m="1" x="958"/>
        <item m="1" x="919"/>
        <item x="69"/>
        <item m="1" x="989"/>
        <item m="1" x="1247"/>
        <item m="1" x="1018"/>
        <item x="130"/>
        <item m="1" x="786"/>
        <item m="1" x="600"/>
        <item m="1" x="1336"/>
        <item m="1" x="844"/>
        <item x="489"/>
        <item x="284"/>
        <item m="1" x="936"/>
        <item m="1" x="1486"/>
        <item x="500"/>
        <item m="1" x="684"/>
        <item m="1" x="685"/>
        <item x="391"/>
        <item x="411"/>
        <item m="1" x="1462"/>
        <item m="1" x="1526"/>
        <item m="1" x="974"/>
        <item m="1" x="1145"/>
        <item m="1" x="1224"/>
        <item m="1" x="913"/>
        <item m="1" x="1501"/>
        <item m="1" x="1193"/>
        <item m="1" x="920"/>
        <item m="1" x="1304"/>
        <item x="54"/>
        <item m="1" x="994"/>
        <item m="1" x="1175"/>
        <item m="1" x="581"/>
        <item m="1" x="720"/>
        <item x="203"/>
        <item x="204"/>
        <item m="1" x="1230"/>
        <item m="1" x="1353"/>
        <item m="1" x="1437"/>
        <item m="1" x="1514"/>
        <item m="1" x="1586"/>
        <item m="1" x="1051"/>
        <item m="1" x="1130"/>
        <item m="1" x="1207"/>
        <item m="1" x="1282"/>
        <item m="1" x="816"/>
        <item m="1" x="728"/>
        <item m="1" x="1522"/>
        <item m="1" x="729"/>
        <item m="1" x="817"/>
        <item m="1" x="1139"/>
        <item m="1" x="702"/>
        <item m="1" x="1290"/>
        <item m="1" x="1373"/>
        <item m="1" x="1453"/>
        <item m="1" x="1531"/>
        <item m="1" x="975"/>
        <item m="1" x="625"/>
        <item m="1" x="1187"/>
        <item m="1" x="1322"/>
        <item m="1" x="903"/>
        <item m="1" x="1033"/>
        <item m="1" x="1416"/>
        <item x="278"/>
        <item m="1" x="959"/>
        <item m="1" x="968"/>
        <item x="196"/>
        <item m="1" x="1072"/>
        <item m="1" x="1376"/>
        <item m="1" x="1086"/>
        <item m="1" x="1104"/>
        <item m="1" x="1439"/>
        <item m="1" x="1021"/>
        <item m="1" x="1546"/>
        <item m="1" x="981"/>
        <item m="1" x="1475"/>
        <item m="1" x="1006"/>
        <item x="156"/>
        <item m="1" x="1355"/>
        <item m="1" x="1136"/>
        <item m="1" x="1068"/>
        <item m="1" x="1571"/>
        <item m="1" x="813"/>
        <item m="1" x="726"/>
        <item m="1" x="727"/>
        <item m="1" x="814"/>
        <item m="1" x="815"/>
        <item m="1" x="924"/>
        <item m="1" x="730"/>
        <item m="1" x="818"/>
        <item m="1" x="967"/>
        <item m="1" x="1082"/>
        <item x="252"/>
        <item x="533"/>
        <item x="274"/>
        <item m="1" x="849"/>
        <item m="1" x="931"/>
        <item m="1" x="935"/>
        <item m="1" x="937"/>
        <item m="1" x="1176"/>
        <item m="1" x="939"/>
        <item m="1" x="711"/>
        <item m="1" x="1142"/>
        <item m="1" x="876"/>
        <item m="1" x="940"/>
        <item m="1" x="877"/>
        <item m="1" x="741"/>
        <item m="1" x="960"/>
        <item x="78"/>
        <item m="1" x="1398"/>
        <item m="1" x="693"/>
        <item m="1" x="905"/>
        <item m="1" x="757"/>
        <item m="1" x="1196"/>
        <item m="1" x="1132"/>
        <item m="1" x="790"/>
        <item m="1" x="791"/>
        <item x="452"/>
        <item x="165"/>
        <item x="172"/>
        <item m="1" x="1378"/>
        <item m="1" x="1536"/>
        <item m="1" x="1228"/>
        <item m="1" x="1310"/>
        <item m="1" x="1386"/>
        <item m="1" x="820"/>
        <item m="1" x="993"/>
        <item m="1" x="733"/>
        <item m="1" x="821"/>
        <item m="1" x="1392"/>
        <item m="1" x="822"/>
        <item m="1" x="1010"/>
        <item m="1" x="1092"/>
        <item m="1" x="1173"/>
        <item m="1" x="1248"/>
        <item m="1" x="823"/>
        <item m="1" x="1406"/>
        <item m="1" x="926"/>
        <item m="1" x="824"/>
        <item m="1" x="1108"/>
        <item m="1" x="1061"/>
        <item x="253"/>
        <item m="1" x="1114"/>
        <item m="1" x="840"/>
        <item m="1" x="841"/>
        <item m="1" x="842"/>
        <item m="1" x="1344"/>
        <item m="1" x="1171"/>
        <item m="1" x="635"/>
        <item m="1" x="850"/>
        <item m="1" x="1497"/>
        <item m="1" x="1578"/>
        <item m="1" x="708"/>
        <item x="295"/>
        <item m="1" x="863"/>
        <item m="1" x="864"/>
        <item m="1" x="735"/>
        <item m="1" x="1049"/>
        <item m="1" x="676"/>
        <item m="1" x="710"/>
        <item m="1" x="677"/>
        <item m="1" x="678"/>
        <item m="1" x="679"/>
        <item m="1" x="680"/>
        <item m="1" x="1460"/>
        <item m="1" x="1500"/>
        <item m="1" x="1535"/>
        <item m="1" x="879"/>
        <item m="1" x="1284"/>
        <item m="1" x="1365"/>
        <item m="1" x="1271"/>
        <item m="1" x="1161"/>
        <item x="173"/>
        <item m="1" x="794"/>
        <item m="1" x="795"/>
        <item m="1" x="796"/>
        <item m="1" x="797"/>
        <item m="1" x="704"/>
        <item m="1" x="601"/>
        <item m="1" x="819"/>
        <item m="1" x="1477"/>
        <item m="1" x="825"/>
        <item m="1" x="1185"/>
        <item m="1" x="1288"/>
        <item m="1" x="1433"/>
        <item m="1" x="1511"/>
        <item m="1" x="1580"/>
        <item m="1" x="629"/>
        <item x="273"/>
        <item m="1" x="1131"/>
        <item x="330"/>
        <item x="331"/>
        <item m="1" x="1570"/>
        <item m="1" x="1017"/>
        <item m="1" x="882"/>
        <item x="132"/>
        <item m="1" x="1102"/>
        <item m="1" x="1294"/>
        <item m="1" x="896"/>
        <item m="1" x="731"/>
        <item m="1" x="1521"/>
        <item m="1" x="828"/>
        <item m="1" x="1443"/>
        <item m="1" x="1042"/>
        <item m="1" x="853"/>
        <item m="1" x="858"/>
        <item m="1" x="660"/>
        <item m="1" x="681"/>
        <item m="1" x="682"/>
        <item m="1" x="1545"/>
        <item m="1" x="878"/>
        <item m="1" x="880"/>
        <item x="510"/>
        <item m="1" x="826"/>
        <item x="451"/>
        <item m="1" x="563"/>
        <item m="1" x="626"/>
        <item m="1" x="1528"/>
        <item x="275"/>
        <item x="492"/>
        <item x="293"/>
        <item m="1" x="637"/>
        <item x="79"/>
        <item m="1" x="1369"/>
        <item m="1" x="1502"/>
        <item m="1" x="1538"/>
        <item m="1" x="1286"/>
        <item x="148"/>
        <item m="1" x="1147"/>
        <item m="1" x="1260"/>
        <item x="468"/>
        <item x="469"/>
        <item m="1" x="1280"/>
        <item m="1" x="1448"/>
        <item m="1" x="561"/>
        <item x="460"/>
        <item m="1" x="810"/>
        <item m="1" x="725"/>
        <item m="1" x="1125"/>
        <item m="1" x="1422"/>
        <item m="1" x="928"/>
        <item m="1" x="851"/>
        <item x="276"/>
        <item x="287"/>
        <item m="1" x="650"/>
        <item m="1" x="659"/>
        <item x="332"/>
        <item m="1" x="869"/>
        <item m="1" x="883"/>
        <item x="483"/>
        <item m="1" x="947"/>
        <item x="279"/>
        <item x="23"/>
        <item x="128"/>
        <item m="1" x="574"/>
        <item m="1" x="1019"/>
        <item m="1" x="582"/>
        <item m="1" x="1430"/>
        <item m="1" x="1237"/>
        <item m="1" x="860"/>
        <item m="1" x="1101"/>
        <item m="1" x="1111"/>
        <item m="1" x="1191"/>
        <item m="1" x="888"/>
        <item m="1" x="1377"/>
        <item m="1" x="906"/>
        <item m="1" x="907"/>
        <item m="1" x="908"/>
        <item x="423"/>
        <item m="1" x="1575"/>
        <item m="1" x="904"/>
        <item m="1" x="911"/>
        <item m="1" x="1097"/>
        <item m="1" x="927"/>
        <item m="1" x="632"/>
        <item x="319"/>
        <item m="1" x="1118"/>
        <item x="394"/>
        <item x="120"/>
        <item x="25"/>
        <item x="430"/>
        <item x="440"/>
        <item m="1" x="775"/>
        <item m="1" x="715"/>
        <item m="1" x="557"/>
        <item x="150"/>
        <item x="449"/>
        <item m="1" x="564"/>
        <item x="174"/>
        <item m="1" x="1169"/>
        <item m="1" x="925"/>
        <item m="1" x="627"/>
        <item m="1" x="1203"/>
        <item x="482"/>
        <item m="1" x="649"/>
        <item m="1" x="736"/>
        <item x="320"/>
        <item x="333"/>
        <item m="1" x="687"/>
        <item m="1" x="1512"/>
        <item m="1" x="1267"/>
        <item m="1" x="1300"/>
        <item m="1" x="1431"/>
        <item m="1" x="941"/>
        <item m="1" x="1541"/>
        <item m="1" x="700"/>
        <item m="1" x="701"/>
        <item m="1" x="1367"/>
        <item m="1" x="1324"/>
        <item m="1" x="1425"/>
        <item m="1" x="943"/>
        <item m="1" x="1351"/>
        <item m="1" x="1045"/>
        <item m="1" x="1359"/>
        <item m="1" x="1059"/>
        <item x="395"/>
        <item m="1" x="900"/>
        <item m="1" x="1246"/>
        <item m="1" x="1450"/>
        <item x="414"/>
        <item x="472"/>
        <item m="1" x="776"/>
        <item m="1" x="760"/>
        <item m="1" x="852"/>
        <item m="1" x="875"/>
        <item m="1" x="777"/>
        <item m="1" x="803"/>
        <item m="1" x="631"/>
        <item m="1" x="636"/>
        <item x="393"/>
        <item m="1" x="1213"/>
        <item m="1" x="1256"/>
        <item m="1" x="1292"/>
        <item m="1" x="1334"/>
        <item m="1" x="1415"/>
        <item x="34"/>
        <item m="1" x="944"/>
        <item m="1" x="1577"/>
        <item m="1" x="916"/>
        <item m="1" x="1046"/>
        <item m="1" x="778"/>
        <item x="126"/>
        <item m="1" x="1388"/>
        <item m="1" x="1471"/>
        <item m="1" x="634"/>
        <item m="1" x="854"/>
        <item x="484"/>
        <item m="1" x="651"/>
        <item m="1" x="914"/>
        <item m="1" x="655"/>
        <item x="291"/>
        <item x="292"/>
        <item m="1" x="988"/>
        <item m="1" x="1190"/>
        <item x="324"/>
        <item m="1" x="938"/>
        <item x="322"/>
        <item x="323"/>
        <item x="328"/>
        <item x="36"/>
        <item x="85"/>
        <item m="1" x="570"/>
        <item m="1" x="732"/>
        <item m="1" x="1371"/>
        <item x="493"/>
        <item x="288"/>
        <item m="1" x="652"/>
        <item m="1" x="653"/>
        <item m="1" x="654"/>
        <item x="494"/>
        <item x="290"/>
        <item m="1" x="859"/>
        <item m="1" x="861"/>
        <item m="1" x="668"/>
        <item x="334"/>
        <item m="1" x="871"/>
        <item x="376"/>
        <item x="416"/>
        <item m="1" x="1089"/>
        <item m="1" x="915"/>
        <item m="1" x="1390"/>
        <item m="1" x="1000"/>
        <item x="212"/>
        <item m="1" x="630"/>
        <item x="289"/>
        <item x="495"/>
        <item m="1" x="734"/>
        <item x="133"/>
        <item x="321"/>
        <item x="518"/>
        <item x="55"/>
        <item x="56"/>
        <item x="97"/>
        <item m="1" x="774"/>
        <item m="1" x="779"/>
        <item m="1" x="780"/>
        <item m="1" x="781"/>
        <item m="1" x="782"/>
        <item m="1" x="783"/>
        <item m="1" x="784"/>
        <item x="134"/>
        <item m="1" x="785"/>
        <item m="1" x="558"/>
        <item m="1" x="565"/>
        <item x="175"/>
        <item m="1" x="798"/>
        <item x="179"/>
        <item x="180"/>
        <item x="181"/>
        <item x="186"/>
        <item x="190"/>
        <item x="191"/>
        <item x="192"/>
        <item m="1" x="585"/>
        <item m="1" x="586"/>
        <item m="1" x="801"/>
        <item m="1" x="588"/>
        <item m="1" x="590"/>
        <item m="1" x="809"/>
        <item m="1" x="855"/>
        <item x="282"/>
        <item m="1" x="657"/>
        <item m="1" x="862"/>
        <item m="1" x="664"/>
        <item x="325"/>
        <item x="335"/>
        <item m="1" x="673"/>
        <item x="386"/>
        <item x="387"/>
        <item m="1" x="881"/>
        <item x="501"/>
        <item m="1" x="886"/>
        <item m="1" x="899"/>
        <item m="1" x="901"/>
        <item m="1" x="902"/>
        <item m="1" x="909"/>
        <item m="1" x="721"/>
        <item m="1" x="912"/>
        <item m="1" x="922"/>
        <item m="1" x="923"/>
        <item m="1" x="929"/>
        <item x="337"/>
        <item m="1" x="951"/>
        <item m="1" x="587"/>
        <item m="1" x="955"/>
        <item m="1" x="956"/>
        <item m="1" x="957"/>
        <item x="436"/>
        <item m="1" x="538"/>
        <item x="438"/>
        <item m="1" x="539"/>
        <item x="32"/>
        <item x="33"/>
        <item x="57"/>
        <item m="1" x="541"/>
        <item x="58"/>
        <item x="59"/>
        <item x="441"/>
        <item x="60"/>
        <item x="61"/>
        <item x="62"/>
        <item x="65"/>
        <item x="443"/>
        <item m="1" x="542"/>
        <item x="86"/>
        <item x="87"/>
        <item x="88"/>
        <item x="444"/>
        <item x="89"/>
        <item m="1" x="543"/>
        <item x="91"/>
        <item m="1" x="545"/>
        <item m="1" x="546"/>
        <item x="98"/>
        <item x="99"/>
        <item x="100"/>
        <item x="101"/>
        <item m="1" x="550"/>
        <item m="1" x="551"/>
        <item m="1" x="552"/>
        <item m="1" x="559"/>
        <item m="1" x="567"/>
        <item m="1" x="569"/>
        <item m="1" x="571"/>
        <item x="176"/>
        <item x="459"/>
        <item m="1" x="573"/>
        <item x="184"/>
        <item m="1" x="584"/>
        <item x="205"/>
        <item x="206"/>
        <item x="207"/>
        <item x="208"/>
        <item m="1" x="596"/>
        <item m="1" x="597"/>
        <item x="215"/>
        <item m="1" x="723"/>
        <item m="1" x="598"/>
        <item m="1" x="599"/>
        <item m="1" x="608"/>
        <item x="224"/>
        <item m="1" x="609"/>
        <item x="474"/>
        <item x="475"/>
        <item x="225"/>
        <item x="226"/>
        <item x="227"/>
        <item m="1" x="610"/>
        <item x="476"/>
        <item m="1" x="612"/>
        <item m="1" x="614"/>
        <item x="232"/>
        <item x="236"/>
        <item x="237"/>
        <item x="238"/>
        <item x="239"/>
        <item x="240"/>
        <item x="241"/>
        <item x="244"/>
        <item x="245"/>
        <item x="256"/>
        <item m="1" x="622"/>
        <item m="1" x="623"/>
        <item x="264"/>
        <item m="1" x="633"/>
        <item x="265"/>
        <item m="1" x="656"/>
        <item x="336"/>
        <item x="338"/>
        <item x="345"/>
        <item x="346"/>
        <item x="347"/>
        <item x="348"/>
        <item x="350"/>
        <item x="351"/>
        <item x="352"/>
        <item x="353"/>
        <item x="354"/>
        <item x="356"/>
        <item m="1" x="669"/>
        <item m="1" x="670"/>
        <item x="360"/>
        <item m="1" x="737"/>
        <item m="1" x="671"/>
        <item x="372"/>
        <item x="377"/>
        <item x="378"/>
        <item x="379"/>
        <item x="380"/>
        <item x="382"/>
        <item x="388"/>
        <item x="531"/>
        <item m="1" x="674"/>
        <item m="1" x="675"/>
        <item x="389"/>
        <item m="1" x="686"/>
        <item x="415"/>
        <item m="1" x="694"/>
        <item m="1" x="695"/>
        <item x="417"/>
        <item m="1" x="696"/>
        <item m="1" x="697"/>
        <item x="418"/>
        <item x="419"/>
        <item m="1" x="698"/>
        <item x="183"/>
        <item x="526"/>
        <item m="1" x="745"/>
        <item m="1" x="712"/>
        <item x="136"/>
        <item m="1" x="572"/>
        <item m="1" x="583"/>
        <item m="1" x="589"/>
        <item x="201"/>
        <item m="1" x="591"/>
        <item m="1" x="592"/>
        <item m="1" x="593"/>
        <item m="1" x="594"/>
        <item x="527"/>
        <item x="216"/>
        <item x="217"/>
        <item x="218"/>
        <item m="1" x="611"/>
        <item m="1" x="613"/>
        <item x="296"/>
        <item x="327"/>
        <item x="383"/>
        <item x="390"/>
        <item m="1" x="692"/>
        <item m="1" x="699"/>
        <item x="509"/>
        <item x="420"/>
        <item x="421"/>
        <item x="422"/>
        <item m="1" x="703"/>
        <item m="1" x="547"/>
        <item x="242"/>
        <item m="1" x="709"/>
        <item m="1" x="713"/>
        <item x="5"/>
        <item x="30"/>
        <item x="31"/>
        <item x="63"/>
        <item x="64"/>
        <item x="66"/>
        <item x="73"/>
        <item x="74"/>
        <item x="75"/>
        <item x="76"/>
        <item x="80"/>
        <item x="81"/>
        <item x="82"/>
        <item x="83"/>
        <item x="84"/>
        <item x="90"/>
        <item x="93"/>
        <item x="94"/>
        <item x="95"/>
        <item x="96"/>
        <item x="102"/>
        <item x="103"/>
        <item x="104"/>
        <item x="105"/>
        <item x="106"/>
        <item x="107"/>
        <item x="108"/>
        <item x="117"/>
        <item x="118"/>
        <item x="119"/>
        <item x="127"/>
        <item x="129"/>
        <item x="135"/>
        <item x="137"/>
        <item x="138"/>
        <item x="139"/>
        <item x="140"/>
        <item x="141"/>
        <item x="142"/>
        <item x="143"/>
        <item x="144"/>
        <item x="149"/>
        <item x="151"/>
        <item x="178"/>
        <item x="182"/>
        <item x="197"/>
        <item x="198"/>
        <item x="199"/>
        <item x="200"/>
        <item x="209"/>
        <item x="211"/>
        <item x="213"/>
        <item x="214"/>
        <item x="222"/>
        <item x="223"/>
        <item x="228"/>
        <item x="229"/>
        <item x="230"/>
        <item x="234"/>
        <item x="243"/>
        <item x="249"/>
        <item x="285"/>
        <item x="308"/>
        <item x="317"/>
        <item x="326"/>
        <item x="339"/>
        <item x="342"/>
        <item x="343"/>
        <item x="344"/>
        <item x="349"/>
        <item x="355"/>
        <item x="357"/>
        <item x="358"/>
        <item x="359"/>
        <item x="361"/>
        <item x="362"/>
        <item x="363"/>
        <item x="364"/>
        <item x="365"/>
        <item x="366"/>
        <item x="367"/>
        <item x="368"/>
        <item x="369"/>
        <item x="370"/>
        <item x="381"/>
        <item x="384"/>
        <item x="385"/>
        <item x="392"/>
        <item x="398"/>
        <item x="413"/>
        <item x="424"/>
        <item x="425"/>
        <item x="427"/>
        <item x="437"/>
        <item x="442"/>
        <item x="446"/>
        <item x="455"/>
        <item x="456"/>
        <item x="457"/>
        <item x="458"/>
        <item x="464"/>
        <item x="465"/>
        <item x="466"/>
        <item x="467"/>
        <item x="477"/>
        <item x="478"/>
        <item x="491"/>
        <item x="511"/>
        <item x="513"/>
        <item x="515"/>
        <item x="516"/>
        <item x="517"/>
        <item x="521"/>
        <item x="523"/>
        <item x="524"/>
        <item x="525"/>
        <item x="529"/>
        <item x="530"/>
        <item x="532"/>
        <item x="5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70">
        <item x="3"/>
        <item x="42"/>
        <item x="28"/>
        <item x="23"/>
        <item m="1" x="66"/>
        <item m="1" x="54"/>
        <item x="6"/>
        <item x="37"/>
        <item x="10"/>
        <item m="1" x="53"/>
        <item m="1" x="65"/>
        <item x="31"/>
        <item x="30"/>
        <item x="5"/>
        <item m="1" x="55"/>
        <item x="11"/>
        <item x="35"/>
        <item x="22"/>
        <item x="21"/>
        <item x="25"/>
        <item x="15"/>
        <item x="40"/>
        <item m="1" x="52"/>
        <item m="1" x="59"/>
        <item x="14"/>
        <item x="12"/>
        <item x="8"/>
        <item x="27"/>
        <item x="26"/>
        <item x="44"/>
        <item x="48"/>
        <item x="32"/>
        <item m="1" x="57"/>
        <item m="1" x="58"/>
        <item x="49"/>
        <item x="9"/>
        <item x="46"/>
        <item x="33"/>
        <item x="2"/>
        <item m="1" x="60"/>
        <item m="1" x="61"/>
        <item m="1" x="62"/>
        <item m="1" x="63"/>
        <item m="1" x="67"/>
        <item m="1" x="56"/>
        <item x="17"/>
        <item x="43"/>
        <item m="1" x="68"/>
        <item m="1" x="64"/>
        <item x="50"/>
        <item x="47"/>
        <item x="4"/>
        <item x="7"/>
        <item x="16"/>
        <item m="1" x="69"/>
        <item x="39"/>
        <item x="24"/>
        <item x="34"/>
        <item x="1"/>
        <item x="13"/>
        <item x="18"/>
        <item x="0"/>
        <item x="19"/>
        <item x="38"/>
        <item x="41"/>
        <item x="20"/>
        <item x="29"/>
        <item x="36"/>
        <item x="45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5">
        <item m="1" x="34"/>
        <item m="1" x="32"/>
        <item m="1" x="17"/>
        <item m="1" x="37"/>
        <item m="1" x="43"/>
        <item x="0"/>
        <item m="1" x="29"/>
        <item x="2"/>
        <item m="1" x="44"/>
        <item m="1" x="23"/>
        <item x="6"/>
        <item m="1" x="22"/>
        <item m="1" x="20"/>
        <item m="1" x="19"/>
        <item m="1" x="46"/>
        <item x="7"/>
        <item x="8"/>
        <item m="1" x="30"/>
        <item m="1" x="36"/>
        <item m="1" x="39"/>
        <item x="9"/>
        <item x="1"/>
        <item m="1" x="28"/>
        <item m="1" x="49"/>
        <item m="1" x="21"/>
        <item m="1" x="26"/>
        <item x="4"/>
        <item x="11"/>
        <item m="1" x="41"/>
        <item m="1" x="16"/>
        <item x="14"/>
        <item m="1" x="48"/>
        <item x="13"/>
        <item m="1" x="40"/>
        <item x="5"/>
        <item m="1" x="38"/>
        <item m="1" x="54"/>
        <item m="1" x="47"/>
        <item m="1" x="51"/>
        <item m="1" x="42"/>
        <item m="1" x="33"/>
        <item m="1" x="35"/>
        <item m="1" x="31"/>
        <item m="1" x="45"/>
        <item m="1" x="27"/>
        <item m="1" x="52"/>
        <item x="10"/>
        <item m="1" x="50"/>
        <item m="1" x="53"/>
        <item x="15"/>
        <item m="1" x="18"/>
        <item m="1" x="24"/>
        <item m="1" x="25"/>
        <item x="3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TIPO DE ROTA" axis="axisPage" compact="0" outline="0" showAll="0" defaultSubtotal="0">
      <items count="4">
        <item x="1"/>
        <item m="1" x="3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3">
        <item x="7"/>
        <item x="86"/>
        <item m="1" x="235"/>
        <item m="1" x="161"/>
        <item m="1" x="198"/>
        <item m="1" x="194"/>
        <item m="1" x="170"/>
        <item m="1" x="117"/>
        <item m="1" x="185"/>
        <item m="1" x="229"/>
        <item m="1" x="127"/>
        <item x="17"/>
        <item x="15"/>
        <item x="13"/>
        <item x="11"/>
        <item x="72"/>
        <item x="70"/>
        <item x="81"/>
        <item x="78"/>
        <item x="6"/>
        <item x="67"/>
        <item x="8"/>
        <item x="24"/>
        <item x="12"/>
        <item x="3"/>
        <item x="9"/>
        <item x="18"/>
        <item m="1" x="100"/>
        <item m="1" x="177"/>
        <item m="1" x="201"/>
        <item m="1" x="141"/>
        <item m="1" x="123"/>
        <item x="82"/>
        <item x="88"/>
        <item m="1" x="188"/>
        <item m="1" x="139"/>
        <item m="1" x="186"/>
        <item m="1" x="136"/>
        <item m="1" x="182"/>
        <item m="1" x="242"/>
        <item m="1" x="181"/>
        <item x="33"/>
        <item x="31"/>
        <item x="28"/>
        <item m="1" x="216"/>
        <item m="1" x="160"/>
        <item m="1" x="166"/>
        <item m="1" x="167"/>
        <item m="1" x="214"/>
        <item m="1" x="121"/>
        <item m="1" x="113"/>
        <item m="1" x="206"/>
        <item m="1" x="220"/>
        <item m="1" x="205"/>
        <item m="1" x="112"/>
        <item m="1" x="179"/>
        <item m="1" x="200"/>
        <item m="1" x="159"/>
        <item m="1" x="230"/>
        <item m="1" x="176"/>
        <item m="1" x="203"/>
        <item m="1" x="191"/>
        <item m="1" x="106"/>
        <item m="1" x="142"/>
        <item m="1" x="234"/>
        <item m="1" x="207"/>
        <item m="1" x="133"/>
        <item m="1" x="140"/>
        <item m="1" x="193"/>
        <item m="1" x="164"/>
        <item m="1" x="212"/>
        <item m="1" x="187"/>
        <item x="91"/>
        <item m="1" x="144"/>
        <item m="1" x="150"/>
        <item m="1" x="108"/>
        <item m="1" x="114"/>
        <item x="30"/>
        <item x="50"/>
        <item x="2"/>
        <item x="44"/>
        <item x="65"/>
        <item x="52"/>
        <item m="1" x="174"/>
        <item x="1"/>
        <item m="1" x="102"/>
        <item m="1" x="155"/>
        <item m="1" x="95"/>
        <item m="1" x="175"/>
        <item m="1" x="132"/>
        <item m="1" x="199"/>
        <item m="1" x="172"/>
        <item m="1" x="213"/>
        <item x="5"/>
        <item x="59"/>
        <item x="79"/>
        <item x="75"/>
        <item m="1" x="122"/>
        <item m="1" x="227"/>
        <item x="38"/>
        <item m="1" x="126"/>
        <item x="77"/>
        <item m="1" x="209"/>
        <item x="53"/>
        <item m="1" x="228"/>
        <item m="1" x="226"/>
        <item m="1" x="173"/>
        <item m="1" x="119"/>
        <item m="1" x="221"/>
        <item m="1" x="143"/>
        <item m="1" x="180"/>
        <item m="1" x="195"/>
        <item m="1" x="192"/>
        <item m="1" x="223"/>
        <item x="51"/>
        <item x="54"/>
        <item x="66"/>
        <item m="1" x="101"/>
        <item x="85"/>
        <item m="1" x="118"/>
        <item m="1" x="156"/>
        <item x="63"/>
        <item x="36"/>
        <item x="16"/>
        <item m="1" x="196"/>
        <item m="1" x="97"/>
        <item x="10"/>
        <item x="14"/>
        <item m="1" x="104"/>
        <item m="1" x="157"/>
        <item m="1" x="151"/>
        <item m="1" x="120"/>
        <item m="1" x="152"/>
        <item m="1" x="105"/>
        <item m="1" x="107"/>
        <item m="1" x="153"/>
        <item m="1" x="154"/>
        <item m="1" x="135"/>
        <item m="1" x="239"/>
        <item m="1" x="197"/>
        <item m="1" x="110"/>
        <item x="0"/>
        <item m="1" x="210"/>
        <item m="1" x="231"/>
        <item m="1" x="208"/>
        <item m="1" x="178"/>
        <item m="1" x="96"/>
        <item m="1" x="162"/>
        <item m="1" x="168"/>
        <item x="90"/>
        <item m="1" x="131"/>
        <item m="1" x="237"/>
        <item m="1" x="224"/>
        <item m="1" x="124"/>
        <item m="1" x="145"/>
        <item m="1" x="202"/>
        <item m="1" x="134"/>
        <item m="1" x="218"/>
        <item m="1" x="189"/>
        <item m="1" x="147"/>
        <item m="1" x="137"/>
        <item m="1" x="222"/>
        <item m="1" x="204"/>
        <item m="1" x="211"/>
        <item m="1" x="236"/>
        <item m="1" x="148"/>
        <item m="1" x="232"/>
        <item m="1" x="190"/>
        <item m="1" x="183"/>
        <item m="1" x="138"/>
        <item m="1" x="116"/>
        <item m="1" x="171"/>
        <item m="1" x="109"/>
        <item m="1" x="158"/>
        <item x="93"/>
        <item m="1" x="217"/>
        <item m="1" x="184"/>
        <item m="1" x="169"/>
        <item m="1" x="163"/>
        <item m="1" x="146"/>
        <item m="1" x="238"/>
        <item m="1" x="215"/>
        <item m="1" x="225"/>
        <item m="1" x="219"/>
        <item m="1" x="240"/>
        <item m="1" x="149"/>
        <item m="1" x="233"/>
        <item m="1" x="165"/>
        <item m="1" x="129"/>
        <item m="1" x="241"/>
        <item x="32"/>
        <item x="55"/>
        <item x="27"/>
        <item x="94"/>
        <item m="1" x="111"/>
        <item m="1" x="115"/>
        <item m="1" x="125"/>
        <item m="1" x="128"/>
        <item m="1" x="130"/>
        <item x="69"/>
        <item x="71"/>
        <item x="25"/>
        <item x="74"/>
        <item x="73"/>
        <item x="49"/>
        <item x="60"/>
        <item m="1" x="99"/>
        <item x="62"/>
        <item x="89"/>
        <item m="1" x="103"/>
        <item x="61"/>
        <item x="4"/>
        <item m="1" x="98"/>
        <item x="19"/>
        <item x="20"/>
        <item x="21"/>
        <item x="22"/>
        <item x="23"/>
        <item x="26"/>
        <item x="29"/>
        <item x="34"/>
        <item x="35"/>
        <item x="37"/>
        <item x="39"/>
        <item x="40"/>
        <item x="41"/>
        <item x="42"/>
        <item x="43"/>
        <item x="45"/>
        <item x="46"/>
        <item x="47"/>
        <item x="48"/>
        <item x="56"/>
        <item x="57"/>
        <item x="58"/>
        <item x="64"/>
        <item x="68"/>
        <item x="76"/>
        <item x="80"/>
        <item x="83"/>
        <item x="84"/>
        <item x="87"/>
        <item x="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6">
        <item x="1"/>
        <item x="2"/>
        <item m="1" x="5"/>
        <item x="3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158">
        <item m="1" x="133"/>
        <item m="1" x="132"/>
        <item m="1" x="111"/>
        <item m="1" x="153"/>
        <item m="1" x="123"/>
        <item m="1" x="141"/>
        <item m="1" x="140"/>
        <item m="1" x="114"/>
        <item m="1" x="105"/>
        <item m="1" x="154"/>
        <item m="1" x="146"/>
        <item m="1" x="104"/>
        <item m="1" x="136"/>
        <item m="1" x="129"/>
        <item m="1" x="120"/>
        <item m="1" x="117"/>
        <item m="1" x="124"/>
        <item m="1" x="134"/>
        <item m="1" x="112"/>
        <item m="1" x="150"/>
        <item m="1" x="147"/>
        <item m="1" x="121"/>
        <item m="1" x="155"/>
        <item m="1" x="103"/>
        <item m="1" x="109"/>
        <item m="1" x="107"/>
        <item m="1" x="135"/>
        <item m="1" x="101"/>
        <item m="1" x="144"/>
        <item m="1" x="113"/>
        <item m="1" x="81"/>
        <item m="1" x="80"/>
        <item x="55"/>
        <item x="8"/>
        <item x="12"/>
        <item x="1"/>
        <item x="9"/>
        <item x="2"/>
        <item m="1" x="63"/>
        <item m="1" x="145"/>
        <item m="1" x="116"/>
        <item m="1" x="98"/>
        <item m="1" x="69"/>
        <item m="1" x="108"/>
        <item m="1" x="86"/>
        <item m="1" x="75"/>
        <item x="3"/>
        <item m="1" x="142"/>
        <item x="54"/>
        <item m="1" x="94"/>
        <item m="1" x="60"/>
        <item x="19"/>
        <item m="1" x="59"/>
        <item x="24"/>
        <item x="23"/>
        <item m="1" x="143"/>
        <item m="1" x="138"/>
        <item x="25"/>
        <item x="16"/>
        <item m="1" x="74"/>
        <item x="50"/>
        <item m="1" x="130"/>
        <item x="30"/>
        <item x="29"/>
        <item m="1" x="157"/>
        <item x="31"/>
        <item x="32"/>
        <item m="1" x="62"/>
        <item x="42"/>
        <item m="1" x="152"/>
        <item m="1" x="90"/>
        <item m="1" x="139"/>
        <item m="1" x="58"/>
        <item x="40"/>
        <item x="41"/>
        <item x="57"/>
        <item x="28"/>
        <item x="34"/>
        <item m="1" x="127"/>
        <item m="1" x="66"/>
        <item m="1" x="67"/>
        <item m="1" x="87"/>
        <item x="6"/>
        <item x="49"/>
        <item m="1" x="89"/>
        <item x="51"/>
        <item m="1" x="92"/>
        <item x="7"/>
        <item m="1" x="102"/>
        <item m="1" x="131"/>
        <item x="53"/>
        <item m="1" x="95"/>
        <item m="1" x="118"/>
        <item m="1" x="84"/>
        <item m="1" x="61"/>
        <item x="38"/>
        <item m="1" x="151"/>
        <item m="1" x="115"/>
        <item m="1" x="156"/>
        <item x="37"/>
        <item m="1" x="125"/>
        <item m="1" x="119"/>
        <item m="1" x="88"/>
        <item m="1" x="149"/>
        <item m="1" x="122"/>
        <item m="1" x="65"/>
        <item m="1" x="110"/>
        <item m="1" x="93"/>
        <item x="39"/>
        <item x="44"/>
        <item m="1" x="128"/>
        <item x="18"/>
        <item x="5"/>
        <item x="22"/>
        <item m="1" x="68"/>
        <item m="1" x="137"/>
        <item m="1" x="106"/>
        <item m="1" x="73"/>
        <item x="20"/>
        <item m="1" x="96"/>
        <item m="1" x="83"/>
        <item m="1" x="85"/>
        <item m="1" x="126"/>
        <item m="1" x="148"/>
        <item m="1" x="91"/>
        <item m="1" x="82"/>
        <item x="48"/>
        <item x="21"/>
        <item m="1" x="97"/>
        <item m="1" x="99"/>
        <item m="1" x="100"/>
        <item x="0"/>
        <item x="15"/>
        <item x="26"/>
        <item m="1" x="64"/>
        <item x="35"/>
        <item x="36"/>
        <item x="17"/>
        <item m="1" x="72"/>
        <item m="1" x="76"/>
        <item m="1" x="77"/>
        <item m="1" x="78"/>
        <item x="4"/>
        <item m="1" x="79"/>
        <item x="27"/>
        <item m="1" x="70"/>
        <item m="1" x="71"/>
        <item x="10"/>
        <item x="11"/>
        <item x="13"/>
        <item x="14"/>
        <item x="33"/>
        <item x="43"/>
        <item x="45"/>
        <item x="46"/>
        <item x="47"/>
        <item x="52"/>
        <item x="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LIENTE" axis="axisPage" compact="0" outline="0" showAll="0" defaultSubtotal="0">
      <items count="76">
        <item m="1" x="63"/>
        <item m="1" x="51"/>
        <item m="1" x="61"/>
        <item x="22"/>
        <item m="1" x="58"/>
        <item x="18"/>
        <item m="1" x="59"/>
        <item m="1" x="39"/>
        <item x="10"/>
        <item m="1" x="52"/>
        <item m="1" x="42"/>
        <item x="2"/>
        <item x="15"/>
        <item x="23"/>
        <item m="1" x="34"/>
        <item m="1" x="69"/>
        <item x="21"/>
        <item m="1" x="48"/>
        <item x="8"/>
        <item m="1" x="53"/>
        <item m="1" x="70"/>
        <item m="1" x="49"/>
        <item m="1" x="62"/>
        <item m="1" x="65"/>
        <item x="6"/>
        <item x="7"/>
        <item m="1" x="35"/>
        <item x="24"/>
        <item x="33"/>
        <item x="12"/>
        <item x="28"/>
        <item m="1" x="36"/>
        <item m="1" x="56"/>
        <item m="1" x="57"/>
        <item m="1" x="75"/>
        <item x="26"/>
        <item m="1" x="47"/>
        <item x="1"/>
        <item x="3"/>
        <item m="1" x="72"/>
        <item m="1" x="50"/>
        <item m="1" x="74"/>
        <item x="27"/>
        <item x="0"/>
        <item x="19"/>
        <item m="1" x="73"/>
        <item x="5"/>
        <item m="1" x="71"/>
        <item x="14"/>
        <item m="1" x="54"/>
        <item m="1" x="64"/>
        <item m="1" x="66"/>
        <item m="1" x="68"/>
        <item m="1" x="67"/>
        <item m="1" x="38"/>
        <item x="17"/>
        <item x="30"/>
        <item m="1" x="60"/>
        <item m="1" x="40"/>
        <item m="1" x="55"/>
        <item x="16"/>
        <item m="1" x="46"/>
        <item x="20"/>
        <item m="1" x="37"/>
        <item x="25"/>
        <item x="13"/>
        <item m="1" x="43"/>
        <item m="1" x="44"/>
        <item x="4"/>
        <item m="1" x="45"/>
        <item m="1" x="41"/>
        <item x="9"/>
        <item x="11"/>
        <item x="29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218">
        <item x="0"/>
        <item m="1" x="2173"/>
        <item m="1" x="1715"/>
        <item x="1622"/>
        <item x="6"/>
        <item x="948"/>
        <item x="1564"/>
        <item x="38"/>
        <item x="17"/>
        <item x="14"/>
        <item x="21"/>
        <item x="1559"/>
        <item x="1565"/>
        <item x="31"/>
        <item x="1558"/>
        <item x="3"/>
        <item x="1555"/>
        <item x="1567"/>
        <item m="1" x="1721"/>
        <item m="1" x="2077"/>
        <item x="40"/>
        <item x="34"/>
        <item x="9"/>
        <item x="12"/>
        <item x="1563"/>
        <item x="1627"/>
        <item x="23"/>
        <item x="1560"/>
        <item m="1" x="1720"/>
        <item x="1561"/>
        <item x="20"/>
        <item x="1614"/>
        <item x="1673"/>
        <item x="10"/>
        <item x="1501"/>
        <item x="33"/>
        <item x="2"/>
        <item m="1" x="2051"/>
        <item x="13"/>
        <item x="4"/>
        <item x="1557"/>
        <item x="7"/>
        <item x="24"/>
        <item x="26"/>
        <item x="1562"/>
        <item m="1" x="2214"/>
        <item m="1" x="1716"/>
        <item x="942"/>
        <item m="1" x="2217"/>
        <item m="1" x="1718"/>
        <item m="1" x="2043"/>
        <item m="1" x="2146"/>
        <item x="39"/>
        <item m="1" x="2215"/>
        <item x="1683"/>
        <item m="1" x="2161"/>
        <item x="616"/>
        <item m="1" x="2184"/>
        <item m="1" x="2187"/>
        <item m="1" x="2165"/>
        <item m="1" x="2213"/>
        <item m="1" x="2204"/>
        <item m="1" x="2210"/>
        <item x="5"/>
        <item x="684"/>
        <item m="1" x="2206"/>
        <item m="1" x="2194"/>
        <item x="840"/>
        <item x="169"/>
        <item m="1" x="2147"/>
        <item x="433"/>
        <item m="1" x="2178"/>
        <item x="103"/>
        <item m="1" x="2176"/>
        <item x="1667"/>
        <item m="1" x="2182"/>
        <item m="1" x="2171"/>
        <item m="1" x="2169"/>
        <item m="1" x="2065"/>
        <item m="1" x="2160"/>
        <item x="621"/>
        <item x="882"/>
        <item m="1" x="2168"/>
        <item m="1" x="2211"/>
        <item m="1" x="2192"/>
        <item x="802"/>
        <item m="1" x="2186"/>
        <item m="1" x="2208"/>
        <item x="612"/>
        <item m="1" x="2193"/>
        <item x="431"/>
        <item x="508"/>
        <item m="1" x="2205"/>
        <item x="803"/>
        <item m="1" x="2162"/>
        <item x="98"/>
        <item x="1694"/>
        <item x="535"/>
        <item x="104"/>
        <item x="622"/>
        <item x="624"/>
        <item m="1" x="2179"/>
        <item x="46"/>
        <item x="681"/>
        <item x="1695"/>
        <item m="1" x="1719"/>
        <item x="1556"/>
        <item m="1" x="2203"/>
        <item x="562"/>
        <item m="1" x="2196"/>
        <item m="1" x="2167"/>
        <item x="304"/>
        <item m="1" x="2212"/>
        <item m="1" x="2151"/>
        <item m="1" x="2170"/>
        <item x="851"/>
        <item x="915"/>
        <item m="1" x="2155"/>
        <item x="685"/>
        <item m="1" x="2067"/>
        <item m="1" x="2177"/>
        <item x="923"/>
        <item x="876"/>
        <item m="1" x="2137"/>
        <item m="1" x="2174"/>
        <item x="1702"/>
        <item m="1" x="2091"/>
        <item m="1" x="2150"/>
        <item m="1" x="2198"/>
        <item m="1" x="2183"/>
        <item x="1697"/>
        <item m="1" x="2148"/>
        <item m="1" x="2207"/>
        <item m="1" x="2216"/>
        <item m="1" x="2158"/>
        <item m="1" x="2195"/>
        <item m="1" x="2189"/>
        <item m="1" x="2197"/>
        <item m="1" x="2202"/>
        <item m="1" x="2185"/>
        <item m="1" x="2068"/>
        <item m="1" x="2175"/>
        <item m="1" x="2191"/>
        <item m="1" x="2201"/>
        <item m="1" x="2164"/>
        <item m="1" x="2190"/>
        <item m="1" x="2200"/>
        <item m="1" x="2154"/>
        <item m="1" x="2172"/>
        <item m="1" x="2181"/>
        <item m="1" x="2188"/>
        <item m="1" x="2163"/>
        <item m="1" x="2199"/>
        <item m="1" x="2089"/>
        <item m="1" x="2109"/>
        <item m="1" x="2157"/>
        <item m="1" x="2149"/>
        <item m="1" x="2152"/>
        <item m="1" x="2115"/>
        <item m="1" x="2153"/>
        <item m="1" x="2180"/>
        <item m="1" x="2156"/>
        <item m="1" x="2209"/>
        <item m="1" x="2166"/>
        <item m="1" x="2159"/>
        <item x="944"/>
        <item m="1" x="1717"/>
        <item x="1499"/>
        <item m="1" x="2069"/>
        <item m="1" x="2070"/>
        <item m="1" x="2071"/>
        <item m="1" x="2072"/>
        <item m="1" x="2073"/>
        <item m="1" x="2074"/>
        <item m="1" x="2075"/>
        <item m="1" x="2076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90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10"/>
        <item m="1" x="2111"/>
        <item m="1" x="2112"/>
        <item m="1" x="2113"/>
        <item m="1" x="2114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x="1500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8"/>
        <item m="1" x="2139"/>
        <item m="1" x="2140"/>
        <item m="1" x="2141"/>
        <item m="1" x="2142"/>
        <item m="1" x="2143"/>
        <item m="1" x="2144"/>
        <item m="1" x="2145"/>
        <item x="36"/>
        <item x="1362"/>
        <item x="1423"/>
        <item x="947"/>
        <item m="1" x="2055"/>
        <item m="1" x="1724"/>
        <item x="952"/>
        <item x="953"/>
        <item x="974"/>
        <item x="950"/>
        <item m="1" x="1727"/>
        <item m="1" x="1731"/>
        <item m="1" x="2056"/>
        <item m="1" x="1730"/>
        <item m="1" x="1725"/>
        <item x="946"/>
        <item x="1612"/>
        <item m="1" x="1733"/>
        <item m="1" x="1729"/>
        <item m="1" x="1739"/>
        <item m="1" x="1745"/>
        <item m="1" x="1746"/>
        <item m="1" x="1742"/>
        <item m="1" x="1740"/>
        <item m="1" x="1743"/>
        <item m="1" x="1744"/>
        <item x="957"/>
        <item x="1055"/>
        <item m="1" x="1972"/>
        <item m="1" x="1747"/>
        <item m="1" x="1741"/>
        <item m="1" x="1768"/>
        <item x="1052"/>
        <item x="1105"/>
        <item x="1053"/>
        <item m="1" x="1917"/>
        <item x="978"/>
        <item m="1" x="1913"/>
        <item x="1059"/>
        <item x="1024"/>
        <item x="1013"/>
        <item x="1654"/>
        <item m="1" x="1935"/>
        <item m="1" x="1772"/>
        <item m="1" x="1926"/>
        <item m="1" x="1899"/>
        <item x="990"/>
        <item x="1090"/>
        <item m="1" x="1757"/>
        <item x="1022"/>
        <item x="1610"/>
        <item m="1" x="1760"/>
        <item m="1" x="1758"/>
        <item m="1" x="1881"/>
        <item m="1" x="1762"/>
        <item m="1" x="1769"/>
        <item x="1046"/>
        <item m="1" x="1782"/>
        <item x="1017"/>
        <item m="1" x="1784"/>
        <item m="1" x="1780"/>
        <item m="1" x="1783"/>
        <item m="1" x="1785"/>
        <item m="1" x="1781"/>
        <item x="1057"/>
        <item m="1" x="1787"/>
        <item x="1021"/>
        <item x="1663"/>
        <item m="1" x="1779"/>
        <item x="1028"/>
        <item x="1092"/>
        <item x="1607"/>
        <item x="1704"/>
        <item m="1" x="1795"/>
        <item x="1032"/>
        <item x="1428"/>
        <item x="1596"/>
        <item x="1029"/>
        <item x="1081"/>
        <item m="1" x="1809"/>
        <item x="1011"/>
        <item m="1" x="1797"/>
        <item m="1" x="1879"/>
        <item m="1" x="1794"/>
        <item m="1" x="1974"/>
        <item m="1" x="1800"/>
        <item x="1571"/>
        <item x="1448"/>
        <item m="1" x="1836"/>
        <item x="1027"/>
        <item m="1" x="1860"/>
        <item x="1016"/>
        <item m="1" x="1788"/>
        <item x="1068"/>
        <item m="1" x="1869"/>
        <item x="1065"/>
        <item m="1" x="1759"/>
        <item x="1050"/>
        <item m="1" x="1861"/>
        <item m="1" x="1870"/>
        <item x="1449"/>
        <item x="1115"/>
        <item m="1" x="1864"/>
        <item x="1048"/>
        <item m="1" x="1837"/>
        <item x="1128"/>
        <item x="1432"/>
        <item m="1" x="1835"/>
        <item m="1" x="1790"/>
        <item m="1" x="1830"/>
        <item m="1" x="1827"/>
        <item m="1" x="1793"/>
        <item m="1" x="1829"/>
        <item m="1" x="1828"/>
        <item m="1" x="1792"/>
        <item x="1051"/>
        <item m="1" x="1875"/>
        <item m="1" x="1826"/>
        <item m="1" x="1831"/>
        <item m="1" x="1833"/>
        <item m="1" x="1832"/>
        <item x="968"/>
        <item x="1019"/>
        <item m="1" x="1834"/>
        <item x="945"/>
        <item m="1" x="1863"/>
        <item m="1" x="2057"/>
        <item m="1" x="2058"/>
        <item m="1" x="1866"/>
        <item m="1" x="1873"/>
        <item x="1066"/>
        <item m="1" x="1855"/>
        <item m="1" x="1874"/>
        <item x="1015"/>
        <item x="1047"/>
        <item x="1058"/>
        <item x="992"/>
        <item x="1056"/>
        <item x="1063"/>
        <item m="1" x="1868"/>
        <item m="1" x="1853"/>
        <item x="1074"/>
        <item m="1" x="2059"/>
        <item m="1" x="1880"/>
        <item m="1" x="1878"/>
        <item m="1" x="1813"/>
        <item x="1525"/>
        <item m="1" x="1887"/>
        <item m="1" x="1886"/>
        <item m="1" x="1884"/>
        <item x="1084"/>
        <item x="1583"/>
        <item x="1073"/>
        <item m="1" x="1890"/>
        <item m="1" x="1888"/>
        <item x="1035"/>
        <item m="1" x="1885"/>
        <item x="1540"/>
        <item x="1535"/>
        <item m="1" x="1894"/>
        <item x="1078"/>
        <item m="1" x="2060"/>
        <item m="1" x="1796"/>
        <item x="959"/>
        <item x="976"/>
        <item x="1510"/>
        <item x="988"/>
        <item m="1" x="1767"/>
        <item m="1" x="1761"/>
        <item x="1677"/>
        <item m="1" x="1903"/>
        <item m="1" x="1914"/>
        <item x="980"/>
        <item x="1605"/>
        <item x="1591"/>
        <item m="1" x="1865"/>
        <item x="1039"/>
        <item x="1427"/>
        <item m="1" x="1905"/>
        <item x="1110"/>
        <item m="1" x="1923"/>
        <item m="1" x="2061"/>
        <item x="1025"/>
        <item x="999"/>
        <item m="1" x="1912"/>
        <item m="1" x="1909"/>
        <item x="1527"/>
        <item m="1" x="1910"/>
        <item x="1014"/>
        <item m="1" x="1919"/>
        <item m="1" x="1908"/>
        <item x="1118"/>
        <item x="955"/>
        <item x="1082"/>
        <item m="1" x="1911"/>
        <item m="1" x="1755"/>
        <item m="1" x="1773"/>
        <item m="1" x="1754"/>
        <item x="1091"/>
        <item x="1611"/>
        <item m="1" x="1775"/>
        <item m="1" x="1763"/>
        <item m="1" x="1902"/>
        <item x="1020"/>
        <item m="1" x="1920"/>
        <item x="1003"/>
        <item m="1" x="1924"/>
        <item x="1038"/>
        <item x="1102"/>
        <item m="1" x="1915"/>
        <item x="1109"/>
        <item m="1" x="1938"/>
        <item m="1" x="1927"/>
        <item x="1094"/>
        <item x="1104"/>
        <item m="1" x="1854"/>
        <item m="1" x="1900"/>
        <item m="1" x="1777"/>
        <item m="1" x="1925"/>
        <item m="1" x="1930"/>
        <item m="1" x="2062"/>
        <item m="1" x="1764"/>
        <item m="1" x="1937"/>
        <item m="1" x="1928"/>
        <item m="1" x="1973"/>
        <item m="1" x="1933"/>
        <item m="1" x="1891"/>
        <item m="1" x="1986"/>
        <item m="1" x="1801"/>
        <item m="1" x="1798"/>
        <item m="1" x="1799"/>
        <item m="1" x="1737"/>
        <item x="960"/>
        <item x="954"/>
        <item x="967"/>
        <item x="970"/>
        <item m="1" x="2019"/>
        <item m="1" x="1776"/>
        <item m="1" x="1921"/>
        <item m="1" x="1907"/>
        <item x="1581"/>
        <item x="1426"/>
        <item m="1" x="1954"/>
        <item x="1434"/>
        <item m="1" x="1956"/>
        <item m="1" x="1953"/>
        <item m="1" x="1955"/>
        <item m="1" x="1952"/>
        <item x="1425"/>
        <item x="1437"/>
        <item x="1096"/>
        <item x="1430"/>
        <item m="1" x="2063"/>
        <item m="1" x="2064"/>
        <item m="1" x="2066"/>
        <item m="1" x="1728"/>
        <item m="1" x="1999"/>
        <item x="1072"/>
        <item x="1638"/>
        <item m="1" x="1883"/>
        <item m="1" x="1895"/>
        <item m="1" x="2006"/>
        <item m="1" x="1904"/>
        <item x="1656"/>
        <item x="1640"/>
        <item m="1" x="2004"/>
        <item m="1" x="2037"/>
        <item m="1" x="1998"/>
        <item m="1" x="1732"/>
        <item m="1" x="1786"/>
        <item m="1" x="1789"/>
        <item m="1" x="1852"/>
        <item m="1" x="1867"/>
        <item x="1030"/>
        <item x="1513"/>
        <item m="1" x="1918"/>
        <item m="1" x="1812"/>
        <item m="1" x="1892"/>
        <item m="1" x="1949"/>
        <item m="1" x="1723"/>
        <item m="1" x="1876"/>
        <item m="1" x="1977"/>
        <item m="1" x="1981"/>
        <item m="1" x="1929"/>
        <item m="1" x="1811"/>
        <item x="1675"/>
        <item x="1188"/>
        <item m="1" x="1901"/>
        <item m="1" x="2049"/>
        <item m="1" x="2003"/>
        <item m="1" x="1950"/>
        <item m="1" x="1983"/>
        <item m="1" x="1778"/>
        <item m="1" x="1756"/>
        <item m="1" x="1722"/>
        <item m="1" x="1734"/>
        <item x="972"/>
        <item m="1" x="1726"/>
        <item x="963"/>
        <item m="1" x="1736"/>
        <item x="1709"/>
        <item m="1" x="1735"/>
        <item m="1" x="1748"/>
        <item x="1193"/>
        <item m="1" x="1749"/>
        <item m="1" x="1751"/>
        <item m="1" x="1750"/>
        <item m="1" x="1766"/>
        <item m="1" x="1771"/>
        <item m="1" x="1765"/>
        <item x="1516"/>
        <item x="1601"/>
        <item m="1" x="1774"/>
        <item m="1" x="1791"/>
        <item m="1" x="2016"/>
        <item x="1512"/>
        <item m="1" x="1810"/>
        <item x="1049"/>
        <item m="1" x="1804"/>
        <item m="1" x="1807"/>
        <item m="1" x="1802"/>
        <item m="1" x="1803"/>
        <item m="1" x="1805"/>
        <item x="1095"/>
        <item x="1079"/>
        <item m="1" x="1815"/>
        <item m="1" x="1818"/>
        <item m="1" x="1814"/>
        <item x="1686"/>
        <item m="1" x="1822"/>
        <item x="971"/>
        <item m="1" x="1819"/>
        <item m="1" x="1816"/>
        <item m="1" x="1976"/>
        <item m="1" x="1896"/>
        <item m="1" x="1821"/>
        <item x="1517"/>
        <item x="1597"/>
        <item x="1044"/>
        <item m="1" x="1841"/>
        <item x="1579"/>
        <item m="1" x="1846"/>
        <item m="1" x="1842"/>
        <item m="1" x="1848"/>
        <item m="1" x="1839"/>
        <item m="1" x="1847"/>
        <item m="1" x="1844"/>
        <item m="1" x="1850"/>
        <item x="1595"/>
        <item m="1" x="1808"/>
        <item m="1" x="1859"/>
        <item m="1" x="1849"/>
        <item m="1" x="1840"/>
        <item m="1" x="1806"/>
        <item m="1" x="1980"/>
        <item x="1061"/>
        <item m="1" x="1851"/>
        <item m="1" x="1862"/>
        <item x="1062"/>
        <item m="1" x="1838"/>
        <item x="1043"/>
        <item x="1515"/>
        <item m="1" x="1872"/>
        <item m="1" x="1877"/>
        <item m="1" x="1871"/>
        <item x="1618"/>
        <item m="1" x="1882"/>
        <item m="1" x="1982"/>
        <item m="1" x="1889"/>
        <item m="1" x="1893"/>
        <item m="1" x="1817"/>
        <item x="1077"/>
        <item m="1" x="1857"/>
        <item m="1" x="1897"/>
        <item m="1" x="1824"/>
        <item m="1" x="1898"/>
        <item m="1" x="2005"/>
        <item x="1620"/>
        <item m="1" x="1843"/>
        <item m="1" x="1984"/>
        <item x="1676"/>
        <item m="1" x="1906"/>
        <item m="1" x="1916"/>
        <item x="1524"/>
        <item m="1" x="1932"/>
        <item m="1" x="1943"/>
        <item m="1" x="1922"/>
        <item m="1" x="2010"/>
        <item x="1576"/>
        <item m="1" x="1936"/>
        <item m="1" x="2017"/>
        <item m="1" x="1941"/>
        <item m="1" x="1946"/>
        <item m="1" x="1939"/>
        <item x="1004"/>
        <item m="1" x="1947"/>
        <item m="1" x="2018"/>
        <item m="1" x="1845"/>
        <item m="1" x="1948"/>
        <item x="977"/>
        <item m="1" x="1951"/>
        <item m="1" x="1957"/>
        <item m="1" x="2020"/>
        <item m="1" x="2021"/>
        <item m="1" x="1960"/>
        <item m="1" x="1989"/>
        <item m="1" x="1968"/>
        <item m="1" x="2009"/>
        <item m="1" x="1967"/>
        <item m="1" x="1993"/>
        <item m="1" x="1961"/>
        <item m="1" x="1995"/>
        <item m="1" x="1965"/>
        <item m="1" x="1963"/>
        <item m="1" x="1966"/>
        <item m="1" x="1992"/>
        <item m="1" x="1969"/>
        <item m="1" x="1975"/>
        <item m="1" x="1979"/>
        <item m="1" x="1820"/>
        <item m="1" x="2002"/>
        <item m="1" x="2013"/>
        <item m="1" x="2014"/>
        <item m="1" x="1985"/>
        <item m="1" x="1934"/>
        <item m="1" x="1945"/>
        <item m="1" x="1940"/>
        <item m="1" x="1942"/>
        <item m="1" x="2007"/>
        <item m="1" x="1991"/>
        <item m="1" x="2015"/>
        <item m="1" x="2012"/>
        <item m="1" x="1962"/>
        <item m="1" x="1994"/>
        <item m="1" x="1753"/>
        <item m="1" x="1770"/>
        <item m="1" x="1823"/>
        <item m="1" x="1858"/>
        <item m="1" x="2001"/>
        <item m="1" x="1931"/>
        <item m="1" x="2011"/>
        <item m="1" x="1996"/>
        <item m="1" x="1964"/>
        <item m="1" x="1958"/>
        <item m="1" x="1752"/>
        <item m="1" x="2000"/>
        <item m="1" x="1856"/>
        <item m="1" x="1944"/>
        <item m="1" x="2008"/>
        <item m="1" x="1978"/>
        <item m="1" x="1987"/>
        <item m="1" x="1959"/>
        <item m="1" x="1988"/>
        <item m="1" x="1990"/>
        <item m="1" x="1971"/>
        <item m="1" x="1997"/>
        <item m="1" x="1738"/>
        <item m="1" x="1825"/>
        <item x="1108"/>
        <item m="1" x="1970"/>
        <item x="1539"/>
        <item x="956"/>
        <item m="1" x="2022"/>
        <item m="1" x="2023"/>
        <item m="1" x="2024"/>
        <item m="1" x="2025"/>
        <item x="997"/>
        <item m="1" x="2026"/>
        <item x="107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8"/>
        <item m="1" x="2039"/>
        <item x="1637"/>
        <item x="1652"/>
        <item x="1086"/>
        <item x="1099"/>
        <item x="1127"/>
        <item m="1" x="2040"/>
        <item m="1" x="2041"/>
        <item m="1" x="2042"/>
        <item m="1" x="2044"/>
        <item m="1" x="2045"/>
        <item m="1" x="2046"/>
        <item m="1" x="2047"/>
        <item m="1" x="2048"/>
        <item m="1" x="2050"/>
        <item m="1" x="2052"/>
        <item m="1" x="2053"/>
        <item x="1008"/>
        <item m="1" x="2054"/>
        <item x="1"/>
        <item x="8"/>
        <item x="11"/>
        <item x="15"/>
        <item x="16"/>
        <item x="18"/>
        <item x="19"/>
        <item x="22"/>
        <item x="25"/>
        <item x="27"/>
        <item x="28"/>
        <item x="29"/>
        <item x="30"/>
        <item x="32"/>
        <item x="35"/>
        <item x="37"/>
        <item x="41"/>
        <item x="42"/>
        <item x="43"/>
        <item x="44"/>
        <item x="45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2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3"/>
        <item x="614"/>
        <item x="615"/>
        <item x="617"/>
        <item x="618"/>
        <item x="619"/>
        <item x="620"/>
        <item x="623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2"/>
        <item x="683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1"/>
        <item x="842"/>
        <item x="843"/>
        <item x="844"/>
        <item x="845"/>
        <item x="846"/>
        <item x="847"/>
        <item x="848"/>
        <item x="849"/>
        <item x="850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7"/>
        <item x="878"/>
        <item x="879"/>
        <item x="880"/>
        <item x="881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3"/>
        <item x="949"/>
        <item x="951"/>
        <item x="958"/>
        <item x="961"/>
        <item x="962"/>
        <item x="964"/>
        <item x="965"/>
        <item x="966"/>
        <item x="969"/>
        <item x="973"/>
        <item x="975"/>
        <item x="979"/>
        <item x="981"/>
        <item x="982"/>
        <item x="983"/>
        <item x="984"/>
        <item x="985"/>
        <item x="986"/>
        <item x="987"/>
        <item x="989"/>
        <item x="991"/>
        <item x="993"/>
        <item x="994"/>
        <item x="995"/>
        <item x="996"/>
        <item x="998"/>
        <item x="1000"/>
        <item x="1001"/>
        <item x="1002"/>
        <item x="1005"/>
        <item x="1006"/>
        <item x="1007"/>
        <item x="1009"/>
        <item x="1010"/>
        <item x="1012"/>
        <item x="1018"/>
        <item x="1023"/>
        <item x="1026"/>
        <item x="1031"/>
        <item x="1033"/>
        <item x="1034"/>
        <item x="1036"/>
        <item x="1037"/>
        <item x="1040"/>
        <item x="1041"/>
        <item x="1042"/>
        <item x="1045"/>
        <item x="1054"/>
        <item x="1060"/>
        <item x="1064"/>
        <item x="1067"/>
        <item x="1069"/>
        <item x="1070"/>
        <item x="1071"/>
        <item x="1075"/>
        <item x="1080"/>
        <item x="1083"/>
        <item x="1085"/>
        <item x="1087"/>
        <item x="1088"/>
        <item x="1089"/>
        <item x="1093"/>
        <item x="1097"/>
        <item x="1098"/>
        <item x="1100"/>
        <item x="1101"/>
        <item x="1103"/>
        <item x="1106"/>
        <item x="1107"/>
        <item x="1111"/>
        <item x="1112"/>
        <item x="1113"/>
        <item x="1114"/>
        <item x="1116"/>
        <item x="1117"/>
        <item x="1119"/>
        <item x="1120"/>
        <item x="1121"/>
        <item x="1122"/>
        <item x="1123"/>
        <item x="1124"/>
        <item x="1125"/>
        <item x="1126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9"/>
        <item x="1190"/>
        <item x="1191"/>
        <item x="1192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4"/>
        <item x="1429"/>
        <item x="1431"/>
        <item x="1433"/>
        <item x="1435"/>
        <item x="1436"/>
        <item x="1438"/>
        <item x="1439"/>
        <item x="1440"/>
        <item x="1441"/>
        <item x="1442"/>
        <item x="1443"/>
        <item x="1444"/>
        <item x="1445"/>
        <item x="1446"/>
        <item x="1447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502"/>
        <item x="1503"/>
        <item x="1504"/>
        <item x="1505"/>
        <item x="1506"/>
        <item x="1507"/>
        <item x="1508"/>
        <item x="1509"/>
        <item x="1511"/>
        <item x="1514"/>
        <item x="1518"/>
        <item x="1519"/>
        <item x="1520"/>
        <item x="1521"/>
        <item x="1522"/>
        <item x="1523"/>
        <item x="1526"/>
        <item x="1528"/>
        <item x="1529"/>
        <item x="1530"/>
        <item x="1531"/>
        <item x="1532"/>
        <item x="1533"/>
        <item x="1534"/>
        <item x="1536"/>
        <item x="1537"/>
        <item x="1538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66"/>
        <item x="1568"/>
        <item x="1569"/>
        <item x="1570"/>
        <item x="1572"/>
        <item x="1573"/>
        <item x="1574"/>
        <item x="1575"/>
        <item x="1577"/>
        <item x="1578"/>
        <item x="1580"/>
        <item x="1582"/>
        <item x="1584"/>
        <item x="1585"/>
        <item x="1586"/>
        <item x="1587"/>
        <item x="1588"/>
        <item x="1589"/>
        <item x="1590"/>
        <item x="1592"/>
        <item x="1593"/>
        <item x="1594"/>
        <item x="1598"/>
        <item x="1599"/>
        <item x="1600"/>
        <item x="1602"/>
        <item x="1603"/>
        <item x="1604"/>
        <item x="1606"/>
        <item x="1608"/>
        <item x="1609"/>
        <item x="1613"/>
        <item x="1615"/>
        <item x="1616"/>
        <item x="1617"/>
        <item x="1619"/>
        <item x="1621"/>
        <item x="1623"/>
        <item x="1624"/>
        <item x="1625"/>
        <item x="1626"/>
        <item x="1628"/>
        <item x="1629"/>
        <item x="1630"/>
        <item x="1631"/>
        <item x="1632"/>
        <item x="1633"/>
        <item x="1634"/>
        <item x="1635"/>
        <item x="1636"/>
        <item x="1639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3"/>
        <item x="1655"/>
        <item x="1657"/>
        <item x="1658"/>
        <item x="1659"/>
        <item x="1660"/>
        <item x="1661"/>
        <item x="1662"/>
        <item x="1664"/>
        <item x="1665"/>
        <item x="1666"/>
        <item x="1668"/>
        <item x="1669"/>
        <item x="1670"/>
        <item x="1671"/>
        <item x="1672"/>
        <item x="1674"/>
        <item x="1678"/>
        <item x="1679"/>
        <item x="1680"/>
        <item x="1681"/>
        <item x="1682"/>
        <item x="1684"/>
        <item x="1685"/>
        <item x="1687"/>
        <item x="1688"/>
        <item x="1689"/>
        <item x="1690"/>
        <item x="1691"/>
        <item x="1692"/>
        <item x="1693"/>
        <item x="1696"/>
        <item x="1698"/>
        <item x="1699"/>
        <item x="1700"/>
        <item x="1701"/>
        <item x="1703"/>
        <item x="1705"/>
        <item x="1706"/>
        <item x="1707"/>
        <item x="1708"/>
        <item x="1710"/>
        <item x="1711"/>
        <item x="1712"/>
        <item x="1713"/>
        <item x="17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4"/>
    <field x="9"/>
  </rowFields>
  <rowItems count="1"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13">
    <pageField fld="15" hier="-1"/>
    <pageField fld="3" hier="-1"/>
    <pageField fld="2" hier="-1"/>
    <pageField fld="1" hier="-1"/>
    <pageField fld="12" hier="-1"/>
    <pageField fld="6" hier="-1"/>
    <pageField fld="5" hier="-1"/>
    <pageField fld="7" hier="-1"/>
    <pageField fld="14" hier="-1"/>
    <pageField fld="10" hier="-1"/>
    <pageField fld="11" hier="-1"/>
    <pageField fld="13" hier="-1"/>
    <pageField fld="8" hier="-1"/>
  </pageFields>
  <dataFields count="16">
    <dataField name="TENTATIVAS TOTAIS" fld="22" baseField="0" baseItem="0" numFmtId="3"/>
    <dataField name="DISPAROS" fld="23" baseField="0" baseItem="0" numFmtId="3"/>
    <dataField name="ABANDONO" fld="25" baseField="0" baseItem="0" numFmtId="3"/>
    <dataField name="ALÔ" fld="27" baseField="0" baseItem="0" numFmtId="3"/>
    <dataField name="MENSAGEM" fld="26" baseField="0" baseItem="0" numFmtId="3"/>
    <dataField name="NÃO ATENDEU (REAL)" fld="77" baseField="0" baseItem="0" numFmtId="3"/>
    <dataField name="NÃO ATENDEU (MSG)" fld="75" baseField="0" baseItem="0" numFmtId="3"/>
    <dataField name="REJEITADO" fld="30" baseField="0" baseItem="0" numFmtId="3"/>
    <dataField name="TEMP. INDISPONÍVEL" fld="31" baseField="0" baseItem="0" numFmtId="3"/>
    <dataField name="OCUPADO TOTAL" fld="55" baseField="0" baseItem="0" numFmtId="3"/>
    <dataField name="FALHAS GERAIS" fld="56" baseField="0" baseItem="0" numFmtId="3"/>
    <dataField name="FALTA DE CANAL" fld="57" baseField="0" baseItem="0" numFmtId="3"/>
    <dataField name="INEXISTENTE" fld="47" baseField="0" baseItem="0" numFmtId="3"/>
    <dataField name="FALHAS CALLFLEX" fld="48" baseField="0" baseItem="0" numFmtId="3"/>
    <dataField name="BLOQUEIO DDD" fld="71" baseField="0" baseItem="0" numFmtId="3"/>
    <dataField name="BLACKLIST" fld="72" baseField="0" baseItem="0" numFmtId="3"/>
  </dataFields>
  <formats count="86">
    <format dxfId="149">
      <pivotArea field="13" type="button" dataOnly="0" labelOnly="1" outline="0" axis="axisPage" fieldPosition="11"/>
    </format>
    <format dxfId="148">
      <pivotArea field="13" type="button" dataOnly="0" labelOnly="1" outline="0" axis="axisPage" fieldPosition="11"/>
    </format>
    <format dxfId="147">
      <pivotArea outline="0" collapsedLevelsAreSubtotals="1" fieldPosition="0"/>
    </format>
    <format dxfId="146">
      <pivotArea field="-2" type="button" dataOnly="0" labelOnly="1" outline="0" axis="axisCol" fieldPosition="0"/>
    </format>
    <format dxfId="145">
      <pivotArea type="topRight" dataOnly="0" labelOnly="1" outline="0" fieldPosition="0"/>
    </format>
    <format dxfId="144">
      <pivotArea outline="0" collapsedLevelsAreSubtotals="1" fieldPosition="0"/>
    </format>
    <format dxfId="143">
      <pivotArea field="-2" type="button" dataOnly="0" labelOnly="1" outline="0" axis="axisCol" fieldPosition="0"/>
    </format>
    <format dxfId="142">
      <pivotArea type="topRight" dataOnly="0" labelOnly="1" outline="0" fieldPosition="0"/>
    </format>
    <format dxfId="141">
      <pivotArea field="13" type="button" dataOnly="0" labelOnly="1" outline="0" axis="axisPage" fieldPosition="11"/>
    </format>
    <format dxfId="140">
      <pivotArea field="5" type="button" dataOnly="0" labelOnly="1" outline="0" axis="axisPage" fieldPosition="6"/>
    </format>
    <format dxfId="139">
      <pivotArea outline="0" collapsedLevelsAreSubtotals="1" fieldPosition="0"/>
    </format>
    <format dxfId="138">
      <pivotArea dataOnly="0" labelOnly="1" outline="0" fieldPosition="0">
        <references count="1">
          <reference field="4" count="18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137">
      <pivotArea dataOnly="0" labelOnly="1" grandRow="1" outline="0" fieldPosition="0"/>
    </format>
    <format dxfId="136">
      <pivotArea field="4" type="button" dataOnly="0" labelOnly="1" outline="0" axis="axisRow" fieldPosition="1"/>
    </format>
    <format dxfId="135">
      <pivotArea field="14" type="button" dataOnly="0" labelOnly="1" outline="0" axis="axisPage" fieldPosition="8"/>
    </format>
    <format dxfId="134">
      <pivotArea field="-2" type="button" dataOnly="0" labelOnly="1" outline="0" axis="axisCol" fieldPosition="0"/>
    </format>
    <format dxfId="133">
      <pivotArea field="4" type="button" dataOnly="0" labelOnly="1" outline="0" axis="axisRow" fieldPosition="1"/>
    </format>
    <format dxfId="132">
      <pivotArea field="4" type="button" dataOnly="0" labelOnly="1" outline="0" axis="axisRow" fieldPosition="1"/>
    </format>
    <format dxfId="131">
      <pivotArea field="4" type="button" dataOnly="0" labelOnly="1" outline="0" axis="axisRow" fieldPosition="1"/>
    </format>
    <format dxfId="130">
      <pivotArea field="4" type="button" dataOnly="0" labelOnly="1" outline="0" axis="axisRow" fieldPosition="1"/>
    </format>
    <format dxfId="129">
      <pivotArea field="4" type="button" dataOnly="0" labelOnly="1" outline="0" axis="axisRow" fieldPosition="1"/>
    </format>
    <format dxfId="128">
      <pivotArea field="4" type="button" dataOnly="0" labelOnly="1" outline="0" axis="axisRow" fieldPosition="1"/>
    </format>
    <format dxfId="127">
      <pivotArea field="4" type="button" dataOnly="0" labelOnly="1" outline="0" axis="axisRow" fieldPosition="1"/>
    </format>
    <format dxfId="126">
      <pivotArea field="4" type="button" dataOnly="0" labelOnly="1" outline="0" axis="axisRow" fieldPosition="1"/>
    </format>
    <format dxfId="125">
      <pivotArea field="4" type="button" dataOnly="0" labelOnly="1" outline="0" axis="axisRow" fieldPosition="1"/>
    </format>
    <format dxfId="124">
      <pivotArea field="4" type="button" dataOnly="0" labelOnly="1" outline="0" axis="axisRow" fieldPosition="1"/>
    </format>
    <format dxfId="123">
      <pivotArea field="4" type="button" dataOnly="0" labelOnly="1" outline="0" axis="axisRow" fieldPosition="1"/>
    </format>
    <format dxfId="122">
      <pivotArea field="4" type="button" dataOnly="0" labelOnly="1" outline="0" axis="axisRow" fieldPosition="1"/>
    </format>
    <format dxfId="121">
      <pivotArea field="4" type="button" dataOnly="0" labelOnly="1" outline="0" axis="axisRow" fieldPosition="1"/>
    </format>
    <format dxfId="120">
      <pivotArea field="4" type="button" dataOnly="0" labelOnly="1" outline="0" axis="axisRow" fieldPosition="1"/>
    </format>
    <format dxfId="119">
      <pivotArea field="4" type="button" dataOnly="0" labelOnly="1" outline="0" axis="axisRow" fieldPosition="1"/>
    </format>
    <format dxfId="118">
      <pivotArea field="4" type="button" dataOnly="0" labelOnly="1" outline="0" axis="axisRow" fieldPosition="1"/>
    </format>
    <format dxfId="117">
      <pivotArea field="4" type="button" dataOnly="0" labelOnly="1" outline="0" axis="axisRow" fieldPosition="1"/>
    </format>
    <format dxfId="116">
      <pivotArea field="4" type="button" dataOnly="0" labelOnly="1" outline="0" axis="axisRow" fieldPosition="1"/>
    </format>
    <format dxfId="115">
      <pivotArea field="4" type="button" dataOnly="0" labelOnly="1" outline="0" axis="axisRow" fieldPosition="1"/>
    </format>
    <format dxfId="114">
      <pivotArea field="4" type="button" dataOnly="0" labelOnly="1" outline="0" axis="axisRow" fieldPosition="1"/>
    </format>
    <format dxfId="113">
      <pivotArea field="4" type="button" dataOnly="0" labelOnly="1" outline="0" axis="axisRow" fieldPosition="1"/>
    </format>
    <format dxfId="112">
      <pivotArea field="4" type="button" dataOnly="0" labelOnly="1" outline="0" axis="axisRow" fieldPosition="1"/>
    </format>
    <format dxfId="111">
      <pivotArea field="4" type="button" dataOnly="0" labelOnly="1" outline="0" axis="axisRow" fieldPosition="1"/>
    </format>
    <format dxfId="110">
      <pivotArea field="0" type="button" dataOnly="0" labelOnly="1" outline="0" axis="axisRow" fieldPosition="0"/>
    </format>
    <format dxfId="109">
      <pivotArea field="0" type="button" dataOnly="0" labelOnly="1" outline="0" axis="axisRow" fieldPosition="0"/>
    </format>
    <format dxfId="108">
      <pivotArea field="0" type="button" dataOnly="0" labelOnly="1" outline="0" axis="axisRow" fieldPosition="0"/>
    </format>
    <format dxfId="107">
      <pivotArea field="0" type="button" dataOnly="0" labelOnly="1" outline="0" axis="axisRow" fieldPosition="0"/>
    </format>
    <format dxfId="106">
      <pivotArea field="0" type="button" dataOnly="0" labelOnly="1" outline="0" axis="axisRow" fieldPosition="0"/>
    </format>
    <format dxfId="105">
      <pivotArea field="0" type="button" dataOnly="0" labelOnly="1" outline="0" axis="axisRow" fieldPosition="0"/>
    </format>
    <format dxfId="104">
      <pivotArea field="0" type="button" dataOnly="0" labelOnly="1" outline="0" axis="axisRow" fieldPosition="0"/>
    </format>
    <format dxfId="103">
      <pivotArea field="0" type="button" dataOnly="0" labelOnly="1" outline="0" axis="axisRow" fieldPosition="0"/>
    </format>
    <format dxfId="102">
      <pivotArea field="0" type="button" dataOnly="0" labelOnly="1" outline="0" axis="axisRow" fieldPosition="0"/>
    </format>
    <format dxfId="101">
      <pivotArea field="0" type="button" dataOnly="0" labelOnly="1" outline="0" axis="axisRow" fieldPosition="0"/>
    </format>
    <format dxfId="100">
      <pivotArea outline="0" fieldPosition="0">
        <references count="1">
          <reference field="4294967294" count="1">
            <x v="0"/>
          </reference>
        </references>
      </pivotArea>
    </format>
    <format dxfId="99">
      <pivotArea outline="0" fieldPosition="0">
        <references count="1">
          <reference field="4294967294" count="1">
            <x v="1"/>
          </reference>
        </references>
      </pivotArea>
    </format>
    <format dxfId="98">
      <pivotArea outline="0" fieldPosition="0">
        <references count="1">
          <reference field="4294967294" count="1">
            <x v="2"/>
          </reference>
        </references>
      </pivotArea>
    </format>
    <format dxfId="97">
      <pivotArea outline="0" fieldPosition="0">
        <references count="1">
          <reference field="4294967294" count="1">
            <x v="3"/>
          </reference>
        </references>
      </pivotArea>
    </format>
    <format dxfId="96">
      <pivotArea outline="0" fieldPosition="0">
        <references count="1">
          <reference field="4294967294" count="1">
            <x v="4"/>
          </reference>
        </references>
      </pivotArea>
    </format>
    <format dxfId="95">
      <pivotArea outline="0" fieldPosition="0">
        <references count="1">
          <reference field="4294967294" count="1">
            <x v="5"/>
          </reference>
        </references>
      </pivotArea>
    </format>
    <format dxfId="94">
      <pivotArea outline="0" fieldPosition="0">
        <references count="1">
          <reference field="4294967294" count="1">
            <x v="6"/>
          </reference>
        </references>
      </pivotArea>
    </format>
    <format dxfId="93">
      <pivotArea outline="0" fieldPosition="0">
        <references count="1">
          <reference field="4294967294" count="1">
            <x v="7"/>
          </reference>
        </references>
      </pivotArea>
    </format>
    <format dxfId="92">
      <pivotArea outline="0" fieldPosition="0">
        <references count="1">
          <reference field="4294967294" count="1">
            <x v="8"/>
          </reference>
        </references>
      </pivotArea>
    </format>
    <format dxfId="91">
      <pivotArea outline="0" fieldPosition="0">
        <references count="1">
          <reference field="4294967294" count="1">
            <x v="9"/>
          </reference>
        </references>
      </pivotArea>
    </format>
    <format dxfId="90">
      <pivotArea outline="0" fieldPosition="0">
        <references count="1">
          <reference field="4294967294" count="1">
            <x v="10"/>
          </reference>
        </references>
      </pivotArea>
    </format>
    <format dxfId="89">
      <pivotArea outline="0" fieldPosition="0">
        <references count="1">
          <reference field="4294967294" count="1">
            <x v="11"/>
          </reference>
        </references>
      </pivotArea>
    </format>
    <format dxfId="88">
      <pivotArea outline="0" fieldPosition="0">
        <references count="1">
          <reference field="4294967294" count="1">
            <x v="12"/>
          </reference>
        </references>
      </pivotArea>
    </format>
    <format dxfId="87">
      <pivotArea outline="0" fieldPosition="0">
        <references count="1">
          <reference field="4294967294" count="1">
            <x v="13"/>
          </reference>
        </references>
      </pivotArea>
    </format>
    <format dxfId="86">
      <pivotArea outline="0" fieldPosition="0">
        <references count="1">
          <reference field="4294967294" count="1">
            <x v="14"/>
          </reference>
        </references>
      </pivotArea>
    </format>
    <format dxfId="85">
      <pivotArea outline="0" fieldPosition="0">
        <references count="1">
          <reference field="4294967294" count="1">
            <x v="15"/>
          </reference>
        </references>
      </pivotArea>
    </format>
    <format dxfId="8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1">
      <pivotArea dataOnly="0" labelOnly="1" outline="0" fieldPosition="0">
        <references count="1">
          <reference field="4294967294" count="14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80">
      <pivotArea dataOnly="0" labelOnly="1" outline="0" fieldPosition="0">
        <references count="1">
          <reference field="0" count="0"/>
        </references>
      </pivotArea>
    </format>
    <format dxfId="79">
      <pivotArea dataOnly="0" labelOnly="1" outline="0" fieldPosition="0">
        <references count="2">
          <reference field="0" count="1" selected="0">
            <x v="145"/>
          </reference>
          <reference field="4" count="1">
            <x v="13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145"/>
          </reference>
          <reference field="4" count="1">
            <x v="14"/>
          </reference>
        </references>
      </pivotArea>
    </format>
    <format dxfId="77">
      <pivotArea dataOnly="0" labelOnly="1" outline="0" fieldPosition="0">
        <references count="2">
          <reference field="0" count="1" selected="0">
            <x v="145"/>
          </reference>
          <reference field="4" count="1">
            <x v="15"/>
          </reference>
        </references>
      </pivotArea>
    </format>
    <format dxfId="76">
      <pivotArea dataOnly="0" labelOnly="1" outline="0" fieldPosition="0">
        <references count="2">
          <reference field="0" count="1" selected="0">
            <x v="145"/>
          </reference>
          <reference field="4" count="1">
            <x v="16"/>
          </reference>
        </references>
      </pivotArea>
    </format>
    <format dxfId="75">
      <pivotArea dataOnly="0" labelOnly="1" outline="0" fieldPosition="0">
        <references count="1">
          <reference field="0" count="1">
            <x v="145"/>
          </reference>
        </references>
      </pivotArea>
    </format>
    <format dxfId="74">
      <pivotArea dataOnly="0" labelOnly="1" grandRow="1" outline="0" fieldPosition="0"/>
    </format>
    <format dxfId="73">
      <pivotArea dataOnly="0" labelOnly="1" outline="0" fieldPosition="0">
        <references count="2">
          <reference field="0" count="1" selected="0">
            <x v="145"/>
          </reference>
          <reference field="4" count="1">
            <x v="5"/>
          </reference>
        </references>
      </pivotArea>
    </format>
    <format dxfId="72">
      <pivotArea dataOnly="0" labelOnly="1" outline="0" fieldPosition="0">
        <references count="2">
          <reference field="0" count="1" selected="0">
            <x v="145"/>
          </reference>
          <reference field="4" count="1">
            <x v="6"/>
          </reference>
        </references>
      </pivotArea>
    </format>
    <format dxfId="71">
      <pivotArea dataOnly="0" labelOnly="1" outline="0" fieldPosition="0">
        <references count="2">
          <reference field="0" count="1" selected="0">
            <x v="145"/>
          </reference>
          <reference field="4" count="1">
            <x v="7"/>
          </reference>
        </references>
      </pivotArea>
    </format>
    <format dxfId="70">
      <pivotArea dataOnly="0" labelOnly="1" outline="0" fieldPosition="0">
        <references count="2">
          <reference field="0" count="1" selected="0">
            <x v="145"/>
          </reference>
          <reference field="4" count="1">
            <x v="8"/>
          </reference>
        </references>
      </pivotArea>
    </format>
    <format dxfId="69">
      <pivotArea dataOnly="0" labelOnly="1" outline="0" fieldPosition="0">
        <references count="2">
          <reference field="0" count="1" selected="0">
            <x v="145"/>
          </reference>
          <reference field="4" count="1">
            <x v="9"/>
          </reference>
        </references>
      </pivotArea>
    </format>
    <format dxfId="68">
      <pivotArea dataOnly="0" labelOnly="1" outline="0" fieldPosition="0">
        <references count="2">
          <reference field="0" count="1" selected="0">
            <x v="145"/>
          </reference>
          <reference field="4" count="1">
            <x v="10"/>
          </reference>
        </references>
      </pivotArea>
    </format>
    <format dxfId="67">
      <pivotArea dataOnly="0" labelOnly="1" outline="0" fieldPosition="0">
        <references count="2">
          <reference field="0" count="1" selected="0">
            <x v="145"/>
          </reference>
          <reference field="4" count="1">
            <x v="11"/>
          </reference>
        </references>
      </pivotArea>
    </format>
    <format dxfId="66">
      <pivotArea dataOnly="0" labelOnly="1" outline="0" fieldPosition="0">
        <references count="2">
          <reference field="0" count="1" selected="0">
            <x v="145"/>
          </reference>
          <reference field="4" count="1">
            <x v="12"/>
          </reference>
        </references>
      </pivotArea>
    </format>
    <format dxfId="65">
      <pivotArea dataOnly="0" labelOnly="1" outline="0" fieldPosition="0">
        <references count="2">
          <reference field="0" count="1" selected="0">
            <x v="145"/>
          </reference>
          <reference field="4" count="1">
            <x v="4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145"/>
          </reference>
          <reference field="4" count="1" selected="0">
            <x v="4"/>
          </reference>
          <reference field="9" count="1">
            <x v="0"/>
          </reference>
        </references>
      </pivotArea>
    </format>
  </formats>
  <pivotTableStyleInfo name="Padrão Esteiras" showRowHeaders="1" showColHeaders="1" showRowStripes="0" showColStripes="0" showLastColumn="1"/>
  <filters count="1">
    <filter fld="0" type="dateEqual" evalOrder="-1" id="23" name="Data">
      <autoFilter ref="A1">
        <filterColumn colId="0">
          <customFilters>
            <customFilter val="449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48B50C-CFDF-4653-8D34-1F991F9CD086}" name="din_graf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1">
  <location ref="H4:L20" firstHeaderRow="1" firstDataRow="2" firstDataCol="1" rowPageCount="2" colPageCount="1"/>
  <pivotFields count="7">
    <pivotField axis="axisCol" numFmtId="14" showAll="0" sortType="descending">
      <items count="90">
        <item x="3"/>
        <item x="2"/>
        <item x="1"/>
        <item x="0"/>
        <item m="1" x="6"/>
        <item m="1" x="5"/>
        <item m="1" x="4"/>
        <item m="1" x="10"/>
        <item m="1" x="9"/>
        <item m="1" x="8"/>
        <item m="1" x="7"/>
        <item m="1" x="14"/>
        <item m="1" x="13"/>
        <item m="1" x="12"/>
        <item m="1" x="11"/>
        <item m="1" x="18"/>
        <item m="1" x="17"/>
        <item m="1" x="16"/>
        <item m="1" x="15"/>
        <item m="1" x="22"/>
        <item m="1" x="21"/>
        <item m="1" x="20"/>
        <item m="1" x="19"/>
        <item m="1" x="26"/>
        <item m="1" x="25"/>
        <item m="1" x="24"/>
        <item m="1" x="23"/>
        <item m="1" x="30"/>
        <item m="1" x="29"/>
        <item m="1" x="28"/>
        <item m="1" x="27"/>
        <item m="1" x="75"/>
        <item m="1" x="77"/>
        <item m="1" x="34"/>
        <item m="1" x="47"/>
        <item m="1" x="61"/>
        <item m="1" x="64"/>
        <item m="1" x="80"/>
        <item m="1" x="37"/>
        <item m="1" x="50"/>
        <item m="1" x="76"/>
        <item m="1" x="33"/>
        <item m="1" x="46"/>
        <item m="1" x="38"/>
        <item m="1" x="53"/>
        <item m="1" x="68"/>
        <item m="1" x="84"/>
        <item m="1" x="59"/>
        <item m="1" x="73"/>
        <item m="1" x="31"/>
        <item m="1" x="56"/>
        <item m="1" x="60"/>
        <item m="1" x="74"/>
        <item m="1" x="32"/>
        <item m="1" x="45"/>
        <item m="1" x="35"/>
        <item m="1" x="48"/>
        <item m="1" x="62"/>
        <item m="1" x="78"/>
        <item m="1" x="71"/>
        <item m="1" x="87"/>
        <item m="1" x="43"/>
        <item m="1" x="67"/>
        <item m="1" x="83"/>
        <item m="1" x="63"/>
        <item m="1" x="79"/>
        <item m="1" x="36"/>
        <item m="1" x="49"/>
        <item m="1" x="52"/>
        <item m="1" x="66"/>
        <item m="1" x="82"/>
        <item m="1" x="39"/>
        <item m="1" x="54"/>
        <item m="1" x="69"/>
        <item m="1" x="85"/>
        <item m="1" x="40"/>
        <item m="1" x="51"/>
        <item m="1" x="65"/>
        <item m="1" x="81"/>
        <item m="1" x="70"/>
        <item m="1" x="86"/>
        <item m="1" x="41"/>
        <item m="1" x="55"/>
        <item m="1" x="42"/>
        <item m="1" x="57"/>
        <item m="1" x="72"/>
        <item m="1" x="88"/>
        <item m="1" x="44"/>
        <item m="1" x="58"/>
        <item t="default"/>
      </items>
    </pivotField>
    <pivotField axis="axisRow" showAll="0" sortType="ascending">
      <items count="23">
        <item m="1" x="16"/>
        <item m="1" x="20"/>
        <item m="1" x="21"/>
        <item m="1" x="19"/>
        <item m="1" x="18"/>
        <item m="1" x="17"/>
        <item x="6"/>
        <item x="7"/>
        <item x="0"/>
        <item x="1"/>
        <item x="5"/>
        <item x="8"/>
        <item x="9"/>
        <item x="3"/>
        <item x="2"/>
        <item x="4"/>
        <item x="10"/>
        <item x="11"/>
        <item x="12"/>
        <item x="13"/>
        <item x="14"/>
        <item x="15"/>
        <item t="default"/>
      </items>
    </pivotField>
    <pivotField axis="axisPage" showAll="0">
      <items count="189">
        <item m="1" x="100"/>
        <item m="1" x="159"/>
        <item m="1" x="172"/>
        <item x="20"/>
        <item x="15"/>
        <item m="1" x="93"/>
        <item m="1" x="80"/>
        <item m="1" x="85"/>
        <item m="1" x="90"/>
        <item x="6"/>
        <item m="1" x="78"/>
        <item x="59"/>
        <item x="56"/>
        <item x="30"/>
        <item x="42"/>
        <item x="8"/>
        <item x="33"/>
        <item m="1" x="126"/>
        <item m="1" x="154"/>
        <item m="1" x="168"/>
        <item m="1" x="185"/>
        <item x="26"/>
        <item m="1" x="128"/>
        <item m="1" x="146"/>
        <item m="1" x="107"/>
        <item m="1" x="116"/>
        <item m="1" x="173"/>
        <item m="1" x="171"/>
        <item m="1" x="169"/>
        <item m="1" x="158"/>
        <item m="1" x="131"/>
        <item m="1" x="161"/>
        <item m="1" x="145"/>
        <item m="1" x="177"/>
        <item m="1" x="157"/>
        <item m="1" x="81"/>
        <item m="1" x="134"/>
        <item x="11"/>
        <item x="2"/>
        <item x="35"/>
        <item x="31"/>
        <item x="47"/>
        <item x="43"/>
        <item m="1" x="111"/>
        <item m="1" x="138"/>
        <item m="1" x="82"/>
        <item m="1" x="152"/>
        <item m="1" x="129"/>
        <item m="1" x="166"/>
        <item m="1" x="149"/>
        <item m="1" x="170"/>
        <item m="1" x="117"/>
        <item m="1" x="76"/>
        <item m="1" x="112"/>
        <item m="1" x="77"/>
        <item m="1" x="155"/>
        <item m="1" x="125"/>
        <item m="1" x="132"/>
        <item m="1" x="186"/>
        <item m="1" x="150"/>
        <item x="38"/>
        <item m="1" x="99"/>
        <item m="1" x="179"/>
        <item x="19"/>
        <item m="1" x="181"/>
        <item x="37"/>
        <item x="28"/>
        <item x="0"/>
        <item m="1" x="156"/>
        <item m="1" x="89"/>
        <item m="1" x="144"/>
        <item m="1" x="122"/>
        <item m="1" x="108"/>
        <item m="1" x="148"/>
        <item m="1" x="139"/>
        <item m="1" x="94"/>
        <item m="1" x="187"/>
        <item m="1" x="142"/>
        <item m="1" x="133"/>
        <item m="1" x="167"/>
        <item m="1" x="96"/>
        <item x="44"/>
        <item m="1" x="180"/>
        <item m="1" x="178"/>
        <item m="1" x="175"/>
        <item m="1" x="123"/>
        <item m="1" x="162"/>
        <item m="1" x="151"/>
        <item m="1" x="119"/>
        <item m="1" x="106"/>
        <item m="1" x="114"/>
        <item m="1" x="121"/>
        <item m="1" x="118"/>
        <item m="1" x="72"/>
        <item m="1" x="163"/>
        <item m="1" x="109"/>
        <item m="1" x="147"/>
        <item m="1" x="143"/>
        <item m="1" x="73"/>
        <item m="1" x="183"/>
        <item x="54"/>
        <item m="1" x="160"/>
        <item m="1" x="92"/>
        <item m="1" x="115"/>
        <item m="1" x="182"/>
        <item x="53"/>
        <item x="29"/>
        <item m="1" x="153"/>
        <item m="1" x="124"/>
        <item x="48"/>
        <item m="1" x="98"/>
        <item m="1" x="140"/>
        <item x="55"/>
        <item m="1" x="164"/>
        <item x="4"/>
        <item x="14"/>
        <item x="12"/>
        <item m="1" x="135"/>
        <item m="1" x="136"/>
        <item m="1" x="137"/>
        <item m="1" x="141"/>
        <item m="1" x="104"/>
        <item m="1" x="102"/>
        <item m="1" x="103"/>
        <item m="1" x="88"/>
        <item m="1" x="130"/>
        <item x="49"/>
        <item m="1" x="110"/>
        <item m="1" x="165"/>
        <item m="1" x="176"/>
        <item x="50"/>
        <item m="1" x="184"/>
        <item m="1" x="174"/>
        <item m="1" x="101"/>
        <item m="1" x="113"/>
        <item m="1" x="79"/>
        <item x="22"/>
        <item m="1" x="120"/>
        <item m="1" x="127"/>
        <item m="1" x="86"/>
        <item x="23"/>
        <item x="1"/>
        <item m="1" x="87"/>
        <item m="1" x="71"/>
        <item m="1" x="105"/>
        <item m="1" x="95"/>
        <item m="1" x="83"/>
        <item m="1" x="97"/>
        <item m="1" x="91"/>
        <item x="17"/>
        <item m="1" x="70"/>
        <item m="1" x="75"/>
        <item x="51"/>
        <item m="1" x="84"/>
        <item x="60"/>
        <item x="3"/>
        <item x="41"/>
        <item x="9"/>
        <item x="27"/>
        <item m="1" x="68"/>
        <item m="1" x="69"/>
        <item m="1" x="67"/>
        <item x="13"/>
        <item x="25"/>
        <item x="52"/>
        <item x="16"/>
        <item x="39"/>
        <item m="1" x="74"/>
        <item x="18"/>
        <item x="5"/>
        <item x="34"/>
        <item x="66"/>
        <item x="21"/>
        <item x="7"/>
        <item x="63"/>
        <item x="57"/>
        <item x="58"/>
        <item x="45"/>
        <item x="24"/>
        <item x="36"/>
        <item x="46"/>
        <item x="40"/>
        <item x="32"/>
        <item x="10"/>
        <item x="61"/>
        <item x="62"/>
        <item x="64"/>
        <item x="65"/>
        <item t="default"/>
      </items>
    </pivotField>
    <pivotField showAll="0"/>
    <pivotField showAll="0"/>
    <pivotField axis="axisPage" showAll="0">
      <items count="74">
        <item m="1" x="55"/>
        <item m="1" x="62"/>
        <item m="1" x="69"/>
        <item x="8"/>
        <item x="23"/>
        <item m="1" x="57"/>
        <item x="19"/>
        <item m="1" x="43"/>
        <item m="1" x="38"/>
        <item m="1" x="52"/>
        <item x="16"/>
        <item m="1" x="51"/>
        <item x="4"/>
        <item x="22"/>
        <item x="24"/>
        <item m="1" x="44"/>
        <item m="1" x="36"/>
        <item m="1" x="53"/>
        <item m="1" x="48"/>
        <item x="3"/>
        <item m="1" x="58"/>
        <item m="1" x="49"/>
        <item m="1" x="65"/>
        <item x="30"/>
        <item x="7"/>
        <item m="1" x="41"/>
        <item x="27"/>
        <item x="1"/>
        <item x="10"/>
        <item x="0"/>
        <item m="1" x="42"/>
        <item m="1" x="61"/>
        <item m="1" x="60"/>
        <item x="20"/>
        <item m="1" x="63"/>
        <item m="1" x="72"/>
        <item m="1" x="71"/>
        <item x="5"/>
        <item x="12"/>
        <item m="1" x="70"/>
        <item m="1" x="68"/>
        <item x="13"/>
        <item m="1" x="64"/>
        <item x="18"/>
        <item m="1" x="67"/>
        <item m="1" x="40"/>
        <item x="14"/>
        <item m="1" x="66"/>
        <item m="1" x="59"/>
        <item x="29"/>
        <item x="6"/>
        <item m="1" x="56"/>
        <item m="1" x="50"/>
        <item x="15"/>
        <item m="1" x="39"/>
        <item m="1" x="54"/>
        <item x="9"/>
        <item m="1" x="46"/>
        <item m="1" x="45"/>
        <item x="11"/>
        <item m="1" x="47"/>
        <item x="2"/>
        <item x="21"/>
        <item x="17"/>
        <item m="1" x="33"/>
        <item m="1" x="34"/>
        <item m="1" x="35"/>
        <item m="1" x="37"/>
        <item x="28"/>
        <item m="1" x="32"/>
        <item x="25"/>
        <item x="26"/>
        <item m="1" x="31"/>
        <item t="default"/>
      </items>
    </pivotField>
    <pivotField dataField="1" dragToRow="0" dragToCol="0" dragToPage="0" showAll="0" defaultSubtotal="0"/>
  </pivotFields>
  <rowFields count="1">
    <field x="1"/>
  </rowFields>
  <rowItems count="15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pageFields count="2">
    <pageField fld="5" item="3" hier="-1"/>
    <pageField fld="2" hier="-1"/>
  </pageFields>
  <dataFields count="1">
    <dataField name="Soma de %ALÔ" fld="6" baseField="1" baseItem="5" numFmtId="10"/>
  </dataFields>
  <chartFormats count="108"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3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3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3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3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3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3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3" format="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3" format="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3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3" format="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3" format="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3" format="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3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3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3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3" format="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3" format="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3" format="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3" format="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3" format="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3" format="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3" format="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3" format="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3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3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3" format="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3" format="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3" format="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3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3" format="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3" format="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3" format="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3" format="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3" format="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3" format="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3" format="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3" format="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3" format="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3" format="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3" format="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3" format="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3" format="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3" format="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1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1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1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1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1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1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B34E60-E150-4459-91E1-A7B6486D373D}" name="Tabela dinâmica3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7" indent="0" outline="1" outlineData="1" multipleFieldFilters="0">
  <location ref="C1:C2" firstHeaderRow="1" firstDataRow="1" firstDataCol="1"/>
  <pivotFields count="1">
    <pivotField axis="axisRow" showAll="0" sortType="descending">
      <items count="5">
        <item n="Volume - Qtd." x="0"/>
        <item n="Volume - %" h="1" x="1"/>
        <item h="1" x="2"/>
        <item h="1" m="1" x="3"/>
        <item t="default"/>
      </items>
    </pivotField>
  </pivotFields>
  <rowFields count="1">
    <field x="0"/>
  </rowFields>
  <rowItems count="1">
    <i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LECOM" connectionId="3" xr16:uid="{7E40F6D2-0E8D-4206-B90A-6524670C3612}" autoFormatId="16" applyNumberFormats="0" applyBorderFormats="0" applyFontFormats="0" applyPatternFormats="0" applyAlignmentFormats="0" applyWidthHeightFormats="0">
  <queryTableRefresh nextId="7">
    <queryTableFields count="6">
      <queryTableField id="1" name="Data" tableColumnId="1"/>
      <queryTableField id="2" name="HORA" tableColumnId="2"/>
      <queryTableField id="3" name="OPERADORA" tableColumnId="3"/>
      <queryTableField id="4" name="-ATENDIDO TOTAL" tableColumnId="4"/>
      <queryTableField id="5" name="-ALÔ" tableColumnId="5"/>
      <queryTableField id="6" name="CARTEIRA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ILA" xr10:uid="{746B303C-08E5-499C-8C28-B06B63A70167}" sourceName="FILA">
  <pivotTables>
    <pivotTable tabId="1" name="din_capa"/>
  </pivotTables>
  <data>
    <tabular pivotCacheId="1138900983" showMissing="0">
      <items count="389">
        <i x="169" s="1"/>
        <i x="153" s="1"/>
        <i x="261" s="1"/>
        <i x="279" s="1"/>
        <i x="288" s="1"/>
        <i x="170" s="1"/>
        <i x="280" s="1"/>
        <i x="305" s="1" nd="1"/>
        <i x="268" s="1" nd="1"/>
        <i x="61" s="1" nd="1"/>
        <i x="285" s="1" nd="1"/>
        <i x="290" s="1" nd="1"/>
        <i x="198" s="1" nd="1"/>
        <i x="72" s="1" nd="1"/>
        <i x="259" s="1" nd="1"/>
        <i x="160" s="1" nd="1"/>
        <i x="213" s="1" nd="1"/>
        <i x="67" s="1" nd="1"/>
        <i x="143" s="1" nd="1"/>
        <i x="180" s="1" nd="1"/>
        <i x="78" s="1" nd="1"/>
        <i x="79" s="1" nd="1"/>
        <i x="144" s="1" nd="1"/>
        <i x="80" s="1" nd="1"/>
        <i x="181" s="1" nd="1"/>
        <i x="145" s="1" nd="1"/>
        <i x="182" s="1" nd="1"/>
        <i x="133" s="1" nd="1"/>
        <i x="81" s="1" nd="1"/>
        <i x="257" s="1" nd="1"/>
        <i x="151" s="1" nd="1"/>
        <i x="176" s="1" nd="1"/>
        <i x="68" s="1" nd="1"/>
        <i x="17" s="1" nd="1"/>
        <i x="134" s="1" nd="1"/>
        <i x="265" s="1" nd="1"/>
        <i x="69" s="1" nd="1"/>
        <i x="135" s="1" nd="1"/>
        <i x="98" s="1" nd="1"/>
        <i x="209" s="1" nd="1"/>
        <i x="47" s="1" nd="1"/>
        <i x="70" s="1" nd="1"/>
        <i x="214" s="1" nd="1"/>
        <i x="115" s="1" nd="1"/>
        <i x="62" s="1" nd="1"/>
        <i x="173" s="1" nd="1"/>
        <i x="116" s="1" nd="1"/>
        <i x="253" s="1" nd="1"/>
        <i x="63" s="1" nd="1"/>
        <i x="243" s="1" nd="1"/>
        <i x="231" s="1" nd="1"/>
        <i x="48" s="1" nd="1"/>
        <i x="246" s="1" nd="1"/>
        <i x="49" s="1" nd="1"/>
        <i x="117" s="1" nd="1"/>
        <i x="50" s="1" nd="1"/>
        <i x="71" s="1" nd="1"/>
        <i x="302" s="1" nd="1"/>
        <i x="161" s="1" nd="1"/>
        <i x="219" s="1" nd="1"/>
        <i x="34" s="1" nd="1"/>
        <i x="191" s="1" nd="1"/>
        <i x="242" s="1" nd="1"/>
        <i x="199" s="1" nd="1"/>
        <i x="296" s="1" nd="1"/>
        <i x="124" s="1" nd="1"/>
        <i x="264" s="1" nd="1"/>
        <i x="294" s="1" nd="1"/>
        <i x="292" s="1" nd="1"/>
        <i x="192" s="1" nd="1"/>
        <i x="282" s="1" nd="1"/>
        <i x="172" s="1" nd="1"/>
        <i x="125" s="1" nd="1"/>
        <i x="126" s="1" nd="1"/>
        <i x="20" s="1" nd="1"/>
        <i x="269" s="1" nd="1"/>
        <i x="270" s="1" nd="1"/>
        <i x="221" s="1" nd="1"/>
        <i x="215" s="1" nd="1"/>
        <i x="299" s="1" nd="1"/>
        <i x="228" s="1" nd="1"/>
        <i x="210" s="1" nd="1"/>
        <i x="222" s="1" nd="1"/>
        <i x="273" s="1" nd="1"/>
        <i x="94" s="1" nd="1"/>
        <i x="82" s="1" nd="1"/>
        <i x="83" s="1" nd="1"/>
        <i x="249" s="1" nd="1"/>
        <i x="152" s="1" nd="1"/>
        <i x="42" s="1" nd="1"/>
        <i x="127" s="1" nd="1"/>
        <i x="293" s="1" nd="1"/>
        <i x="64" s="1" nd="1"/>
        <i x="113" s="1" nd="1"/>
        <i x="44" s="1" nd="1"/>
        <i x="45" s="1" nd="1"/>
        <i x="46" s="1" nd="1"/>
        <i x="166" s="1" nd="1"/>
        <i x="207" s="1" nd="1"/>
        <i x="227" s="1" nd="1"/>
        <i x="43" s="1" nd="1"/>
        <i x="129" s="1" nd="1"/>
        <i x="130" s="1" nd="1"/>
        <i x="122" s="1" nd="1"/>
        <i x="66" s="1" nd="1"/>
        <i x="252" s="1" nd="1"/>
        <i x="225" s="1" nd="1"/>
        <i x="38" s="1" nd="1"/>
        <i x="208" s="1" nd="1"/>
        <i x="206" s="1" nd="1"/>
        <i x="230" s="1" nd="1"/>
        <i x="276" s="1" nd="1"/>
        <i x="165" s="1" nd="1"/>
        <i x="114" s="1" nd="1"/>
        <i x="162" s="1" nd="1"/>
        <i x="73" s="1" nd="1"/>
        <i x="175" s="1" nd="1"/>
        <i x="220" s="1" nd="1"/>
        <i x="300" s="1" nd="1"/>
        <i x="167" s="1" nd="1"/>
        <i x="168" s="1" nd="1"/>
        <i x="132" s="1" nd="1"/>
        <i x="21" s="1" nd="1"/>
        <i x="86" s="1" nd="1"/>
        <i x="224" s="1" nd="1"/>
        <i x="229" s="1" nd="1"/>
        <i x="10" s="1" nd="1"/>
        <i x="22" s="1" nd="1"/>
        <i x="87" s="1" nd="1"/>
        <i x="154" s="1" nd="1"/>
        <i x="9" s="1" nd="1"/>
        <i x="24" s="1" nd="1"/>
        <i x="25" s="1" nd="1"/>
        <i x="0" s="1" nd="1"/>
        <i x="177" s="1" nd="1"/>
        <i x="3" s="1" nd="1"/>
        <i x="238" s="1" nd="1"/>
        <i x="136" s="1" nd="1"/>
        <i x="223" s="1" nd="1"/>
        <i x="216" s="1" nd="1"/>
        <i x="4" s="1" nd="1"/>
        <i x="1" s="1" nd="1"/>
        <i x="65" s="1" nd="1"/>
        <i x="236" s="1" nd="1"/>
        <i x="7" s="1" nd="1"/>
        <i x="255" s="1" nd="1"/>
        <i x="203" s="1" nd="1"/>
        <i x="271" s="1" nd="1"/>
        <i x="28" s="1" nd="1"/>
        <i x="159" s="1" nd="1"/>
        <i x="29" s="1" nd="1"/>
        <i x="107" s="1" nd="1"/>
        <i x="108" s="1" nd="1"/>
        <i x="30" s="1" nd="1"/>
        <i x="109" s="1" nd="1"/>
        <i x="174" s="1" nd="1"/>
        <i x="128" s="1" nd="1"/>
        <i x="90" s="1" nd="1"/>
        <i x="146" s="1" nd="1"/>
        <i x="147" s="1" nd="1"/>
        <i x="84" s="1" nd="1"/>
        <i x="286" s="1" nd="1"/>
        <i x="99" s="1" nd="1"/>
        <i x="39" s="1" nd="1"/>
        <i x="11" s="1" nd="1"/>
        <i x="281" s="1" nd="1"/>
        <i x="277" s="1" nd="1"/>
        <i x="91" s="1" nd="1"/>
        <i x="85" s="1" nd="1"/>
        <i x="148" s="1" nd="1"/>
        <i x="183" s="1" nd="1"/>
        <i x="184" s="1" nd="1"/>
        <i x="95" s="1" nd="1"/>
        <i x="13" s="1" nd="1"/>
        <i x="240" s="1" nd="1"/>
        <i x="262" s="1" nd="1"/>
        <i x="275" s="1" nd="1"/>
        <i x="59" s="1" nd="1"/>
        <i x="131" s="1" nd="1"/>
        <i x="241" s="1" nd="1"/>
        <i x="171" s="1" nd="1"/>
        <i x="185" s="1" nd="1"/>
        <i x="58" s="1" nd="1"/>
        <i x="40" s="1" nd="1"/>
        <i x="41" s="1" nd="1"/>
        <i x="193" s="1" nd="1"/>
        <i x="202" s="1" nd="1"/>
        <i x="247" s="1" nd="1"/>
        <i x="111" s="1" nd="1"/>
        <i x="254" s="1" nd="1"/>
        <i x="194" s="1" nd="1"/>
        <i x="274" s="1" nd="1"/>
        <i x="164" s="1" nd="1"/>
        <i x="60" s="1" nd="1"/>
        <i x="212" s="1" nd="1"/>
        <i x="250" s="1" nd="1"/>
        <i x="187" s="1" nd="1"/>
        <i x="233" s="1" nd="1"/>
        <i x="51" s="1" nd="1"/>
        <i x="52" s="1" nd="1"/>
        <i x="237" s="1" nd="1"/>
        <i x="119" s="1" nd="1"/>
        <i x="258" s="1" nd="1"/>
        <i x="232" s="1" nd="1"/>
        <i x="287" s="1" nd="1"/>
        <i x="35" s="1" nd="1"/>
        <i x="204" s="1" nd="1"/>
        <i x="120" s="1" nd="1"/>
        <i x="57" s="1" nd="1"/>
        <i x="26" s="1" nd="1"/>
        <i x="195" s="1" nd="1"/>
        <i x="27" s="1" nd="1"/>
        <i x="157" s="1" nd="1"/>
        <i x="74" s="1" nd="1"/>
        <i x="53" s="1" nd="1"/>
        <i x="106" s="1" nd="1"/>
        <i x="75" s="1" nd="1"/>
        <i x="158" s="1" nd="1"/>
        <i x="14" s="1" nd="1"/>
        <i x="96" s="1" nd="1"/>
        <i x="196" s="1" nd="1"/>
        <i x="226" s="1" nd="1"/>
        <i x="211" s="1" nd="1"/>
        <i x="15" s="1" nd="1"/>
        <i x="76" s="1" nd="1"/>
        <i x="272" s="1" nd="1"/>
        <i x="218" s="1" nd="1"/>
        <i x="97" s="1" nd="1"/>
        <i x="54" s="1" nd="1"/>
        <i x="118" s="1" nd="1"/>
        <i x="31" s="1" nd="1"/>
        <i x="139" s="1" nd="1"/>
        <i x="155" s="1" nd="1"/>
        <i x="101" s="1" nd="1"/>
        <i x="23" s="1" nd="1"/>
        <i x="200" s="1" nd="1"/>
        <i x="16" s="1" nd="1"/>
        <i x="244" s="1" nd="1"/>
        <i x="55" s="1" nd="1"/>
        <i x="304" s="1" nd="1"/>
        <i x="301" s="1" nd="1"/>
        <i x="297" s="1" nd="1"/>
        <i x="102" s="1" nd="1"/>
        <i x="298" s="1" nd="1"/>
        <i x="140" s="1" nd="1"/>
        <i x="141" s="1" nd="1"/>
        <i x="77" s="1" nd="1"/>
        <i x="179" s="1" nd="1"/>
        <i x="190" s="1" nd="1"/>
        <i x="142" s="1" nd="1"/>
        <i x="235" s="1" nd="1"/>
        <i x="32" s="1" nd="1"/>
        <i x="33" s="1" nd="1"/>
        <i x="110" s="1" nd="1"/>
        <i x="266" s="1" nd="1"/>
        <i x="248" s="1" nd="1"/>
        <i x="267" s="1" nd="1"/>
        <i x="56" s="1" nd="1"/>
        <i x="121" s="1" nd="1"/>
        <i x="188" s="1" nd="1"/>
        <i x="18" s="1" nd="1"/>
        <i x="163" s="1" nd="1"/>
        <i x="19" s="1" nd="1"/>
        <i x="36" s="1" nd="1"/>
        <i x="260" s="1" nd="1"/>
        <i x="245" s="1" nd="1"/>
        <i x="239" s="1" nd="1"/>
        <i x="234" s="1" nd="1"/>
        <i x="37" s="1" nd="1"/>
        <i x="205" s="1" nd="1"/>
        <i x="100" s="1" nd="1"/>
        <i x="12" s="1" nd="1"/>
        <i x="278" s="1" nd="1"/>
        <i x="112" s="1" nd="1"/>
        <i x="251" s="1" nd="1"/>
        <i x="263" s="1" nd="1"/>
        <i x="92" s="1" nd="1"/>
        <i x="217" s="1" nd="1"/>
        <i x="89" s="1" nd="1"/>
        <i x="295" s="1" nd="1"/>
        <i x="283" s="1" nd="1"/>
        <i x="201" s="1" nd="1"/>
        <i x="178" s="1" nd="1"/>
        <i x="103" s="1" nd="1"/>
        <i x="256" s="1" nd="1"/>
        <i x="149" s="1" nd="1"/>
        <i x="104" s="1" nd="1"/>
        <i x="88" s="1" nd="1"/>
        <i x="186" s="1" nd="1"/>
        <i x="289" s="1" nd="1"/>
        <i x="303" s="1" nd="1"/>
        <i x="291" s="1" nd="1"/>
        <i x="150" s="1" nd="1"/>
        <i x="105" s="1" nd="1"/>
        <i x="189" s="1" nd="1"/>
        <i x="156" s="1" nd="1"/>
        <i x="5" s="1" nd="1"/>
        <i x="2" s="1" nd="1"/>
        <i x="8" s="1" nd="1"/>
        <i x="137" s="1" nd="1"/>
        <i x="284" s="1" nd="1"/>
        <i x="138" s="1" nd="1"/>
        <i x="6" s="1" nd="1"/>
        <i x="197" s="1" nd="1"/>
        <i x="123" s="1" nd="1"/>
        <i x="93" s="1" nd="1"/>
        <i x="350" s="1" nd="1"/>
        <i x="323" s="1" nd="1"/>
        <i x="324" s="1" nd="1"/>
        <i x="383" s="1" nd="1"/>
        <i x="355" s="1" nd="1"/>
        <i x="322" s="1" nd="1"/>
        <i x="313" s="1" nd="1"/>
        <i x="314" s="1" nd="1"/>
        <i x="364" s="1" nd="1"/>
        <i x="344" s="1" nd="1"/>
        <i x="381" s="1" nd="1"/>
        <i x="362" s="1" nd="1"/>
        <i x="348" s="1" nd="1"/>
        <i x="349" s="1" nd="1"/>
        <i x="312" s="1" nd="1"/>
        <i x="321" s="1" nd="1"/>
        <i x="306" s="1" nd="1"/>
        <i x="310" s="1" nd="1"/>
        <i x="388" s="1" nd="1"/>
        <i x="345" s="1" nd="1"/>
        <i x="307" s="1" nd="1"/>
        <i x="387" s="1" nd="1"/>
        <i x="325" s="1" nd="1"/>
        <i x="326" s="1" nd="1"/>
        <i x="380" s="1" nd="1"/>
        <i x="369" s="1" nd="1"/>
        <i x="340" s="1" nd="1"/>
        <i x="327" s="1" nd="1"/>
        <i x="319" s="1" nd="1"/>
        <i x="370" s="1" nd="1"/>
        <i x="361" s="1" nd="1"/>
        <i x="328" s="1" nd="1"/>
        <i x="329" s="1" nd="1"/>
        <i x="330" s="1" nd="1"/>
        <i x="331" s="1" nd="1"/>
        <i x="365" s="1" nd="1"/>
        <i x="341" s="1" nd="1"/>
        <i x="378" s="1" nd="1"/>
        <i x="309" s="1" nd="1"/>
        <i x="373" s="1" nd="1"/>
        <i x="343" s="1" nd="1"/>
        <i x="366" s="1" nd="1"/>
        <i x="371" s="1" nd="1"/>
        <i x="332" s="1" nd="1"/>
        <i x="320" s="1" nd="1"/>
        <i x="374" s="1" nd="1"/>
        <i x="386" s="1" nd="1"/>
        <i x="333" s="1" nd="1"/>
        <i x="351" s="1" nd="1"/>
        <i x="334" s="1" nd="1"/>
        <i x="384" s="1" nd="1"/>
        <i x="316" s="1" nd="1"/>
        <i x="335" s="1" nd="1"/>
        <i x="352" s="1" nd="1"/>
        <i x="308" s="1" nd="1"/>
        <i x="315" s="1" nd="1"/>
        <i x="356" s="1" nd="1"/>
        <i x="367" s="1" nd="1"/>
        <i x="368" s="1" nd="1"/>
        <i x="336" s="1" nd="1"/>
        <i x="337" s="1" nd="1"/>
        <i x="338" s="1" nd="1"/>
        <i x="376" s="1" nd="1"/>
        <i x="339" s="1" nd="1"/>
        <i x="379" s="1" nd="1"/>
        <i x="353" s="1" nd="1"/>
        <i x="363" s="1" nd="1"/>
        <i x="311" s="1" nd="1"/>
        <i x="375" s="1" nd="1"/>
        <i x="342" s="1" nd="1"/>
        <i x="347" s="1" nd="1"/>
        <i x="317" s="1" nd="1"/>
        <i x="377" s="1" nd="1"/>
        <i x="385" s="1" nd="1"/>
        <i x="318" s="1" nd="1"/>
        <i x="382" s="1" nd="1"/>
        <i x="359" s="1" nd="1"/>
        <i x="360" s="1" nd="1"/>
        <i x="354" s="1" nd="1"/>
        <i x="357" s="1" nd="1"/>
        <i x="358" s="1" nd="1"/>
        <i x="372" s="1" nd="1"/>
        <i x="34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RVIDOR" xr10:uid="{54C50A87-F85A-4878-965D-7DCB6148C71C}" sourceName="SERVIDOR">
  <pivotTables>
    <pivotTable tabId="1" name="din_capa"/>
  </pivotTables>
  <data>
    <tabular pivotCacheId="1138900983" showMissing="0">
      <items count="40">
        <i x="20" s="1"/>
        <i x="1" s="1" nd="1"/>
        <i x="29" s="1" nd="1"/>
        <i x="2" s="1" nd="1"/>
        <i x="3" s="1" nd="1"/>
        <i x="3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1" s="1" nd="1"/>
        <i x="30" s="1" nd="1"/>
        <i x="22" s="1" nd="1"/>
        <i x="23" s="1" nd="1"/>
        <i x="24" s="1" nd="1"/>
        <i x="25" s="1" nd="1"/>
        <i x="34" s="1" nd="1"/>
        <i x="31" s="1" nd="1"/>
        <i x="26" s="1" nd="1"/>
        <i x="0" s="1" nd="1"/>
        <i x="27" s="1" nd="1"/>
        <i x="28" s="1" nd="1"/>
        <i x="32" s="1" nd="1"/>
        <i x="37" s="1" nd="1"/>
        <i x="35" s="1" nd="1"/>
        <i x="36" s="1" nd="1"/>
        <i x="39" s="1" nd="1"/>
        <i x="38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AG_SUB" xr10:uid="{8814D2A1-9A3F-4A12-802F-20620568AF95}" sourceName="PAG_SUB">
  <pivotTables>
    <pivotTable tabId="1" name="din_capa"/>
  </pivotTables>
  <data>
    <tabular pivotCacheId="1138900983" showMissing="0">
      <items count="3">
        <i x="0" s="1"/>
        <i x="1" s="1" nd="1"/>
        <i x="2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HORA" xr10:uid="{3D1C0516-6BAB-484E-AEE6-DA535283D5CD}" sourceName="HORA">
  <pivotTables>
    <pivotTable tabId="1" name="din_capa"/>
  </pivotTables>
  <data>
    <tabular pivotCacheId="1138900983">
      <items count="17">
        <i x="3" s="1"/>
        <i x="4" s="1"/>
        <i x="5" s="1"/>
        <i x="6" s="1"/>
        <i x="7" s="1"/>
        <i x="8" s="1"/>
        <i x="9" s="1"/>
        <i x="10" s="1"/>
        <i x="0" s="1" nd="1"/>
        <i x="1" s="1" nd="1"/>
        <i x="2" s="1" nd="1"/>
        <i x="11" s="1" nd="1"/>
        <i x="12" s="1" nd="1"/>
        <i x="13" s="1" nd="1"/>
        <i x="14" s="1" nd="1"/>
        <i x="15" s="1" nd="1"/>
        <i x="16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7754E7CF-E04D-444D-B8EA-7225DBC45FB9}" sourceName="Tipo">
  <pivotTables>
    <pivotTable tabId="2" name="Tabela dinâmica3"/>
  </pivotTables>
  <data>
    <tabular pivotCacheId="632844036" sortOrder="descending" showMissing="0">
      <items count="4">
        <i x="0" s="1"/>
        <i x="1"/>
        <i x="2"/>
        <i x="3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ECNOLOGIA" xr10:uid="{2958B1E6-51BD-4567-A864-0206F262AF2B}" sourceName="TECNOLOGIA">
  <pivotTables>
    <pivotTable tabId="1" name="din_capa"/>
  </pivotTables>
  <data>
    <tabular pivotCacheId="1138900983" showMissing="0">
      <items count="2">
        <i x="1" s="1"/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OTA" xr10:uid="{D08CAC6D-6B8F-4C31-82D6-D6208F6B2720}" sourceName="ROTA">
  <pivotTables>
    <pivotTable tabId="1" name="din_capa"/>
  </pivotTables>
  <data>
    <tabular pivotCacheId="1138900983" showMissing="0">
      <items count="72">
        <i x="54" s="1"/>
        <i x="24" s="1"/>
        <i x="33" s="1" nd="1"/>
        <i x="34" s="1" nd="1"/>
        <i x="52" s="1" nd="1"/>
        <i x="39" s="1" nd="1"/>
        <i x="17" s="1" nd="1"/>
        <i x="15" s="1" nd="1"/>
        <i x="7" s="1" nd="1"/>
        <i x="20" s="1" nd="1"/>
        <i x="18" s="1" nd="1"/>
        <i x="4" s="1" nd="1"/>
        <i x="47" s="1" nd="1"/>
        <i x="8" s="1" nd="1"/>
        <i x="50" s="1" nd="1"/>
        <i x="46" s="1" nd="1"/>
        <i x="30" s="1" nd="1"/>
        <i x="38" s="1" nd="1"/>
        <i x="31" s="1" nd="1"/>
        <i x="45" s="1" nd="1"/>
        <i x="5" s="1" nd="1"/>
        <i x="55" s="1" nd="1"/>
        <i x="32" s="1" nd="1"/>
        <i x="56" s="1" nd="1"/>
        <i x="62" s="1" nd="1"/>
        <i x="16" s="1" nd="1"/>
        <i x="6" s="1" nd="1"/>
        <i x="49" s="1" nd="1"/>
        <i x="19" s="1" nd="1"/>
        <i x="29" s="1" nd="1"/>
        <i x="42" s="1" nd="1"/>
        <i x="36" s="1" nd="1"/>
        <i x="1" s="1" nd="1"/>
        <i x="37" s="1" nd="1"/>
        <i x="0" s="1" nd="1"/>
        <i x="40" s="1" nd="1"/>
        <i x="10" s="1" nd="1"/>
        <i x="27" s="1" nd="1"/>
        <i x="12" s="1" nd="1"/>
        <i x="60" s="1" nd="1"/>
        <i x="59" s="1" nd="1"/>
        <i x="41" s="1" nd="1"/>
        <i x="51" s="1" nd="1"/>
        <i x="14" s="1" nd="1"/>
        <i x="26" s="1" nd="1"/>
        <i x="58" s="1" nd="1"/>
        <i x="35" s="1" nd="1"/>
        <i x="57" s="1" nd="1"/>
        <i x="25" s="1" nd="1"/>
        <i x="23" s="1" nd="1"/>
        <i x="53" s="1" nd="1"/>
        <i x="21" s="1" nd="1"/>
        <i x="28" s="1" nd="1"/>
        <i x="43" s="1" nd="1"/>
        <i x="22" s="1" nd="1"/>
        <i x="13" s="1" nd="1"/>
        <i x="3" s="1" nd="1"/>
        <i x="61" s="1" nd="1"/>
        <i x="44" s="1" nd="1"/>
        <i x="2" s="1" nd="1"/>
        <i x="11" s="1" nd="1"/>
        <i x="48" s="1" nd="1"/>
        <i x="63" s="1" nd="1"/>
        <i x="9" s="1" nd="1"/>
        <i x="68" s="1" nd="1"/>
        <i x="67" s="1" nd="1"/>
        <i x="66" s="1" nd="1"/>
        <i x="64" s="1" nd="1"/>
        <i x="71" s="1" nd="1"/>
        <i x="69" s="1" nd="1"/>
        <i x="70" s="1" nd="1"/>
        <i x="65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PERADORA" xr10:uid="{D36396A1-D880-4A13-8DE5-FB68A6FBD1CA}" sourceName="OPERADORA">
  <pivotTables>
    <pivotTable tabId="1" name="din_capa"/>
  </pivotTables>
  <data>
    <tabular pivotCacheId="1138900983" showMissing="0">
      <items count="11">
        <i x="1" s="1"/>
        <i x="0" s="1"/>
        <i x="4" s="1" nd="1"/>
        <i x="9" s="1" nd="1"/>
        <i x="6" s="1" nd="1"/>
        <i x="8" s="1" nd="1"/>
        <i x="7" s="1" nd="1"/>
        <i x="3" s="1" nd="1"/>
        <i x="2" s="1" nd="1"/>
        <i x="5" s="1" nd="1"/>
        <i x="10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HORA1" xr10:uid="{4B305EDD-1A3A-4C2B-AEF4-67E074CFBF6C}" sourceName="HORA">
  <pivotTables>
    <pivotTable tabId="11" name="din_capa"/>
  </pivotTables>
  <data>
    <tabular pivotCacheId="933734651">
      <items count="23">
        <i x="14" s="1" nd="1"/>
        <i x="17" s="1" nd="1"/>
        <i x="18" s="1" nd="1"/>
        <i x="20" s="1" nd="1"/>
        <i x="22" s="1" nd="1"/>
        <i x="21" s="1" nd="1"/>
        <i x="19" s="1" nd="1"/>
        <i x="9" s="1" nd="1"/>
        <i x="8" s="1" nd="1"/>
        <i x="4" s="1" nd="1"/>
        <i x="7" s="1" nd="1"/>
        <i x="2" s="1" nd="1"/>
        <i x="5" s="1" nd="1"/>
        <i x="0" s="1" nd="1"/>
        <i x="3" s="1" nd="1"/>
        <i x="6" s="1" nd="1"/>
        <i x="1" s="1" nd="1"/>
        <i x="10" s="1" nd="1"/>
        <i x="11" s="1" nd="1"/>
        <i x="12" s="1" nd="1"/>
        <i x="13" s="1" nd="1"/>
        <i x="16" s="1" nd="1"/>
        <i x="15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RTEIRA11" xr10:uid="{DF5A5154-7E91-4E3D-91D2-6FE36DCB7C76}" sourceName="CARTEIRA">
  <pivotTables>
    <pivotTable tabId="11" name="din_capa"/>
  </pivotTables>
  <data>
    <tabular pivotCacheId="933734651">
      <items count="76">
        <i x="63" s="1" nd="1"/>
        <i x="51" s="1" nd="1"/>
        <i x="61" s="1" nd="1"/>
        <i x="72" s="1" nd="1"/>
        <i x="1" s="1" nd="1"/>
        <i x="40" s="1" nd="1"/>
        <i x="22" s="1" nd="1"/>
        <i x="58" s="1" nd="1"/>
        <i x="30" s="1" nd="1"/>
        <i x="18" s="1" nd="1"/>
        <i x="25" s="1" nd="1"/>
        <i x="68" s="1" nd="1"/>
        <i x="27" s="1" nd="1"/>
        <i x="73" s="1" nd="1"/>
        <i x="59" s="1" nd="1"/>
        <i x="39" s="1" nd="1"/>
        <i x="29" s="1" nd="1"/>
        <i x="31" s="1" nd="1"/>
        <i x="10" s="1" nd="1"/>
        <i x="47" s="1" nd="1"/>
        <i x="52" s="1" nd="1"/>
        <i x="3" s="1" nd="1"/>
        <i x="42" s="1" nd="1"/>
        <i x="2" s="1" nd="1"/>
        <i x="15" s="1" nd="1"/>
        <i x="55" s="1" nd="1"/>
        <i x="66" s="1" nd="1"/>
        <i x="67" s="1" nd="1"/>
        <i x="60" s="1" nd="1"/>
        <i x="71" s="1" nd="1"/>
        <i x="64" s="1" nd="1"/>
        <i x="23" s="1" nd="1"/>
        <i x="19" s="1" nd="1"/>
        <i x="11" s="1" nd="1"/>
        <i x="4" s="1" nd="1"/>
        <i x="34" s="1" nd="1"/>
        <i x="13" s="1" nd="1"/>
        <i x="17" s="1" nd="1"/>
        <i x="32" s="1" nd="1"/>
        <i x="38" s="1" nd="1"/>
        <i x="69" s="1" nd="1"/>
        <i x="9" s="1" nd="1"/>
        <i x="21" s="1" nd="1"/>
        <i x="16" s="1" nd="1"/>
        <i x="50" s="1" nd="1"/>
        <i x="48" s="1" nd="1"/>
        <i x="8" s="1" nd="1"/>
        <i x="53" s="1" nd="1"/>
        <i x="70" s="1" nd="1"/>
        <i x="49" s="1" nd="1"/>
        <i x="74" s="1" nd="1"/>
        <i x="37" s="1" nd="1"/>
        <i x="62" s="1" nd="1"/>
        <i x="65" s="1" nd="1"/>
        <i x="6" s="1" nd="1"/>
        <i x="7" s="1" nd="1"/>
        <i x="20" s="1" nd="1"/>
        <i x="46" s="1" nd="1"/>
        <i x="35" s="1" nd="1"/>
        <i x="24" s="1" nd="1"/>
        <i x="41" s="1" nd="1"/>
        <i x="33" s="1" nd="1"/>
        <i x="54" s="1" nd="1"/>
        <i x="14" s="1" nd="1"/>
        <i x="12" s="1" nd="1"/>
        <i x="43" s="1" nd="1"/>
        <i x="28" s="1" nd="1"/>
        <i x="5" s="1" nd="1"/>
        <i x="36" s="1" nd="1"/>
        <i x="45" s="1" nd="1"/>
        <i x="44" s="1" nd="1"/>
        <i x="56" s="1" nd="1"/>
        <i x="57" s="1" nd="1"/>
        <i x="75" s="1" nd="1"/>
        <i x="0" s="1" nd="1"/>
        <i x="26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IXO_MOVEL1" xr10:uid="{6ECE8B63-342B-423C-A897-43EE3DEB5690}" sourceName="FIXO_MOVEL">
  <pivotTables>
    <pivotTable tabId="11" name="din_capa"/>
  </pivotTables>
  <data>
    <tabular pivotCacheId="933734651" showMissing="0">
      <items count="2">
        <i x="0" s="1" nd="1"/>
        <i x="1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ILA1" xr10:uid="{2B0CF49D-B62D-4ED0-8FB4-10DC959DEC63}" sourceName="FILA">
  <pivotTables>
    <pivotTable tabId="11" name="din_capa"/>
  </pivotTables>
  <data>
    <tabular pivotCacheId="933734651" showMissing="0">
      <items count="1590">
        <i x="0" s="1" nd="1"/>
        <i x="522" s="1" nd="1"/>
        <i x="432" s="1" nd="1"/>
        <i x="1" s="1" nd="1"/>
        <i x="2" s="1" nd="1"/>
        <i x="433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434" s="1" nd="1"/>
        <i x="17" s="1" nd="1"/>
        <i x="18" s="1" nd="1"/>
        <i x="19" s="1" nd="1"/>
        <i x="20" s="1" nd="1"/>
        <i x="21" s="1" nd="1"/>
        <i x="22" s="1" nd="1"/>
        <i x="435" s="1" nd="1"/>
        <i x="23" s="1" nd="1"/>
        <i x="24" s="1" nd="1"/>
        <i x="25" s="1" nd="1"/>
        <i x="26" s="1" nd="1"/>
        <i x="27" s="1" nd="1"/>
        <i x="436" s="1" nd="1"/>
        <i x="28" s="1" nd="1"/>
        <i x="29" s="1" nd="1"/>
        <i x="30" s="1" nd="1"/>
        <i x="437" s="1" nd="1"/>
        <i x="31" s="1" nd="1"/>
        <i x="438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39" s="1" nd="1"/>
        <i x="49" s="1" nd="1"/>
        <i x="50" s="1" nd="1"/>
        <i x="51" s="1" nd="1"/>
        <i x="52" s="1" nd="1"/>
        <i x="53" s="1" nd="1"/>
        <i x="54" s="1" nd="1"/>
        <i x="430" s="1" nd="1"/>
        <i x="440" s="1" nd="1"/>
        <i x="55" s="1" nd="1"/>
        <i x="56" s="1" nd="1"/>
        <i x="57" s="1" nd="1"/>
        <i x="58" s="1" nd="1"/>
        <i x="59" s="1" nd="1"/>
        <i x="441" s="1" nd="1"/>
        <i x="60" s="1" nd="1"/>
        <i x="61" s="1" nd="1"/>
        <i x="62" s="1" nd="1"/>
        <i x="63" s="1" nd="1"/>
        <i x="64" s="1" nd="1"/>
        <i x="65" s="1" nd="1"/>
        <i x="66" s="1" nd="1"/>
        <i x="442" s="1" nd="1"/>
        <i x="523" s="1" nd="1"/>
        <i x="524" s="1" nd="1"/>
        <i x="67" s="1" nd="1"/>
        <i x="68" s="1" nd="1"/>
        <i x="69" s="1" nd="1"/>
        <i x="443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85" s="1" nd="1"/>
        <i x="86" s="1" nd="1"/>
        <i x="87" s="1" nd="1"/>
        <i x="88" s="1" nd="1"/>
        <i x="444" s="1" nd="1"/>
        <i x="89" s="1" nd="1"/>
        <i x="90" s="1" nd="1"/>
        <i x="91" s="1" nd="1"/>
        <i x="92" s="1" nd="1"/>
        <i x="445" s="1" nd="1"/>
        <i x="93" s="1" nd="1"/>
        <i x="94" s="1" nd="1"/>
        <i x="95" s="1" nd="1"/>
        <i x="96" s="1" nd="1"/>
        <i x="97" s="1" nd="1"/>
        <i x="98" s="1" nd="1"/>
        <i x="99" s="1" nd="1"/>
        <i x="446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525" s="1" nd="1"/>
        <i x="110" s="1" nd="1"/>
        <i x="111" s="1" nd="1"/>
        <i x="112" s="1" nd="1"/>
        <i x="113" s="1" nd="1"/>
        <i x="114" s="1" nd="1"/>
        <i x="115" s="1" nd="1"/>
        <i x="116" s="1" nd="1"/>
        <i x="117" s="1" nd="1"/>
        <i x="118" s="1" nd="1"/>
        <i x="119" s="1" nd="1"/>
        <i x="120" s="1" nd="1"/>
        <i x="121" s="1" nd="1"/>
        <i x="122" s="1" nd="1"/>
        <i x="123" s="1" nd="1"/>
        <i x="124" s="1" nd="1"/>
        <i x="125" s="1" nd="1"/>
        <i x="126" s="1" nd="1"/>
        <i x="127" s="1" nd="1"/>
        <i x="128" s="1" nd="1"/>
        <i x="129" s="1" nd="1"/>
        <i x="447" s="1" nd="1"/>
        <i x="130" s="1" nd="1"/>
        <i x="131" s="1" nd="1"/>
        <i x="132" s="1" nd="1"/>
        <i x="133" s="1" nd="1"/>
        <i x="134" s="1" nd="1"/>
        <i x="135" s="1" nd="1"/>
        <i x="136" s="1" nd="1"/>
        <i x="137" s="1" nd="1"/>
        <i x="138" s="1" nd="1"/>
        <i x="139" s="1" nd="1"/>
        <i x="140" s="1" nd="1"/>
        <i x="141" s="1" nd="1"/>
        <i x="142" s="1" nd="1"/>
        <i x="143" s="1" nd="1"/>
        <i x="144" s="1" nd="1"/>
        <i x="448" s="1" nd="1"/>
        <i x="145" s="1" nd="1"/>
        <i x="518" s="1" nd="1"/>
        <i x="146" s="1" nd="1"/>
        <i x="147" s="1" nd="1"/>
        <i x="148" s="1" nd="1"/>
        <i x="149" s="1" nd="1"/>
        <i x="150" s="1" nd="1"/>
        <i x="449" s="1" nd="1"/>
        <i x="151" s="1" nd="1"/>
        <i x="152" s="1" nd="1"/>
        <i x="153" s="1" nd="1"/>
        <i x="154" s="1" nd="1"/>
        <i x="155" s="1" nd="1"/>
        <i x="156" s="1" nd="1"/>
        <i x="157" s="1" nd="1"/>
        <i x="158" s="1" nd="1"/>
        <i x="450" s="1" nd="1"/>
        <i x="159" s="1" nd="1"/>
        <i x="160" s="1" nd="1"/>
        <i x="161" s="1" nd="1"/>
        <i x="162" s="1" nd="1"/>
        <i x="451" s="1" nd="1"/>
        <i x="163" s="1" nd="1"/>
        <i x="164" s="1" nd="1"/>
        <i x="452" s="1" nd="1"/>
        <i x="165" s="1" nd="1"/>
        <i x="166" s="1" nd="1"/>
        <i x="167" s="1" nd="1"/>
        <i x="453" s="1" nd="1"/>
        <i x="168" s="1" nd="1"/>
        <i x="454" s="1" nd="1"/>
        <i x="169" s="1" nd="1"/>
        <i x="170" s="1" nd="1"/>
        <i x="171" s="1" nd="1"/>
        <i x="172" s="1" nd="1"/>
        <i x="173" s="1" nd="1"/>
        <i x="174" s="1" nd="1"/>
        <i x="515" s="1" nd="1"/>
        <i x="455" s="1" nd="1"/>
        <i x="516" s="1" nd="1"/>
        <i x="456" s="1" nd="1"/>
        <i x="175" s="1" nd="1"/>
        <i x="457" s="1" nd="1"/>
        <i x="176" s="1" nd="1"/>
        <i x="177" s="1" nd="1"/>
        <i x="458" s="1" nd="1"/>
        <i x="178" s="1" nd="1"/>
        <i x="179" s="1" nd="1"/>
        <i x="180" s="1" nd="1"/>
        <i x="181" s="1" nd="1"/>
        <i x="182" s="1" nd="1"/>
        <i x="183" s="1" nd="1"/>
        <i x="459" s="1" nd="1"/>
        <i x="184" s="1" nd="1"/>
        <i x="460" s="1" nd="1"/>
        <i x="185" s="1" nd="1"/>
        <i x="186" s="1" nd="1"/>
        <i x="187" s="1" nd="1"/>
        <i x="188" s="1" nd="1"/>
        <i x="431" s="1" nd="1"/>
        <i x="189" s="1" nd="1"/>
        <i x="190" s="1" nd="1"/>
        <i x="191" s="1" nd="1"/>
        <i x="192" s="1" nd="1"/>
        <i x="535" s="1" nd="1"/>
        <i x="461" s="1" nd="1"/>
        <i x="193" s="1" nd="1"/>
        <i x="462" s="1" nd="1"/>
        <i x="463" s="1" nd="1"/>
        <i x="194" s="1" nd="1"/>
        <i x="195" s="1" nd="1"/>
        <i x="196" s="1" nd="1"/>
        <i x="521" s="1" nd="1"/>
        <i x="197" s="1" nd="1"/>
        <i x="464" s="1" nd="1"/>
        <i x="465" s="1" nd="1"/>
        <i x="198" s="1" nd="1"/>
        <i x="466" s="1" nd="1"/>
        <i x="467" s="1" nd="1"/>
        <i x="199" s="1" nd="1"/>
        <i x="200" s="1" nd="1"/>
        <i x="201" s="1" nd="1"/>
        <i x="202" s="1" nd="1"/>
        <i x="203" s="1" nd="1"/>
        <i x="204" s="1" nd="1"/>
        <i x="205" s="1" nd="1"/>
        <i x="206" s="1" nd="1"/>
        <i x="207" s="1" nd="1"/>
        <i x="208" s="1" nd="1"/>
        <i x="209" s="1" nd="1"/>
        <i x="468" s="1" nd="1"/>
        <i x="526" s="1" nd="1"/>
        <i x="469" s="1" nd="1"/>
        <i x="210" s="1" nd="1"/>
        <i x="211" s="1" nd="1"/>
        <i x="212" s="1" nd="1"/>
        <i x="213" s="1" nd="1"/>
        <i x="214" s="1" nd="1"/>
        <i x="215" s="1" nd="1"/>
        <i x="527" s="1" nd="1"/>
        <i x="216" s="1" nd="1"/>
        <i x="217" s="1" nd="1"/>
        <i x="218" s="1" nd="1"/>
        <i x="532" s="1" nd="1"/>
        <i x="219" s="1" nd="1"/>
        <i x="220" s="1" nd="1"/>
        <i x="221" s="1" nd="1"/>
        <i x="528" s="1" nd="1"/>
        <i x="222" s="1" nd="1"/>
        <i x="223" s="1" nd="1"/>
        <i x="470" s="1" nd="1"/>
        <i x="471" s="1" nd="1"/>
        <i x="472" s="1" nd="1"/>
        <i x="473" s="1" nd="1"/>
        <i x="224" s="1" nd="1"/>
        <i x="474" s="1" nd="1"/>
        <i x="475" s="1" nd="1"/>
        <i x="225" s="1" nd="1"/>
        <i x="226" s="1" nd="1"/>
        <i x="227" s="1" nd="1"/>
        <i x="228" s="1" nd="1"/>
        <i x="229" s="1" nd="1"/>
        <i x="476" s="1" nd="1"/>
        <i x="230" s="1" nd="1"/>
        <i x="231" s="1" nd="1"/>
        <i x="232" s="1" nd="1"/>
        <i x="477" s="1" nd="1"/>
        <i x="233" s="1" nd="1"/>
        <i x="234" s="1" nd="1"/>
        <i x="235" s="1" nd="1"/>
        <i x="236" s="1" nd="1"/>
        <i x="237" s="1" nd="1"/>
        <i x="238" s="1" nd="1"/>
        <i x="239" s="1" nd="1"/>
        <i x="240" s="1" nd="1"/>
        <i x="241" s="1" nd="1"/>
        <i x="242" s="1" nd="1"/>
        <i x="243" s="1" nd="1"/>
        <i x="244" s="1" nd="1"/>
        <i x="245" s="1" nd="1"/>
        <i x="246" s="1" nd="1"/>
        <i x="247" s="1" nd="1"/>
        <i x="248" s="1" nd="1"/>
        <i x="478" s="1" nd="1"/>
        <i x="249" s="1" nd="1"/>
        <i x="250" s="1" nd="1"/>
        <i x="251" s="1" nd="1"/>
        <i x="252" s="1" nd="1"/>
        <i x="253" s="1" nd="1"/>
        <i x="254" s="1" nd="1"/>
        <i x="255" s="1" nd="1"/>
        <i x="256" s="1" nd="1"/>
        <i x="257" s="1" nd="1"/>
        <i x="258" s="1" nd="1"/>
        <i x="259" s="1" nd="1"/>
        <i x="479" s="1" nd="1"/>
        <i x="480" s="1" nd="1"/>
        <i x="481" s="1" nd="1"/>
        <i x="260" s="1" nd="1"/>
        <i x="261" s="1" nd="1"/>
        <i x="262" s="1" nd="1"/>
        <i x="263" s="1" nd="1"/>
        <i x="264" s="1" nd="1"/>
        <i x="265" s="1" nd="1"/>
        <i x="519" s="1" nd="1"/>
        <i x="266" s="1" nd="1"/>
        <i x="533" s="1" nd="1"/>
        <i x="267" s="1" nd="1"/>
        <i x="268" s="1" nd="1"/>
        <i x="269" s="1" nd="1"/>
        <i x="270" s="1" nd="1"/>
        <i x="271" s="1" nd="1"/>
        <i x="272" s="1" nd="1"/>
        <i x="273" s="1" nd="1"/>
        <i x="274" s="1" nd="1"/>
        <i x="275" s="1" nd="1"/>
        <i x="276" s="1" nd="1"/>
        <i x="482" s="1" nd="1"/>
        <i x="483" s="1" nd="1"/>
        <i x="484" s="1" nd="1"/>
        <i x="277" s="1" nd="1"/>
        <i x="485" s="1" nd="1"/>
        <i x="278" s="1" nd="1"/>
        <i x="486" s="1" nd="1"/>
        <i x="279" s="1" nd="1"/>
        <i x="487" s="1" nd="1"/>
        <i x="280" s="1" nd="1"/>
        <i x="281" s="1" nd="1"/>
        <i x="488" s="1" nd="1"/>
        <i x="282" s="1" nd="1"/>
        <i x="283" s="1" nd="1"/>
        <i x="489" s="1" nd="1"/>
        <i x="284" s="1" nd="1"/>
        <i x="285" s="1" nd="1"/>
        <i x="286" s="1" nd="1"/>
        <i x="490" s="1" nd="1"/>
        <i x="491" s="1" nd="1"/>
        <i x="492" s="1" nd="1"/>
        <i x="287" s="1" nd="1"/>
        <i x="493" s="1" nd="1"/>
        <i x="288" s="1" nd="1"/>
        <i x="494" s="1" nd="1"/>
        <i x="289" s="1" nd="1"/>
        <i x="290" s="1" nd="1"/>
        <i x="495" s="1" nd="1"/>
        <i x="291" s="1" nd="1"/>
        <i x="292" s="1" nd="1"/>
        <i x="293" s="1" nd="1"/>
        <i x="294" s="1" nd="1"/>
        <i x="496" s="1" nd="1"/>
        <i x="497" s="1" nd="1"/>
        <i x="295" s="1" nd="1"/>
        <i x="296" s="1" nd="1"/>
        <i x="513" s="1" nd="1"/>
        <i x="517" s="1" nd="1"/>
        <i x="297" s="1" nd="1"/>
        <i x="298" s="1" nd="1"/>
        <i x="299" s="1" nd="1"/>
        <i x="300" s="1" nd="1"/>
        <i x="301" s="1" nd="1"/>
        <i x="302" s="1" nd="1"/>
        <i x="303" s="1" nd="1"/>
        <i x="304" s="1" nd="1"/>
        <i x="305" s="1" nd="1"/>
        <i x="306" s="1" nd="1"/>
        <i x="307" s="1" nd="1"/>
        <i x="308" s="1" nd="1"/>
        <i x="309" s="1" nd="1"/>
        <i x="310" s="1" nd="1"/>
        <i x="311" s="1" nd="1"/>
        <i x="312" s="1" nd="1"/>
        <i x="313" s="1" nd="1"/>
        <i x="498" s="1" nd="1"/>
        <i x="314" s="1" nd="1"/>
        <i x="315" s="1" nd="1"/>
        <i x="316" s="1" nd="1"/>
        <i x="317" s="1" nd="1"/>
        <i x="318" s="1" nd="1"/>
        <i x="319" s="1" nd="1"/>
        <i x="320" s="1" nd="1"/>
        <i x="321" s="1" nd="1"/>
        <i x="322" s="1" nd="1"/>
        <i x="323" s="1" nd="1"/>
        <i x="324" s="1" nd="1"/>
        <i x="325" s="1" nd="1"/>
        <i x="326" s="1" nd="1"/>
        <i x="327" s="1" nd="1"/>
        <i x="328" s="1" nd="1"/>
        <i x="329" s="1" nd="1"/>
        <i x="330" s="1" nd="1"/>
        <i x="331" s="1" nd="1"/>
        <i x="332" s="1" nd="1"/>
        <i x="333" s="1" nd="1"/>
        <i x="334" s="1" nd="1"/>
        <i x="335" s="1" nd="1"/>
        <i x="336" s="1" nd="1"/>
        <i x="337" s="1" nd="1"/>
        <i x="338" s="1" nd="1"/>
        <i x="339" s="1" nd="1"/>
        <i x="340" s="1" nd="1"/>
        <i x="341" s="1" nd="1"/>
        <i x="342" s="1" nd="1"/>
        <i x="343" s="1" nd="1"/>
        <i x="529" s="1" nd="1"/>
        <i x="344" s="1" nd="1"/>
        <i x="345" s="1" nd="1"/>
        <i x="346" s="1" nd="1"/>
        <i x="347" s="1" nd="1"/>
        <i x="348" s="1" nd="1"/>
        <i x="349" s="1" nd="1"/>
        <i x="350" s="1" nd="1"/>
        <i x="351" s="1" nd="1"/>
        <i x="352" s="1" nd="1"/>
        <i x="353" s="1" nd="1"/>
        <i x="354" s="1" nd="1"/>
        <i x="355" s="1" nd="1"/>
        <i x="356" s="1" nd="1"/>
        <i x="357" s="1" nd="1"/>
        <i x="358" s="1" nd="1"/>
        <i x="359" s="1" nd="1"/>
        <i x="360" s="1" nd="1"/>
        <i x="361" s="1" nd="1"/>
        <i x="362" s="1" nd="1"/>
        <i x="363" s="1" nd="1"/>
        <i x="364" s="1" nd="1"/>
        <i x="365" s="1" nd="1"/>
        <i x="366" s="1" nd="1"/>
        <i x="530" s="1" nd="1"/>
        <i x="367" s="1" nd="1"/>
        <i x="368" s="1" nd="1"/>
        <i x="369" s="1" nd="1"/>
        <i x="370" s="1" nd="1"/>
        <i x="371" s="1" nd="1"/>
        <i x="372" s="1" nd="1"/>
        <i x="373" s="1" nd="1"/>
        <i x="374" s="1" nd="1"/>
        <i x="375" s="1" nd="1"/>
        <i x="376" s="1" nd="1"/>
        <i x="377" s="1" nd="1"/>
        <i x="378" s="1" nd="1"/>
        <i x="379" s="1" nd="1"/>
        <i x="380" s="1" nd="1"/>
        <i x="381" s="1" nd="1"/>
        <i x="382" s="1" nd="1"/>
        <i x="383" s="1" nd="1"/>
        <i x="384" s="1" nd="1"/>
        <i x="385" s="1" nd="1"/>
        <i x="386" s="1" nd="1"/>
        <i x="387" s="1" nd="1"/>
        <i x="388" s="1" nd="1"/>
        <i x="531" s="1" nd="1"/>
        <i x="389" s="1" nd="1"/>
        <i x="390" s="1" nd="1"/>
        <i x="499" s="1" nd="1"/>
        <i x="500" s="1" nd="1"/>
        <i x="391" s="1" nd="1"/>
        <i x="392" s="1" nd="1"/>
        <i x="393" s="1" nd="1"/>
        <i x="394" s="1" nd="1"/>
        <i x="501" s="1" nd="1"/>
        <i x="395" s="1" nd="1"/>
        <i x="520" s="1" nd="1"/>
        <i x="502" s="1" nd="1"/>
        <i x="503" s="1" nd="1"/>
        <i x="396" s="1" nd="1"/>
        <i x="397" s="1" nd="1"/>
        <i x="398" s="1" nd="1"/>
        <i x="399" s="1" nd="1"/>
        <i x="400" s="1" nd="1"/>
        <i x="504" s="1" nd="1"/>
        <i x="401" s="1" nd="1"/>
        <i x="402" s="1" nd="1"/>
        <i x="403" s="1" nd="1"/>
        <i x="404" s="1" nd="1"/>
        <i x="405" s="1" nd="1"/>
        <i x="406" s="1" nd="1"/>
        <i x="407" s="1" nd="1"/>
        <i x="408" s="1" nd="1"/>
        <i x="505" s="1" nd="1"/>
        <i x="409" s="1" nd="1"/>
        <i x="410" s="1" nd="1"/>
        <i x="411" s="1" nd="1"/>
        <i x="412" s="1" nd="1"/>
        <i x="506" s="1" nd="1"/>
        <i x="413" s="1" nd="1"/>
        <i x="507" s="1" nd="1"/>
        <i x="414" s="1" nd="1"/>
        <i x="415" s="1" nd="1"/>
        <i x="508" s="1" nd="1"/>
        <i x="416" s="1" nd="1"/>
        <i x="417" s="1" nd="1"/>
        <i x="418" s="1" nd="1"/>
        <i x="419" s="1" nd="1"/>
        <i x="509" s="1" nd="1"/>
        <i x="420" s="1" nd="1"/>
        <i x="421" s="1" nd="1"/>
        <i x="422" s="1" nd="1"/>
        <i x="510" s="1" nd="1"/>
        <i x="423" s="1" nd="1"/>
        <i x="424" s="1" nd="1"/>
        <i x="425" s="1" nd="1"/>
        <i x="427" s="1" nd="1"/>
        <i x="534" s="1" nd="1"/>
        <i x="426" s="1" nd="1"/>
        <i x="514" s="1" nd="1"/>
        <i x="428" s="1" nd="1"/>
        <i x="511" s="1" nd="1"/>
        <i x="429" s="1" nd="1"/>
        <i x="512" s="1" nd="1"/>
        <i x="1241" s="1" nd="1"/>
        <i x="1252" s="1" nd="1"/>
        <i x="1271" s="1" nd="1"/>
        <i x="1280" s="1" nd="1"/>
        <i x="1289" s="1" nd="1"/>
        <i x="1309" s="1" nd="1"/>
        <i x="1342" s="1" nd="1"/>
        <i x="1368" s="1" nd="1"/>
        <i x="746" s="1" nd="1"/>
        <i x="1390" s="1" nd="1"/>
        <i x="747" s="1" nd="1"/>
        <i x="1434" s="1" nd="1"/>
        <i x="536" s="1" nd="1"/>
        <i x="718" s="1" nd="1"/>
        <i x="1533" s="1" nd="1"/>
        <i x="537" s="1" nd="1"/>
        <i x="1538" s="1" nd="1"/>
        <i x="917" s="1" nd="1"/>
        <i x="748" s="1" nd="1"/>
        <i x="1239" s="1" nd="1"/>
        <i x="1556" s="1" nd="1"/>
        <i x="1261" s="1" nd="1"/>
        <i x="1574" s="1" nd="1"/>
        <i x="1270" s="1" nd="1"/>
        <i x="749" s="1" nd="1"/>
        <i x="750" s="1" nd="1"/>
        <i x="751" s="1" nd="1"/>
        <i x="1286" s="1" nd="1"/>
        <i x="973" s="1" nd="1"/>
        <i x="1296" s="1" nd="1"/>
        <i x="980" s="1" nd="1"/>
        <i x="990" s="1" nd="1"/>
        <i x="1315" s="1" nd="1"/>
        <i x="1005" s="1" nd="1"/>
        <i x="1033" s="1" nd="1"/>
        <i x="1351" s="1" nd="1"/>
        <i x="1045" s="1" nd="1"/>
        <i x="1359" s="1" nd="1"/>
        <i x="1059" s="1" nd="1"/>
        <i x="1367" s="1" nd="1"/>
        <i x="752" s="1" nd="1"/>
        <i x="918" s="1" nd="1"/>
        <i x="1106" s="1" nd="1"/>
        <i x="538" s="1" nd="1"/>
        <i x="539" s="1" nd="1"/>
        <i x="1307" s="1" nd="1"/>
        <i x="753" s="1" nd="1"/>
        <i x="1327" s="1" nd="1"/>
        <i x="1358" s="1" nd="1"/>
        <i x="952" s="1" nd="1"/>
        <i x="754" s="1" nd="1"/>
        <i x="755" s="1" nd="1"/>
        <i x="540" s="1" nd="1"/>
        <i x="756" s="1" nd="1"/>
        <i x="1418" s="1" nd="1"/>
        <i x="1122" s="1" nd="1"/>
        <i x="1151" s="1" nd="1"/>
        <i x="1466" s="1" nd="1"/>
        <i x="1473" s="1" nd="1"/>
        <i x="1167" s="1" nd="1"/>
        <i x="919" s="1" nd="1"/>
        <i x="757" s="1" nd="1"/>
        <i x="541" s="1" nd="1"/>
        <i x="1023" s="1" nd="1"/>
        <i x="1065" s="1" nd="1"/>
        <i x="1376" s="1" nd="1"/>
        <i x="1072" s="1" nd="1"/>
        <i x="1086" s="1" nd="1"/>
        <i x="1403" s="1" nd="1"/>
        <i x="1104" s="1" nd="1"/>
        <i x="1417" s="1" nd="1"/>
        <i x="1112" s="1" nd="1"/>
        <i x="758" s="1" nd="1"/>
        <i x="1440" s="1" nd="1"/>
        <i x="1449" s="1" nd="1"/>
        <i x="1459" s="1" nd="1"/>
        <i x="759" s="1" nd="1"/>
        <i x="1211" s="1" nd="1"/>
        <i x="1532" s="1" nd="1"/>
        <i x="1229" s="1" nd="1"/>
        <i x="1548" s="1" nd="1"/>
        <i x="1238" s="1" nd="1"/>
        <i x="1555" s="1" nd="1"/>
        <i x="760" s="1" nd="1"/>
        <i x="1573" s="1" nd="1"/>
        <i x="1269" s="1" nd="1"/>
        <i x="1583" s="1" nd="1"/>
        <i x="1285" s="1" nd="1"/>
        <i x="1306" s="1" nd="1"/>
        <i x="1366" s="1" nd="1"/>
        <i x="1064" s="1" nd="1"/>
        <i x="1071" s="1" nd="1"/>
        <i x="1448" s="1" nd="1"/>
        <i x="1481" s="1" nd="1"/>
        <i x="1177" s="1" nd="1"/>
        <i x="1189" s="1" nd="1"/>
        <i x="1515" s="1" nd="1"/>
        <i x="1582" s="1" nd="1"/>
        <i x="989" s="1" nd="1"/>
        <i x="542" s="1" nd="1"/>
        <i x="1295" s="1" nd="1"/>
        <i x="979" s="1" nd="1"/>
        <i x="1305" s="1" nd="1"/>
        <i x="913" s="1" nd="1"/>
        <i x="916" s="1" nd="1"/>
        <i x="1058" s="1" nd="1"/>
        <i x="761" s="1" nd="1"/>
        <i x="1402" s="1" nd="1"/>
        <i x="1103" s="1" nd="1"/>
        <i x="1429" s="1" nd="1"/>
        <i x="1439" s="1" nd="1"/>
        <i x="762" s="1" nd="1"/>
        <i x="763" s="1" nd="1"/>
        <i x="1457" s="1" nd="1"/>
        <i x="1149" s="1" nd="1"/>
        <i x="910" s="1" nd="1"/>
        <i x="1155" s="1" nd="1"/>
        <i x="719" s="1" nd="1"/>
        <i x="543" s="1" nd="1"/>
        <i x="544" s="1" nd="1"/>
        <i x="1520" s="1" nd="1"/>
        <i x="1530" s="1" nd="1"/>
        <i x="1217" s="1" nd="1"/>
        <i x="1225" s="1" nd="1"/>
        <i x="1022" s="1" nd="1"/>
        <i x="1338" s="1" nd="1"/>
        <i x="1032" s="1" nd="1"/>
        <i x="1348" s="1" nd="1"/>
        <i x="1044" s="1" nd="1"/>
        <i x="1356" s="1" nd="1"/>
        <i x="1057" s="1" nd="1"/>
        <i x="1529" s="1" nd="1"/>
        <i x="1216" s="1" nd="1"/>
        <i x="1277" s="1" nd="1"/>
        <i x="764" s="1" nd="1"/>
        <i x="1314" s="1" nd="1"/>
        <i x="1003" s="1" nd="1"/>
        <i x="953" s="1" nd="1"/>
        <i x="1021" s="1" nd="1"/>
        <i x="1546" s="1" nd="1"/>
        <i x="1427" s="1" nd="1"/>
        <i x="1518" s="1" nd="1"/>
        <i x="1552" s="1" nd="1"/>
        <i x="1247" s="1" nd="1"/>
        <i x="545" s="1" nd="1"/>
        <i x="546" s="1" nd="1"/>
        <i x="972" s="1" nd="1"/>
        <i x="977" s="1" nd="1"/>
        <i x="985" s="1" nd="1"/>
        <i x="1001" s="1" nd="1"/>
        <i x="1029" s="1" nd="1"/>
        <i x="1053" s="1" nd="1"/>
        <i x="1069" s="1" nd="1"/>
        <i x="1074" s="1" nd="1"/>
        <i x="1128" s="1" nd="1"/>
        <i x="1146" s="1" nd="1"/>
        <i x="547" s="1" nd="1"/>
        <i x="1544" s="1" nd="1"/>
        <i x="1581" s="1" nd="1"/>
        <i x="1463" s="1" nd="1"/>
        <i x="765" s="1" nd="1"/>
        <i x="548" s="1" nd="1"/>
        <i x="766" s="1" nd="1"/>
        <i x="954" s="1" nd="1"/>
        <i x="767" s="1" nd="1"/>
        <i x="1504" s="1" nd="1"/>
        <i x="768" s="1" nd="1"/>
        <i x="1204" s="1" nd="1"/>
        <i x="1209" s="1" nd="1"/>
        <i x="1527" s="1" nd="1"/>
        <i x="1215" s="1" nd="1"/>
        <i x="769" s="1" nd="1"/>
        <i x="1221" s="1" nd="1"/>
        <i x="770" s="1" nd="1"/>
        <i x="1234" s="1" nd="1"/>
        <i x="1551" s="1" nd="1"/>
        <i x="771" s="1" nd="1"/>
        <i x="772" s="1" nd="1"/>
        <i x="1259" s="1" nd="1"/>
        <i x="773" s="1" nd="1"/>
        <i x="774" s="1" nd="1"/>
        <i x="999" s="1" nd="1"/>
        <i x="1321" s="1" nd="1"/>
        <i x="1018" s="1" nd="1"/>
        <i x="1231" s="1" nd="1"/>
        <i x="1080" s="1" nd="1"/>
        <i x="1393" s="1" nd="1"/>
        <i x="1251" s="1" nd="1"/>
        <i x="1410" s="1" nd="1"/>
        <i x="1278" s="1" nd="1"/>
        <i x="1442" s="1" nd="1"/>
        <i x="1138" s="1" nd="1"/>
        <i x="1287" s="1" nd="1"/>
        <i x="1452" s="1" nd="1"/>
        <i x="1144" s="1" nd="1"/>
        <i x="981" s="1" nd="1"/>
        <i x="1308" s="1" nd="1"/>
        <i x="1468" s="1" nd="1"/>
        <i x="991" s="1" nd="1"/>
        <i x="1162" s="1" nd="1"/>
        <i x="1316" s="1" nd="1"/>
        <i x="1475" s="1" nd="1"/>
        <i x="1006" s="1" nd="1"/>
        <i x="549" s="1" nd="1"/>
        <i x="1183" s="1" nd="1"/>
        <i x="1341" s="1" nd="1"/>
        <i x="775" s="1" nd="1"/>
        <i x="1046" s="1" nd="1"/>
        <i x="715" s="1" nd="1"/>
        <i x="776" s="1" nd="1"/>
        <i x="777" s="1" nd="1"/>
        <i x="778" s="1" nd="1"/>
        <i x="779" s="1" nd="1"/>
        <i x="780" s="1" nd="1"/>
        <i x="781" s="1" nd="1"/>
        <i x="782" s="1" nd="1"/>
        <i x="783" s="1" nd="1"/>
        <i x="784" s="1" nd="1"/>
        <i x="550" s="1" nd="1"/>
        <i x="1328" s="1" nd="1"/>
        <i x="1182" s="1" nd="1"/>
        <i x="1339" s="1" nd="1"/>
        <i x="1503" s="1" nd="1"/>
        <i x="1196" s="1" nd="1"/>
        <i x="551" s="1" nd="1"/>
        <i x="552" s="1" nd="1"/>
        <i x="1501" s="1" nd="1"/>
        <i x="1401" s="1" nd="1"/>
        <i x="1102" s="1" nd="1"/>
        <i x="1416" s="1" nd="1"/>
        <i x="785" s="1" nd="1"/>
        <i x="1161" s="1" nd="1"/>
        <i x="553" s="1" nd="1"/>
        <i x="717" s="1" nd="1"/>
        <i x="1485" s="1" nd="1"/>
        <i x="554" s="1" nd="1"/>
        <i x="1499" s="1" nd="1"/>
        <i x="1193" s="1" nd="1"/>
        <i x="1043" s="1" nd="1"/>
        <i x="555" s="1" nd="1"/>
        <i x="556" s="1" nd="1"/>
        <i x="1056" s="1" nd="1"/>
        <i x="920" s="1" nd="1"/>
        <i x="786" s="1" nd="1"/>
        <i x="951" s="1" nd="1"/>
        <i x="557" s="1" nd="1"/>
        <i x="558" s="1" nd="1"/>
        <i x="559" s="1" nd="1"/>
        <i x="1428" s="1" nd="1"/>
        <i x="787" s="1" nd="1"/>
        <i x="788" s="1" nd="1"/>
        <i x="1438" s="1" nd="1"/>
        <i x="789" s="1" nd="1"/>
        <i x="1132" s="1" nd="1"/>
        <i x="790" s="1" nd="1"/>
        <i x="791" s="1" nd="1"/>
        <i x="1140" s="1" nd="1"/>
        <i x="560" s="1" nd="1"/>
        <i x="792" s="1" nd="1"/>
        <i x="744" s="1" nd="1"/>
        <i x="921" s="1" nd="1"/>
        <i x="561" s="1" nd="1"/>
        <i x="1362" s="1" nd="1"/>
        <i x="562" s="1" nd="1"/>
        <i x="793" s="1" nd="1"/>
        <i x="563" s="1" nd="1"/>
        <i x="564" s="1" nd="1"/>
        <i x="1441" s="1" nd="1"/>
        <i x="1461" s="1" nd="1"/>
        <i x="978" s="1" nd="1"/>
        <i x="565" s="1" nd="1"/>
        <i x="1510" s="1" nd="1"/>
        <i x="566" s="1" nd="1"/>
        <i x="567" s="1" nd="1"/>
        <i x="1345" s="1" nd="1"/>
        <i x="568" s="1" nd="1"/>
        <i x="569" s="1" nd="1"/>
        <i x="570" s="1" nd="1"/>
        <i x="1047" s="1" nd="1"/>
        <i x="571" s="1" nd="1"/>
        <i x="794" s="1" nd="1"/>
        <i x="795" s="1" nd="1"/>
        <i x="796" s="1" nd="1"/>
        <i x="797" s="1" nd="1"/>
        <i x="704" s="1" nd="1"/>
        <i x="572" s="1" nd="1"/>
        <i x="1121" s="1" nd="1"/>
        <i x="798" s="1" nd="1"/>
        <i x="573" s="1" nd="1"/>
        <i x="1297" s="1" nd="1"/>
        <i x="713" s="1" nd="1"/>
        <i x="1070" s="1" nd="1"/>
        <i x="574" s="1" nd="1"/>
        <i x="1398" s="1" nd="1"/>
        <i x="994" s="1" nd="1"/>
        <i x="1175" s="1" nd="1"/>
        <i x="1490" s="1" nd="1"/>
        <i x="964" s="1" nd="1"/>
        <i x="1360" s="1" nd="1"/>
        <i x="1210" s="1" nd="1"/>
        <i x="1369" s="1" nd="1"/>
        <i x="922" s="1" nd="1"/>
        <i x="1223" s="1" nd="1"/>
        <i x="1152" s="1" nd="1"/>
        <i x="575" s="1" nd="1"/>
        <i x="1382" s="1" nd="1"/>
        <i x="799" s="1" nd="1"/>
        <i x="1088" s="1" nd="1"/>
        <i x="576" s="1" nd="1"/>
        <i x="800" s="1" nd="1"/>
        <i x="577" s="1" nd="1"/>
        <i x="578" s="1" nd="1"/>
        <i x="1126" s="1" nd="1"/>
        <i x="1275" s="1" nd="1"/>
        <i x="963" s="1" nd="1"/>
        <i x="1450" s="1" nd="1"/>
        <i x="1294" s="1" nd="1"/>
        <i x="579" s="1" nd="1"/>
        <i x="580" s="1" nd="1"/>
        <i x="581" s="1" nd="1"/>
        <i x="1000" s="1" nd="1"/>
        <i x="1169" s="1" nd="1"/>
        <i x="720" s="1" nd="1"/>
        <i x="1019" s="1" nd="1"/>
        <i x="582" s="1" nd="1"/>
        <i x="583" s="1" nd="1"/>
        <i x="584" s="1" nd="1"/>
        <i x="585" s="1" nd="1"/>
        <i x="586" s="1" nd="1"/>
        <i x="587" s="1" nd="1"/>
        <i x="801" s="1" nd="1"/>
        <i x="721" s="1" nd="1"/>
        <i x="588" s="1" nd="1"/>
        <i x="589" s="1" nd="1"/>
        <i x="1387" s="1" nd="1"/>
        <i x="590" s="1" nd="1"/>
        <i x="1246" s="1" nd="1"/>
        <i x="722" s="1" nd="1"/>
        <i x="591" s="1" nd="1"/>
        <i x="592" s="1" nd="1"/>
        <i x="593" s="1" nd="1"/>
        <i x="594" s="1" nd="1"/>
        <i x="1451" s="1" nd="1"/>
        <i x="1303" s="1" nd="1"/>
        <i x="1381" s="1" nd="1"/>
        <i x="1543" s="1" nd="1"/>
        <i x="987" s="1" nd="1"/>
        <i x="1160" s="1" nd="1"/>
        <i x="1313" s="1" nd="1"/>
        <i x="1002" s="1" nd="1"/>
        <i x="1087" s="1" nd="1"/>
        <i x="1170" s="1" nd="1"/>
        <i x="1245" s="1" nd="1"/>
        <i x="1323" s="1" nd="1"/>
        <i x="1404" s="1" nd="1"/>
        <i x="1484" s="1" nd="1"/>
        <i x="1562" s="1" nd="1"/>
        <i x="1020" s="1" nd="1"/>
        <i x="1105" s="1" nd="1"/>
        <i x="1181" s="1" nd="1"/>
        <i x="1258" s="1" nd="1"/>
        <i x="1337" s="1" nd="1"/>
        <i x="1419" s="1" nd="1"/>
        <i x="1498" s="1" nd="1"/>
        <i x="1569" s="1" nd="1"/>
        <i x="1030" s="1" nd="1"/>
        <i x="1113" s="1" nd="1"/>
        <i x="1192" s="1" nd="1"/>
        <i x="1432" s="1" nd="1"/>
        <i x="1509" s="1" nd="1"/>
        <i x="1579" s="1" nd="1"/>
        <i x="1040" s="1" nd="1"/>
        <i x="1123" s="1" nd="1"/>
        <i x="1201" s="1" nd="1"/>
        <i x="1274" s="1" nd="1"/>
        <i x="1355" s="1" nd="1"/>
        <i x="962" s="1" nd="1"/>
        <i x="1055" s="1" nd="1"/>
        <i x="1136" s="1" nd="1"/>
        <i x="1534" s="1" nd="1"/>
        <i x="1299" s="1" nd="1"/>
        <i x="1380" s="1" nd="1"/>
        <i x="1474" s="1" nd="1"/>
        <i x="1550" s="1" nd="1"/>
        <i x="1084" s="1" nd="1"/>
        <i x="802" s="1" nd="1"/>
        <i x="1399" s="1" nd="1"/>
        <i x="1100" s="1" nd="1"/>
        <i x="1230" s="1" nd="1"/>
        <i x="595" s="1" nd="1"/>
        <i x="596" s="1" nd="1"/>
        <i x="597" s="1" nd="1"/>
        <i x="723" s="1" nd="1"/>
        <i x="598" s="1" nd="1"/>
        <i x="599" s="1" nd="1"/>
        <i x="1325" s="1" nd="1"/>
        <i x="803" s="1" nd="1"/>
        <i x="600" s="1" nd="1"/>
        <i x="601" s="1" nd="1"/>
        <i x="1336" s="1" nd="1"/>
        <i x="1068" s="1" nd="1"/>
        <i x="1147" s="1" nd="1"/>
        <i x="923" s="1" nd="1"/>
        <i x="1502" s="1" nd="1"/>
        <i x="1571" s="1" nd="1"/>
        <i x="602" s="1" nd="1"/>
        <i x="714" s="1" nd="1"/>
        <i x="603" s="1" nd="1"/>
        <i x="604" s="1" nd="1"/>
        <i x="716" s="1" nd="1"/>
        <i x="605" s="1" nd="1"/>
        <i x="984" s="1" nd="1"/>
        <i x="1076" s="1" nd="1"/>
        <i x="1157" s="1" nd="1"/>
        <i x="1233" s="1" nd="1"/>
        <i x="1312" s="1" nd="1"/>
        <i x="1389" s="1" nd="1"/>
        <i x="1472" s="1" nd="1"/>
        <i x="724" s="1" nd="1"/>
        <i x="997" s="1" nd="1"/>
        <i x="1083" s="1" nd="1"/>
        <i x="1166" s="1" nd="1"/>
        <i x="1243" s="1" nd="1"/>
        <i x="1320" s="1" nd="1"/>
        <i x="1396" s="1" nd="1"/>
        <i x="1482" s="1" nd="1"/>
        <i x="1559" s="1" nd="1"/>
        <i x="1098" s="1" nd="1"/>
        <i x="1178" s="1" nd="1"/>
        <i x="1254" s="1" nd="1"/>
        <i x="1332" s="1" nd="1"/>
        <i x="1413" s="1" nd="1"/>
        <i x="1494" s="1" nd="1"/>
        <i x="1567" s="1" nd="1"/>
        <i x="1109" s="1" nd="1"/>
        <i x="1266" s="1" nd="1"/>
        <i x="1347" s="1" nd="1"/>
        <i x="1426" s="1" nd="1"/>
        <i x="969" s="1" nd="1"/>
        <i x="804" s="1" nd="1"/>
        <i x="1374" s="1" nd="1"/>
        <i x="1455" s="1" nd="1"/>
        <i x="805" s="1" nd="1"/>
        <i x="1153" s="1" nd="1"/>
        <i x="1478" s="1" nd="1"/>
        <i x="1554" s="1" nd="1"/>
        <i x="1011" s="1" nd="1"/>
        <i x="1093" s="1" nd="1"/>
        <i x="806" s="1" nd="1"/>
        <i x="606" s="1" nd="1"/>
        <i x="607" s="1" nd="1"/>
        <i x="807" s="1" nd="1"/>
        <i x="808" s="1" nd="1"/>
        <i x="1186" s="1" nd="1"/>
        <i x="809" s="1" nd="1"/>
        <i x="810" s="1" nd="1"/>
        <i x="725" s="1" nd="1"/>
        <i x="608" s="1" nd="1"/>
        <i x="1517" s="1" nd="1"/>
        <i x="965" s="1" nd="1"/>
        <i x="1115" s="1" nd="1"/>
        <i x="1194" s="1" nd="1"/>
        <i x="1268" s="1" nd="1"/>
        <i x="1349" s="1" nd="1"/>
        <i x="609" s="1" nd="1"/>
        <i x="811" s="1" nd="1"/>
        <i x="610" s="1" nd="1"/>
        <i x="1540" s="1" nd="1"/>
        <i x="983" s="1" nd="1"/>
        <i x="1075" s="1" nd="1"/>
        <i x="1156" s="1" nd="1"/>
        <i x="812" s="1" nd="1"/>
        <i x="1264" s="1" nd="1"/>
        <i x="813" s="1" nd="1"/>
        <i x="726" s="1" nd="1"/>
        <i x="727" s="1" nd="1"/>
        <i x="814" s="1" nd="1"/>
        <i x="815" s="1" nd="1"/>
        <i x="924" s="1" nd="1"/>
        <i x="1353" s="1" nd="1"/>
        <i x="1437" s="1" nd="1"/>
        <i x="1514" s="1" nd="1"/>
        <i x="1586" s="1" nd="1"/>
        <i x="1051" s="1" nd="1"/>
        <i x="1130" s="1" nd="1"/>
        <i x="1207" s="1" nd="1"/>
        <i x="1282" s="1" nd="1"/>
        <i x="816" s="1" nd="1"/>
        <i x="728" s="1" nd="1"/>
        <i x="1522" s="1" nd="1"/>
        <i x="729" s="1" nd="1"/>
        <i x="817" s="1" nd="1"/>
        <i x="1139" s="1" nd="1"/>
        <i x="702" s="1" nd="1"/>
        <i x="1290" s="1" nd="1"/>
        <i x="1373" s="1" nd="1"/>
        <i x="1453" s="1" nd="1"/>
        <i x="1531" s="1" nd="1"/>
        <i x="975" s="1" nd="1"/>
        <i x="730" s="1" nd="1"/>
        <i x="818" s="1" nd="1"/>
        <i x="911" s="1" nd="1"/>
        <i x="1378" s="1" nd="1"/>
        <i x="925" s="1" nd="1"/>
        <i x="1536" s="1" nd="1"/>
        <i x="819" s="1" nd="1"/>
        <i x="731" s="1" nd="1"/>
        <i x="1228" s="1" nd="1"/>
        <i x="1310" s="1" nd="1"/>
        <i x="1386" s="1" nd="1"/>
        <i x="732" s="1" nd="1"/>
        <i x="820" s="1" nd="1"/>
        <i x="993" s="1" nd="1"/>
        <i x="733" s="1" nd="1"/>
        <i x="821" s="1" nd="1"/>
        <i x="1392" s="1" nd="1"/>
        <i x="1477" s="1" nd="1"/>
        <i x="822" s="1" nd="1"/>
        <i x="1010" s="1" nd="1"/>
        <i x="1092" s="1" nd="1"/>
        <i x="1173" s="1" nd="1"/>
        <i x="1248" s="1" nd="1"/>
        <i x="823" s="1" nd="1"/>
        <i x="1406" s="1" nd="1"/>
        <i x="926" s="1" nd="1"/>
        <i x="824" s="1" nd="1"/>
        <i x="825" s="1" nd="1"/>
        <i x="1108" s="1" nd="1"/>
        <i x="1185" s="1" nd="1"/>
        <i x="1222" s="1" nd="1"/>
        <i x="611" s="1" nd="1"/>
        <i x="612" s="1" nd="1"/>
        <i x="613" s="1" nd="1"/>
        <i x="1430" s="1" nd="1"/>
        <i x="1588" s="1" nd="1"/>
        <i x="1134" s="1" nd="1"/>
        <i x="1208" s="1" nd="1"/>
        <i x="1014" s="1" nd="1"/>
        <i x="614" s="1" nd="1"/>
        <i x="705" s="1" nd="1"/>
        <i x="1253" s="1" nd="1"/>
        <i x="615" s="1" nd="1"/>
        <i x="1412" s="1" nd="1"/>
        <i x="1492" s="1" nd="1"/>
        <i x="1565" s="1" nd="1"/>
        <i x="1026" s="1" nd="1"/>
        <i x="1188" s="1" nd="1"/>
        <i x="1263" s="1" nd="1"/>
        <i x="1346" s="1" nd="1"/>
        <i x="1424" s="1" nd="1"/>
        <i x="1507" s="1" nd="1"/>
        <i x="1576" s="1" nd="1"/>
        <i x="1036" s="1" nd="1"/>
        <i x="1119" s="1" nd="1"/>
        <i x="1199" s="1" nd="1"/>
        <i x="1272" s="1" nd="1"/>
        <i x="1352" s="1" nd="1"/>
        <i x="1436" s="1" nd="1"/>
        <i x="1513" s="1" nd="1"/>
        <i x="1585" s="1" nd="1"/>
        <i x="1050" s="1" nd="1"/>
        <i x="1129" s="1" nd="1"/>
        <i x="1206" s="1" nd="1"/>
        <i x="1281" s="1" nd="1"/>
        <i x="1363" s="1" nd="1"/>
        <i x="1444" s="1" nd="1"/>
        <i x="1521" s="1" nd="1"/>
        <i x="967" s="1" nd="1"/>
        <i x="1061" s="1" nd="1"/>
        <i x="1067" s="1" nd="1"/>
        <i x="1226" s="1" nd="1"/>
        <i x="1384" s="1" nd="1"/>
        <i x="992" s="1" nd="1"/>
        <i x="1079" s="1" nd="1"/>
        <i x="1163" s="1" nd="1"/>
        <i x="1236" s="1" nd="1"/>
        <i x="1318" s="1" nd="1"/>
        <i x="1553" s="1" nd="1"/>
        <i x="1008" s="1" nd="1"/>
        <i x="1172" s="1" nd="1"/>
        <i x="616" s="1" nd="1"/>
        <i x="617" s="1" nd="1"/>
        <i x="1082" s="1" nd="1"/>
        <i x="618" s="1" nd="1"/>
        <i x="826" s="1" nd="1"/>
        <i x="827" s="1" nd="1"/>
        <i x="828" s="1" nd="1"/>
        <i x="1180" s="1" nd="1"/>
        <i x="1257" s="1" nd="1"/>
        <i x="1335" s="1" nd="1"/>
        <i x="1496" s="1" nd="1"/>
        <i x="1568" s="1" nd="1"/>
        <i x="1028" s="1" nd="1"/>
        <i x="1110" s="1" nd="1"/>
        <i x="619" s="1" nd="1"/>
        <i x="620" s="1" nd="1"/>
        <i x="706" s="1" nd="1"/>
        <i x="621" s="1" nd="1"/>
        <i x="1354" s="1" nd="1"/>
        <i x="1516" s="1" nd="1"/>
        <i x="1587" s="1" nd="1"/>
        <i x="1052" s="1" nd="1"/>
        <i x="1133" s="1" nd="1"/>
        <i x="1283" s="1" nd="1"/>
        <i x="1364" s="1" nd="1"/>
        <i x="1445" s="1" nd="1"/>
        <i x="1523" s="1" nd="1"/>
        <i x="970" s="1" nd="1"/>
        <i x="1063" s="1" nd="1"/>
        <i x="1141" s="1" nd="1"/>
        <i x="1212" s="1" nd="1"/>
        <i x="1291" s="1" nd="1"/>
        <i x="1375" s="1" nd="1"/>
        <i x="1456" s="1" nd="1"/>
        <i x="976" s="1" nd="1"/>
        <i x="1148" s="1" nd="1"/>
        <i x="1298" s="1" nd="1"/>
        <i x="1379" s="1" nd="1"/>
        <i x="1465" s="1" nd="1"/>
        <i x="1539" s="1" nd="1"/>
        <i x="982" s="1" nd="1"/>
        <i x="1073" s="1" nd="1"/>
        <i x="1154" s="1" nd="1"/>
        <i x="1232" s="1" nd="1"/>
        <i x="1311" s="1" nd="1"/>
        <i x="1388" s="1" nd="1"/>
        <i x="1471" s="1" nd="1"/>
        <i x="1549" s="1" nd="1"/>
        <i x="996" s="1" nd="1"/>
        <i x="1081" s="1" nd="1"/>
        <i x="1164" s="1" nd="1"/>
        <i x="1240" s="1" nd="1"/>
        <i x="1319" s="1" nd="1"/>
        <i x="1394" s="1" nd="1"/>
        <i x="1479" s="1" nd="1"/>
        <i x="1557" s="1" nd="1"/>
        <i x="1013" s="1" nd="1"/>
        <i x="1097" s="1" nd="1"/>
        <i x="1411" s="1" nd="1"/>
        <i x="622" s="1" nd="1"/>
        <i x="1435" s="1" nd="1"/>
        <i x="623" s="1" nd="1"/>
        <i x="1048" s="1" nd="1"/>
        <i x="1127" s="1" nd="1"/>
        <i x="1205" s="1" nd="1"/>
        <i x="1279" s="1" nd="1"/>
        <i x="1443" s="1" nd="1"/>
        <i x="624" s="1" nd="1"/>
        <i x="625" s="1" nd="1"/>
        <i x="1288" s="1" nd="1"/>
        <i x="1371" s="1" nd="1"/>
        <i x="626" s="1" nd="1"/>
        <i x="1528" s="1" nd="1"/>
        <i x="627" s="1" nd="1"/>
        <i x="1383" s="1" nd="1"/>
        <i x="1469" s="1" nd="1"/>
        <i x="1547" s="1" nd="1"/>
        <i x="1235" s="1" nd="1"/>
        <i x="1317" s="1" nd="1"/>
        <i x="1324" s="1" nd="1"/>
        <i x="829" s="1" nd="1"/>
        <i x="830" s="1" nd="1"/>
        <i x="831" s="1" nd="1"/>
        <i x="832" s="1" nd="1"/>
        <i x="833" s="1" nd="1"/>
        <i x="834" s="1" nd="1"/>
        <i x="835" s="1" nd="1"/>
        <i x="836" s="1" nd="1"/>
        <i x="837" s="1" nd="1"/>
        <i x="838" s="1" nd="1"/>
        <i x="839" s="1" nd="1"/>
        <i x="1031" s="1" nd="1"/>
        <i x="1114" s="1" nd="1"/>
        <i x="840" s="1" nd="1"/>
        <i x="841" s="1" nd="1"/>
        <i x="842" s="1" nd="1"/>
        <i x="1433" s="1" nd="1"/>
        <i x="1511" s="1" nd="1"/>
        <i x="1580" s="1" nd="1"/>
        <i x="1042" s="1" nd="1"/>
        <i x="1125" s="1" nd="1"/>
        <i x="1203" s="1" nd="1"/>
        <i x="843" s="1" nd="1"/>
        <i x="1340" s="1" nd="1"/>
        <i x="844" s="1" nd="1"/>
        <i x="845" s="1" nd="1"/>
        <i x="1350" s="1" nd="1"/>
        <i x="628" s="1" nd="1"/>
        <i x="629" s="1" nd="1"/>
        <i x="927" s="1" nd="1"/>
        <i x="630" s="1" nd="1"/>
        <i x="631" s="1" nd="1"/>
        <i x="632" s="1" nd="1"/>
        <i x="633" s="1" nd="1"/>
        <i x="1187" s="1" nd="1"/>
        <i x="1260" s="1" nd="1"/>
        <i x="1344" s="1" nd="1"/>
        <i x="1422" s="1" nd="1"/>
        <i x="1066" s="1" nd="1"/>
        <i x="1004" s="1" nd="1"/>
        <i x="1090" s="1" nd="1"/>
        <i x="1171" s="1" nd="1"/>
        <i x="1326" s="1" nd="1"/>
        <i x="1405" s="1" nd="1"/>
        <i x="1487" s="1" nd="1"/>
        <i x="1563" s="1" nd="1"/>
        <i x="1024" s="1" nd="1"/>
        <i x="912" s="1" nd="1"/>
        <i x="634" s="1" nd="1"/>
        <i x="1302" s="1" nd="1"/>
        <i x="846" s="1" nd="1"/>
        <i x="847" s="1" nd="1"/>
        <i x="848" s="1" nd="1"/>
        <i x="849" s="1" nd="1"/>
        <i x="635" s="1" nd="1"/>
        <i x="850" s="1" nd="1"/>
        <i x="928" s="1" nd="1"/>
        <i x="851" s="1" nd="1"/>
        <i x="1497" s="1" nd="1"/>
        <i x="852" s="1" nd="1"/>
        <i x="636" s="1" nd="1"/>
        <i x="853" s="1" nd="1"/>
        <i x="637" s="1" nd="1"/>
        <i x="854" s="1" nd="1"/>
        <i x="855" s="1" nd="1"/>
        <i x="929" s="1" nd="1"/>
        <i x="1578" s="1" nd="1"/>
        <i x="1200" s="1" nd="1"/>
        <i x="1273" s="1" nd="1"/>
        <i x="930" s="1" nd="1"/>
        <i x="856" s="1" nd="1"/>
        <i x="1589" s="1" nd="1"/>
        <i x="931" s="1" nd="1"/>
        <i x="638" s="1" nd="1"/>
        <i x="932" s="1" nd="1"/>
        <i x="639" s="1" nd="1"/>
        <i x="1214" s="1" nd="1"/>
        <i x="1293" s="1" nd="1"/>
        <i x="640" s="1" nd="1"/>
        <i x="1150" s="1" nd="1"/>
        <i x="641" s="1" nd="1"/>
        <i x="642" s="1" nd="1"/>
        <i x="643" s="1" nd="1"/>
        <i x="1158" s="1" nd="1"/>
        <i x="644" s="1" nd="1"/>
        <i x="645" s="1" nd="1"/>
        <i x="1397" s="1" nd="1"/>
        <i x="1560" s="1" nd="1"/>
        <i x="1016" s="1" nd="1"/>
        <i x="1099" s="1" nd="1"/>
        <i x="1179" s="1" nd="1"/>
        <i x="1255" s="1" nd="1"/>
        <i x="1333" s="1" nd="1"/>
        <i x="1414" s="1" nd="1"/>
        <i x="707" s="1" nd="1"/>
        <i x="646" s="1" nd="1"/>
        <i x="647" s="1" nd="1"/>
        <i x="857" s="1" nd="1"/>
        <i x="648" s="1" nd="1"/>
        <i x="1038" s="1" nd="1"/>
        <i x="1120" s="1" nd="1"/>
        <i x="708" s="1" nd="1"/>
        <i x="1131" s="1" nd="1"/>
        <i x="858" s="1" nd="1"/>
        <i x="955" s="1" nd="1"/>
        <i x="649" s="1" nd="1"/>
        <i x="650" s="1" nd="1"/>
        <i x="651" s="1" nd="1"/>
        <i x="914" s="1" nd="1"/>
        <i x="652" s="1" nd="1"/>
        <i x="653" s="1" nd="1"/>
        <i x="654" s="1" nd="1"/>
        <i x="655" s="1" nd="1"/>
        <i x="656" s="1" nd="1"/>
        <i x="657" s="1" nd="1"/>
        <i x="734" s="1" nd="1"/>
        <i x="859" s="1" nd="1"/>
        <i x="1470" s="1" nd="1"/>
        <i x="933" s="1" nd="1"/>
        <i x="1237" s="1" nd="1"/>
        <i x="1094" s="1" nd="1"/>
        <i x="1174" s="1" nd="1"/>
        <i x="1249" s="1" nd="1"/>
        <i x="1329" s="1" nd="1"/>
        <i x="1407" s="1" nd="1"/>
        <i x="1489" s="1" nd="1"/>
        <i x="1343" s="1" nd="1"/>
        <i x="1421" s="1" nd="1"/>
        <i x="1505" s="1" nd="1"/>
        <i x="1572" s="1" nd="1"/>
        <i x="1034" s="1" nd="1"/>
        <i x="1197" s="1" nd="1"/>
        <i x="860" s="1" nd="1"/>
        <i x="861" s="1" nd="1"/>
        <i x="862" s="1" nd="1"/>
        <i x="1116" s="1" nd="1"/>
        <i x="1276" s="1" nd="1"/>
        <i x="1357" s="1" nd="1"/>
        <i x="1219" s="1" nd="1"/>
        <i x="1301" s="1" nd="1"/>
        <i x="1467" s="1" nd="1"/>
        <i x="1542" s="1" nd="1"/>
        <i x="1165" s="1" nd="1"/>
        <i x="1242" s="1" nd="1"/>
        <i x="1395" s="1" nd="1"/>
        <i x="1480" s="1" nd="1"/>
        <i x="1558" s="1" nd="1"/>
        <i x="1015" s="1" nd="1"/>
        <i x="1493" s="1" nd="1"/>
        <i x="1566" s="1" nd="1"/>
        <i x="1027" s="1" nd="1"/>
        <i x="1265" s="1" nd="1"/>
        <i x="1425" s="1" nd="1"/>
        <i x="1508" s="1" nd="1"/>
        <i x="1037" s="1" nd="1"/>
        <i x="934" s="1" nd="1"/>
        <i x="935" s="1" nd="1"/>
        <i x="1137" s="1" nd="1"/>
        <i x="658" s="1" nd="1"/>
        <i x="936" s="1" nd="1"/>
        <i x="863" s="1" nd="1"/>
        <i x="864" s="1" nd="1"/>
        <i x="735" s="1" nd="1"/>
        <i x="937" s="1" nd="1"/>
        <i x="659" s="1" nd="1"/>
        <i x="660" s="1" nd="1"/>
        <i x="1322" s="1" nd="1"/>
        <i x="661" s="1" nd="1"/>
        <i x="662" s="1" nd="1"/>
        <i x="663" s="1" nd="1"/>
        <i x="865" s="1" nd="1"/>
        <i x="866" s="1" nd="1"/>
        <i x="867" s="1" nd="1"/>
        <i x="868" s="1" nd="1"/>
        <i x="1101" s="1" nd="1"/>
        <i x="736" s="1" nd="1"/>
        <i x="1190" s="1" nd="1"/>
        <i x="938" s="1" nd="1"/>
        <i x="664" s="1" nd="1"/>
        <i x="665" s="1" nd="1"/>
        <i x="666" s="1" nd="1"/>
        <i x="667" s="1" nd="1"/>
        <i x="1446" s="1" nd="1"/>
        <i x="1524" s="1" nd="1"/>
        <i x="869" s="1" nd="1"/>
        <i x="668" s="1" nd="1"/>
        <i x="669" s="1" nd="1"/>
        <i x="670" s="1" nd="1"/>
        <i x="1423" s="1" nd="1"/>
        <i x="737" s="1" nd="1"/>
        <i x="745" s="1" nd="1"/>
        <i x="1118" s="1" nd="1"/>
        <i x="870" s="1" nd="1"/>
        <i x="1584" s="1" nd="1"/>
        <i x="1049" s="1" nd="1"/>
        <i x="671" s="1" nd="1"/>
        <i x="709" s="1" nd="1"/>
        <i x="1007" s="1" nd="1"/>
        <i x="1091" s="1" nd="1"/>
        <i x="738" s="1" nd="1"/>
        <i x="672" s="1" nd="1"/>
        <i x="1195" s="1" nd="1"/>
        <i x="1220" s="1" nd="1"/>
        <i x="871" s="1" nd="1"/>
        <i x="872" s="1" nd="1"/>
        <i x="673" s="1" nd="1"/>
        <i x="873" s="1" nd="1"/>
        <i x="968" s="1" nd="1"/>
        <i x="1012" s="1" nd="1"/>
        <i x="1062" s="1" nd="1"/>
        <i x="1096" s="1" nd="1"/>
        <i x="739" s="1" nd="1"/>
        <i x="1176" s="1" nd="1"/>
        <i x="1250" s="1" nd="1"/>
        <i x="740" s="1" nd="1"/>
        <i x="1331" s="1" nd="1"/>
        <i x="874" s="1" nd="1"/>
        <i x="1409" s="1" nd="1"/>
        <i x="1454" s="1" nd="1"/>
        <i x="1491" s="1" nd="1"/>
        <i x="875" s="1" nd="1"/>
        <i x="674" s="1" nd="1"/>
        <i x="956" s="1" nd="1"/>
        <i x="675" s="1" nd="1"/>
        <i x="676" s="1" nd="1"/>
        <i x="710" s="1" nd="1"/>
        <i x="677" s="1" nd="1"/>
        <i x="678" s="1" nd="1"/>
        <i x="679" s="1" nd="1"/>
        <i x="680" s="1" nd="1"/>
        <i x="681" s="1" nd="1"/>
        <i x="682" s="1" nd="1"/>
        <i x="1545" s="1" nd="1"/>
        <i x="683" s="1" nd="1"/>
        <i x="1486" s="1" nd="1"/>
        <i x="684" s="1" nd="1"/>
        <i x="685" s="1" nd="1"/>
        <i x="939" s="1" nd="1"/>
        <i x="711" s="1" nd="1"/>
        <i x="1142" s="1" nd="1"/>
        <i x="876" s="1" nd="1"/>
        <i x="940" s="1" nd="1"/>
        <i x="877" s="1" nd="1"/>
        <i x="741" s="1" nd="1"/>
        <i x="1460" s="1" nd="1"/>
        <i x="1500" s="1" nd="1"/>
        <i x="1535" s="1" nd="1"/>
        <i x="1570" s="1" nd="1"/>
        <i x="878" s="1" nd="1"/>
        <i x="879" s="1" nd="1"/>
        <i x="880" s="1" nd="1"/>
        <i x="881" s="1" nd="1"/>
        <i x="686" s="1" nd="1"/>
        <i x="957" s="1" nd="1"/>
        <i x="687" s="1" nd="1"/>
        <i x="1512" s="1" nd="1"/>
        <i x="988" s="1" nd="1"/>
        <i x="712" s="1" nd="1"/>
        <i x="986" s="1" nd="1"/>
        <i x="1041" s="1" nd="1"/>
        <i x="1078" s="1" nd="1"/>
        <i x="1124" s="1" nd="1"/>
        <i x="1159" s="1" nd="1"/>
        <i x="1202" s="1" nd="1"/>
        <i x="1111" s="1" nd="1"/>
        <i x="1191" s="1" nd="1"/>
        <i x="1267" s="1" nd="1"/>
        <i x="1300" s="1" nd="1"/>
        <i x="1431" s="1" nd="1"/>
        <i x="941" s="1" nd="1"/>
        <i x="1541" s="1" nd="1"/>
        <i x="1577" s="1" nd="1"/>
        <i x="998" s="1" nd="1"/>
        <i x="1054" s="1" nd="1"/>
        <i x="1085" s="1" nd="1"/>
        <i x="1135" s="1" nd="1"/>
        <i x="1168" s="1" nd="1"/>
        <i x="688" s="1" nd="1"/>
        <i x="1244" s="1" nd="1"/>
        <i x="1284" s="1" nd="1"/>
        <i x="958" s="1" nd="1"/>
        <i x="1365" s="1" nd="1"/>
        <i x="1400" s="1" nd="1"/>
        <i x="1447" s="1" nd="1"/>
        <i x="1483" s="1" nd="1"/>
        <i x="1525" s="1" nd="1"/>
        <i x="1561" s="1" nd="1"/>
        <i x="971" s="1" nd="1"/>
        <i x="1017" s="1" nd="1"/>
        <i x="1213" s="1" nd="1"/>
        <i x="1256" s="1" nd="1"/>
        <i x="1292" s="1" nd="1"/>
        <i x="1334" s="1" nd="1"/>
        <i x="1415" s="1" nd="1"/>
        <i x="1458" s="1" nd="1"/>
        <i x="1495" s="1" nd="1"/>
        <i x="689" s="1" nd="1"/>
        <i x="882" s="1" nd="1"/>
        <i x="883" s="1" nd="1"/>
        <i x="959" s="1" nd="1"/>
        <i x="884" s="1" nd="1"/>
        <i x="961" s="1" nd="1"/>
        <i x="942" s="1" nd="1"/>
        <i x="885" s="1" nd="1"/>
        <i x="943" s="1" nd="1"/>
        <i x="886" s="1" nd="1"/>
        <i x="944" s="1" nd="1"/>
        <i x="1095" s="1" nd="1"/>
        <i x="887" s="1" nd="1"/>
        <i x="1330" s="1" nd="1"/>
        <i x="1372" s="1" nd="1"/>
        <i x="1408" s="1" nd="1"/>
        <i x="1564" s="1" nd="1"/>
        <i x="888" s="1" nd="1"/>
        <i x="889" s="1" nd="1"/>
        <i x="742" s="1" nd="1"/>
        <i x="690" s="1" nd="1"/>
        <i x="945" s="1" nd="1"/>
        <i x="890" s="1" nd="1"/>
        <i x="891" s="1" nd="1"/>
        <i x="1035" s="1" nd="1"/>
        <i x="1117" s="1" nd="1"/>
        <i x="1198" s="1" nd="1"/>
        <i x="1227" s="1" nd="1"/>
        <i x="892" s="1" nd="1"/>
        <i x="893" s="1" nd="1"/>
        <i x="946" s="1" nd="1"/>
        <i x="1385" s="1" nd="1"/>
        <i x="894" s="1" nd="1"/>
        <i x="895" s="1" nd="1"/>
        <i x="691" s="1" nd="1"/>
        <i x="896" s="1" nd="1"/>
        <i x="947" s="1" nd="1"/>
        <i x="692" s="1" nd="1"/>
        <i x="897" s="1" nd="1"/>
        <i x="1361" s="1" nd="1"/>
        <i x="1391" s="1" nd="1"/>
        <i x="743" s="1" nd="1"/>
        <i x="1476" s="1" nd="1"/>
        <i x="1519" s="1" nd="1"/>
        <i x="966" s="1" nd="1"/>
        <i x="1009" s="1" nd="1"/>
        <i x="1060" s="1" nd="1"/>
        <i x="948" s="1" nd="1"/>
        <i x="693" s="1" nd="1"/>
        <i x="898" s="1" nd="1"/>
        <i x="899" s="1" nd="1"/>
        <i x="900" s="1" nd="1"/>
        <i x="1370" s="1" nd="1"/>
        <i x="901" s="1" nd="1"/>
        <i x="902" s="1" nd="1"/>
        <i x="1488" s="1" nd="1"/>
        <i x="903" s="1" nd="1"/>
        <i x="904" s="1" nd="1"/>
        <i x="949" s="1" nd="1"/>
        <i x="1025" s="1" nd="1"/>
        <i x="1107" s="1" nd="1"/>
        <i x="1143" s="1" nd="1"/>
        <i x="1184" s="1" nd="1"/>
        <i x="1377" s="1" nd="1"/>
        <i x="1420" s="1" nd="1"/>
        <i x="1462" s="1" nd="1"/>
        <i x="905" s="1" nd="1"/>
        <i x="694" s="1" nd="1"/>
        <i x="695" s="1" nd="1"/>
        <i x="696" s="1" nd="1"/>
        <i x="697" s="1" nd="1"/>
        <i x="698" s="1" nd="1"/>
        <i x="699" s="1" nd="1"/>
        <i x="1304" s="1" nd="1"/>
        <i x="906" s="1" nd="1"/>
        <i x="907" s="1" nd="1"/>
        <i x="908" s="1" nd="1"/>
        <i x="700" s="1" nd="1"/>
        <i x="701" s="1" nd="1"/>
        <i x="1089" s="1" nd="1"/>
        <i x="915" s="1" nd="1"/>
        <i x="1526" s="1" nd="1"/>
        <i x="1218" s="1" nd="1"/>
        <i x="1262" s="1" nd="1"/>
        <i x="1464" s="1" nd="1"/>
        <i x="1506" s="1" nd="1"/>
        <i x="1537" s="1" nd="1"/>
        <i x="1575" s="1" nd="1"/>
        <i x="995" s="1" nd="1"/>
        <i x="974" s="1" nd="1"/>
        <i x="1145" s="1" nd="1"/>
        <i x="1224" s="1" nd="1"/>
        <i x="1039" s="1" nd="1"/>
        <i x="1077" s="1" nd="1"/>
        <i x="909" s="1" nd="1"/>
        <i x="950" s="1" nd="1"/>
        <i x="703" s="1" nd="1"/>
        <i x="960" s="1" nd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RVIDOR1" xr10:uid="{18854E3A-AC4D-4E72-B389-E5F5EAC13CFB}" sourceName="SERVIDOR">
  <pivotTables>
    <pivotTable tabId="11" name="din_capa"/>
  </pivotTables>
  <data>
    <tabular pivotCacheId="933734651" showMissing="0">
      <items count="70">
        <i x="0" s="1" nd="1"/>
        <i x="3" s="1" nd="1"/>
        <i x="42" s="1" nd="1"/>
        <i x="28" s="1" nd="1"/>
        <i x="23" s="1" nd="1"/>
        <i x="34" s="1" nd="1"/>
        <i x="6" s="1" nd="1"/>
        <i x="37" s="1" nd="1"/>
        <i x="10" s="1" nd="1"/>
        <i x="20" s="1" nd="1"/>
        <i x="31" s="1" nd="1"/>
        <i x="30" s="1" nd="1"/>
        <i x="5" s="1" nd="1"/>
        <i x="47" s="1" nd="1"/>
        <i x="51" s="1" nd="1"/>
        <i x="11" s="1" nd="1"/>
        <i x="18" s="1" nd="1"/>
        <i x="35" s="1" nd="1"/>
        <i x="22" s="1" nd="1"/>
        <i x="21" s="1" nd="1"/>
        <i x="50" s="1" nd="1"/>
        <i x="1" s="1" nd="1"/>
        <i x="25" s="1" nd="1"/>
        <i x="15" s="1" nd="1"/>
        <i x="40" s="1" nd="1"/>
        <i x="14" s="1" nd="1"/>
        <i x="12" s="1" nd="1"/>
        <i x="8" s="1" nd="1"/>
        <i x="41" s="1" nd="1"/>
        <i x="19" s="1" nd="1"/>
        <i x="38" s="1" nd="1"/>
        <i x="45" s="1" nd="1"/>
        <i x="36" s="1" nd="1"/>
        <i x="29" s="1" nd="1"/>
        <i x="27" s="1" nd="1"/>
        <i x="17" s="1" nd="1"/>
        <i x="4" s="1" nd="1"/>
        <i x="26" s="1" nd="1"/>
        <i x="7" s="1" nd="1"/>
        <i x="43" s="1" nd="1"/>
        <i x="24" s="1" nd="1"/>
        <i x="44" s="1" nd="1"/>
        <i x="48" s="1" nd="1"/>
        <i x="32" s="1" nd="1"/>
        <i x="49" s="1" nd="1"/>
        <i x="9" s="1" nd="1"/>
        <i x="46" s="1" nd="1"/>
        <i x="33" s="1" nd="1"/>
        <i x="39" s="1" nd="1"/>
        <i x="16" s="1" nd="1"/>
        <i x="2" s="1" nd="1"/>
        <i x="13" s="1" nd="1"/>
        <i x="69" s="1" nd="1"/>
        <i x="66" s="1" nd="1"/>
        <i x="54" s="1" nd="1"/>
        <i x="53" s="1" nd="1"/>
        <i x="65" s="1" nd="1"/>
        <i x="68" s="1" nd="1"/>
        <i x="55" s="1" nd="1"/>
        <i x="52" s="1" nd="1"/>
        <i x="59" s="1" nd="1"/>
        <i x="57" s="1" nd="1"/>
        <i x="58" s="1" nd="1"/>
        <i x="60" s="1" nd="1"/>
        <i x="61" s="1" nd="1"/>
        <i x="62" s="1" nd="1"/>
        <i x="63" s="1" nd="1"/>
        <i x="64" s="1" nd="1"/>
        <i x="67" s="1" nd="1"/>
        <i x="56" s="1" nd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AG_SUB1" xr10:uid="{61D7CABF-34FF-4A63-9313-395E208B1A4D}" sourceName="PAG_SUB">
  <pivotTables>
    <pivotTable tabId="11" name="din_capa"/>
  </pivotTables>
  <data>
    <tabular pivotCacheId="933734651" showMissing="0">
      <items count="3">
        <i x="0" s="1" nd="1"/>
        <i x="1" s="1" nd="1"/>
        <i x="2" s="1" nd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ECNOLOGIA1" xr10:uid="{E73FCE90-C3BE-4190-858F-77F1947FD3B4}" sourceName="TECNOLOGIA">
  <pivotTables>
    <pivotTable tabId="11" name="din_capa"/>
  </pivotTables>
  <data>
    <tabular pivotCacheId="933734651" showMissing="0">
      <items count="6">
        <i x="1" s="1" nd="1"/>
        <i x="2" s="1" nd="1"/>
        <i x="0" s="1" nd="1"/>
        <i x="3" s="1" nd="1"/>
        <i x="4" s="1" nd="1"/>
        <i x="5" s="1" nd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OTA1" xr10:uid="{D8EA8FA5-52AF-4DC9-B09F-3DA88502B036}" sourceName="ROTA">
  <pivotTables>
    <pivotTable tabId="11" name="din_capa"/>
  </pivotTables>
  <data>
    <tabular pivotCacheId="933734651" showMissing="0">
      <items count="243">
        <i x="7" s="1" nd="1"/>
        <i x="66" s="1" nd="1"/>
        <i x="86" s="1" nd="1"/>
        <i x="69" s="1" nd="1"/>
        <i x="32" s="1" nd="1"/>
        <i x="80" s="1" nd="1"/>
        <i x="37" s="1" nd="1"/>
        <i x="55" s="1" nd="1"/>
        <i x="17" s="1" nd="1"/>
        <i x="16" s="1" nd="1"/>
        <i x="63" s="1" nd="1"/>
        <i x="36" s="1" nd="1"/>
        <i x="15" s="1" nd="1"/>
        <i x="45" s="1" nd="1"/>
        <i x="10" s="1" nd="1"/>
        <i x="14" s="1" nd="1"/>
        <i x="13" s="1" nd="1"/>
        <i x="11" s="1" nd="1"/>
        <i x="72" s="1" nd="1"/>
        <i x="29" s="1" nd="1"/>
        <i x="70" s="1" nd="1"/>
        <i x="57" s="1" nd="1"/>
        <i x="81" s="1" nd="1"/>
        <i x="56" s="1" nd="1"/>
        <i x="78" s="1" nd="1"/>
        <i x="0" s="1" nd="1"/>
        <i x="6" s="1" nd="1"/>
        <i x="67" s="1" nd="1"/>
        <i x="8" s="1" nd="1"/>
        <i x="24" s="1" nd="1"/>
        <i x="71" s="1" nd="1"/>
        <i x="39" s="1" nd="1"/>
        <i x="73" s="1" nd="1"/>
        <i x="58" s="1" nd="1"/>
        <i x="12" s="1" nd="1"/>
        <i x="3" s="1" nd="1"/>
        <i x="9" s="1" nd="1"/>
        <i x="18" s="1" nd="1"/>
        <i x="82" s="1" nd="1"/>
        <i x="40" s="1" nd="1"/>
        <i x="88" s="1" nd="1"/>
        <i x="26" s="1" nd="1"/>
        <i x="33" s="1" nd="1"/>
        <i x="48" s="1" nd="1"/>
        <i x="22" s="1" nd="1"/>
        <i x="20" s="1" nd="1"/>
        <i x="35" s="1" nd="1"/>
        <i x="31" s="1" nd="1"/>
        <i x="28" s="1" nd="1"/>
        <i x="47" s="1" nd="1"/>
        <i x="41" s="1" nd="1"/>
        <i x="34" s="1" nd="1"/>
        <i x="21" s="1" nd="1"/>
        <i x="19" s="1" nd="1"/>
        <i x="23" s="1" nd="1"/>
        <i x="85" s="1" nd="1"/>
        <i x="90" s="1" nd="1"/>
        <i x="74" s="1" nd="1"/>
        <i x="25" s="1" nd="1"/>
        <i x="61" s="1" nd="1"/>
        <i x="94" s="1" nd="1"/>
        <i x="89" s="1" nd="1"/>
        <i x="27" s="1" nd="1"/>
        <i x="43" s="1" nd="1"/>
        <i x="46" s="1" nd="1"/>
        <i x="91" s="1" nd="1"/>
        <i x="30" s="1" nd="1"/>
        <i x="83" s="1" nd="1"/>
        <i x="76" s="1" nd="1"/>
        <i x="84" s="1" nd="1"/>
        <i x="4" s="1" nd="1"/>
        <i x="51" s="1" nd="1"/>
        <i x="54" s="1" nd="1"/>
        <i x="87" s="1" nd="1"/>
        <i x="50" s="1" nd="1"/>
        <i x="68" s="1" nd="1"/>
        <i x="53" s="1" nd="1"/>
        <i x="49" s="1" nd="1"/>
        <i x="2" s="1" nd="1"/>
        <i x="64" s="1" nd="1"/>
        <i x="44" s="1" nd="1"/>
        <i x="65" s="1" nd="1"/>
        <i x="52" s="1" nd="1"/>
        <i x="1" s="1" nd="1"/>
        <i x="93" s="1" nd="1"/>
        <i x="92" s="1" nd="1"/>
        <i x="5" s="1" nd="1"/>
        <i x="59" s="1" nd="1"/>
        <i x="79" s="1" nd="1"/>
        <i x="75" s="1" nd="1"/>
        <i x="60" s="1" nd="1"/>
        <i x="38" s="1" nd="1"/>
        <i x="77" s="1" nd="1"/>
        <i x="42" s="1" nd="1"/>
        <i x="62" s="1" nd="1"/>
        <i x="111" s="1" nd="1"/>
        <i x="241" s="1" nd="1"/>
        <i x="134" s="1" nd="1"/>
        <i x="104" s="1" nd="1"/>
        <i x="192" s="1" nd="1"/>
        <i x="103" s="1" nd="1"/>
        <i x="235" s="1" nd="1"/>
        <i x="223" s="1" nd="1"/>
        <i x="161" s="1" nd="1"/>
        <i x="198" s="1" nd="1"/>
        <i x="194" s="1" nd="1"/>
        <i x="170" s="1" nd="1"/>
        <i x="195" s="1" nd="1"/>
        <i x="117" s="1" nd="1"/>
        <i x="185" s="1" nd="1"/>
        <i x="229" s="1" nd="1"/>
        <i x="107" s="1" nd="1"/>
        <i x="105" s="1" nd="1"/>
        <i x="127" s="1" nd="1"/>
        <i x="197" s="1" nd="1"/>
        <i x="149" s="1" nd="1"/>
        <i x="208" s="1" nd="1"/>
        <i x="225" s="1" nd="1"/>
        <i x="156" s="1" nd="1"/>
        <i x="196" s="1" nd="1"/>
        <i x="97" s="1" nd="1"/>
        <i x="135" s="1" nd="1"/>
        <i x="239" s="1" nd="1"/>
        <i x="219" s="1" nd="1"/>
        <i x="146" s="1" nd="1"/>
        <i x="180" s="1" nd="1"/>
        <i x="100" s="1" nd="1"/>
        <i x="177" s="1" nd="1"/>
        <i x="201" s="1" nd="1"/>
        <i x="147" s="1" nd="1"/>
        <i x="189" s="1" nd="1"/>
        <i x="141" s="1" nd="1"/>
        <i x="233" s="1" nd="1"/>
        <i x="173" s="1" nd="1"/>
        <i x="123" s="1" nd="1"/>
        <i x="188" s="1" nd="1"/>
        <i x="139" s="1" nd="1"/>
        <i x="186" s="1" nd="1"/>
        <i x="136" s="1" nd="1"/>
        <i x="182" s="1" nd="1"/>
        <i x="242" s="1" nd="1"/>
        <i x="181" s="1" nd="1"/>
        <i x="125" s="1" nd="1"/>
        <i x="101" s="1" nd="1"/>
        <i x="216" s="1" nd="1"/>
        <i x="160" s="1" nd="1"/>
        <i x="166" s="1" nd="1"/>
        <i x="167" s="1" nd="1"/>
        <i x="171" s="1" nd="1"/>
        <i x="116" s="1" nd="1"/>
        <i x="96" s="1" nd="1"/>
        <i x="130" s="1" nd="1"/>
        <i x="190" s="1" nd="1"/>
        <i x="183" s="1" nd="1"/>
        <i x="214" s="1" nd="1"/>
        <i x="129" s="1" nd="1"/>
        <i x="99" s="1" nd="1"/>
        <i x="121" s="1" nd="1"/>
        <i x="237" s="1" nd="1"/>
        <i x="218" s="1" nd="1"/>
        <i x="113" s="1" nd="1"/>
        <i x="206" s="1" nd="1"/>
        <i x="220" s="1" nd="1"/>
        <i x="205" s="1" nd="1"/>
        <i x="112" s="1" nd="1"/>
        <i x="226" s="1" nd="1"/>
        <i x="224" s="1" nd="1"/>
        <i x="168" s="1" nd="1"/>
        <i x="179" s="1" nd="1"/>
        <i x="204" s="1" nd="1"/>
        <i x="200" s="1" nd="1"/>
        <i x="159" s="1" nd="1"/>
        <i x="230" s="1" nd="1"/>
        <i x="211" s="1" nd="1"/>
        <i x="176" s="1" nd="1"/>
        <i x="203" s="1" nd="1"/>
        <i x="191" s="1" nd="1"/>
        <i x="163" s="1" nd="1"/>
        <i x="240" s="1" nd="1"/>
        <i x="98" s="1" nd="1"/>
        <i x="231" s="1" nd="1"/>
        <i x="178" s="1" nd="1"/>
        <i x="169" s="1" nd="1"/>
        <i x="162" s="1" nd="1"/>
        <i x="143" s="1" nd="1"/>
        <i x="148" s="1" nd="1"/>
        <i x="217" s="1" nd="1"/>
        <i x="184" s="1" nd="1"/>
        <i x="158" s="1" nd="1"/>
        <i x="232" s="1" nd="1"/>
        <i x="124" s="1" nd="1"/>
        <i x="106" s="1" nd="1"/>
        <i x="202" s="1" nd="1"/>
        <i x="115" s="1" nd="1"/>
        <i x="128" s="1" nd="1"/>
        <i x="142" s="1" nd="1"/>
        <i x="145" s="1" nd="1"/>
        <i x="221" s="1" nd="1"/>
        <i x="234" s="1" nd="1"/>
        <i x="207" s="1" nd="1"/>
        <i x="131" s="1" nd="1"/>
        <i x="133" s="1" nd="1"/>
        <i x="140" s="1" nd="1"/>
        <i x="193" s="1" nd="1"/>
        <i x="164" s="1" nd="1"/>
        <i x="212" s="1" nd="1"/>
        <i x="187" s="1" nd="1"/>
        <i x="222" s="1" nd="1"/>
        <i x="144" s="1" nd="1"/>
        <i x="228" s="1" nd="1"/>
        <i x="150" s="1" nd="1"/>
        <i x="108" s="1" nd="1"/>
        <i x="114" s="1" nd="1"/>
        <i x="151" s="1" nd="1"/>
        <i x="152" s="1" nd="1"/>
        <i x="153" s="1" nd="1"/>
        <i x="154" s="1" nd="1"/>
        <i x="157" s="1" nd="1"/>
        <i x="238" s="1" nd="1"/>
        <i x="174" s="1" nd="1"/>
        <i x="102" s="1" nd="1"/>
        <i x="155" s="1" nd="1"/>
        <i x="95" s="1" nd="1"/>
        <i x="165" s="1" nd="1"/>
        <i x="175" s="1" nd="1"/>
        <i x="132" s="1" nd="1"/>
        <i x="199" s="1" nd="1"/>
        <i x="215" s="1" nd="1"/>
        <i x="172" s="1" nd="1"/>
        <i x="119" s="1" nd="1"/>
        <i x="213" s="1" nd="1"/>
        <i x="120" s="1" nd="1"/>
        <i x="110" s="1" nd="1"/>
        <i x="236" s="1" nd="1"/>
        <i x="210" s="1" nd="1"/>
        <i x="122" s="1" nd="1"/>
        <i x="227" s="1" nd="1"/>
        <i x="126" s="1" nd="1"/>
        <i x="109" s="1" nd="1"/>
        <i x="137" s="1" nd="1"/>
        <i x="138" s="1" nd="1"/>
        <i x="209" s="1" nd="1"/>
        <i x="118" s="1" nd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ROTA1" xr10:uid="{DB59E8C6-DB40-4253-B09B-0CBBC011A14A}" sourceName="TIPO_ROTA">
  <pivotTables>
    <pivotTable tabId="11" name="din_capa"/>
  </pivotTables>
  <data>
    <tabular pivotCacheId="933734651" showMissing="0">
      <items count="4">
        <i x="1" s="1" nd="1"/>
        <i x="0" s="1" nd="1"/>
        <i x="3" s="1" nd="1"/>
        <i x="2" s="1" nd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PERADORA1" xr10:uid="{6BCD1D1E-E4D8-4362-93EC-FBE6B12EF0C0}" sourceName="OPERADORA">
  <pivotTables>
    <pivotTable tabId="11" name="din_capa"/>
  </pivotTables>
  <data>
    <tabular pivotCacheId="933734651" showMissing="0">
      <items count="55">
        <i x="13" s="1" nd="1"/>
        <i x="5" s="1" nd="1"/>
        <i x="10" s="1" nd="1"/>
        <i x="0" s="1" nd="1"/>
        <i x="2" s="1" nd="1"/>
        <i x="6" s="1" nd="1"/>
        <i x="7" s="1" nd="1"/>
        <i x="14" s="1" nd="1"/>
        <i x="8" s="1" nd="1"/>
        <i x="12" s="1" nd="1"/>
        <i x="9" s="1" nd="1"/>
        <i x="3" s="1" nd="1"/>
        <i x="1" s="1" nd="1"/>
        <i x="15" s="1" nd="1"/>
        <i x="4" s="1" nd="1"/>
        <i x="11" s="1" nd="1"/>
        <i x="18" s="1" nd="1"/>
        <i x="34" s="1" nd="1"/>
        <i x="42" s="1" nd="1"/>
        <i x="48" s="1" nd="1"/>
        <i x="32" s="1" nd="1"/>
        <i x="17" s="1" nd="1"/>
        <i x="38" s="1" nd="1"/>
        <i x="37" s="1" nd="1"/>
        <i x="43" s="1" nd="1"/>
        <i x="40" s="1" nd="1"/>
        <i x="29" s="1" nd="1"/>
        <i x="50" s="1" nd="1"/>
        <i x="27" s="1" nd="1"/>
        <i x="44" s="1" nd="1"/>
        <i x="35" s="1" nd="1"/>
        <i x="33" s="1" nd="1"/>
        <i x="23" s="1" nd="1"/>
        <i x="24" s="1" nd="1"/>
        <i x="22" s="1" nd="1"/>
        <i x="47" s="1" nd="1"/>
        <i x="20" s="1" nd="1"/>
        <i x="19" s="1" nd="1"/>
        <i x="41" s="1" nd="1"/>
        <i x="54" s="1" nd="1"/>
        <i x="46" s="1" nd="1"/>
        <i x="25" s="1" nd="1"/>
        <i x="30" s="1" nd="1"/>
        <i x="51" s="1" nd="1"/>
        <i x="36" s="1" nd="1"/>
        <i x="39" s="1" nd="1"/>
        <i x="31" s="1" nd="1"/>
        <i x="52" s="1" nd="1"/>
        <i x="45" s="1" nd="1"/>
        <i x="28" s="1" nd="1"/>
        <i x="49" s="1" nd="1"/>
        <i x="21" s="1" nd="1"/>
        <i x="53" s="1" nd="1"/>
        <i x="26" s="1" nd="1"/>
        <i x="16" s="1" nd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W1" xr10:uid="{C98C0529-A9E6-4C53-8B4F-EB01ED2D6B3B}" sourceName="GW">
  <pivotTables>
    <pivotTable tabId="11" name="din_capa"/>
  </pivotTables>
  <data>
    <tabular pivotCacheId="933734651" showMissing="0">
      <items count="2218">
        <i x="0" s="1" nd="1"/>
        <i x="1665" s="1" nd="1"/>
        <i x="1681" s="1" nd="1"/>
        <i x="1679" s="1" nd="1"/>
        <i x="1662" s="1" nd="1"/>
        <i x="1529" s="1" nd="1"/>
        <i x="1528" s="1" nd="1"/>
        <i x="1689" s="1" nd="1"/>
        <i x="1634" s="1" nd="1"/>
        <i x="1649" s="1" nd="1"/>
        <i x="1707" s="1" nd="1"/>
        <i x="1690" s="1" nd="1"/>
        <i x="1518" s="1" nd="1"/>
        <i x="1666" s="1" nd="1"/>
        <i x="1702" s="1" nd="1"/>
        <i x="1667" s="1" nd="1"/>
        <i x="1714" s="1" nd="1"/>
        <i x="1549" s="1" nd="1"/>
        <i x="1700" s="1" nd="1"/>
        <i x="1697" s="1" nd="1"/>
        <i x="1659" s="1" nd="1"/>
        <i x="1698" s="1" nd="1"/>
        <i x="1664" s="1" nd="1"/>
        <i x="1671" s="1" nd="1"/>
        <i x="1691" s="1" nd="1"/>
        <i x="1710" s="1" nd="1"/>
        <i x="1643" s="1" nd="1"/>
        <i x="1706" s="1" nd="1"/>
        <i x="1703" s="1" nd="1"/>
        <i x="1502" s="1" nd="1"/>
        <i x="612" s="1" nd="1"/>
        <i x="298" s="1" nd="1"/>
        <i x="42" s="1" nd="1"/>
        <i x="849" s="1" nd="1"/>
        <i x="165" s="1" nd="1"/>
        <i x="618" s="1" nd="1"/>
        <i x="840" s="1" nd="1"/>
        <i x="212" s="1" nd="1"/>
        <i x="680" s="1" nd="1"/>
        <i x="505" s="1" nd="1"/>
        <i x="299" s="1" nd="1"/>
        <i x="660" s="1" nd="1"/>
        <i x="166" s="1" nd="1"/>
        <i x="562" s="1" nd="1"/>
        <i x="43" s="1" nd="1"/>
        <i x="300" s="1" nd="1"/>
        <i x="96" s="1" nd="1"/>
        <i x="97" s="1" nd="1"/>
        <i x="360" s="1" nd="1"/>
        <i x="914" s="1" nd="1"/>
        <i x="576" s="1" nd="1"/>
        <i x="428" s="1" nd="1"/>
        <i x="44" s="1" nd="1"/>
        <i x="429" s="1" nd="1"/>
        <i x="246" s="1" nd="1"/>
        <i x="430" s="1" nd="1"/>
        <i x="45" s="1" nd="1"/>
        <i x="850" s="1" nd="1"/>
        <i x="431" s="1" nd="1"/>
        <i x="781" s="1" nd="1"/>
        <i x="619" s="1" nd="1"/>
        <i x="861" s="1" nd="1"/>
        <i x="432" s="1" nd="1"/>
        <i x="876" s="1" nd="1"/>
        <i x="563" s="1" nd="1"/>
        <i x="98" s="1" nd="1"/>
        <i x="552" s="1" nd="1"/>
        <i x="46" s="1" nd="1"/>
        <i x="851" s="1" nd="1"/>
        <i x="433" s="1" nd="1"/>
        <i x="782" s="1" nd="1"/>
        <i x="620" s="1" nd="1"/>
        <i x="882" s="1" nd="1"/>
        <i x="844" s="1" nd="1"/>
        <i x="535" s="1" nd="1"/>
        <i x="661" s="1" nd="1"/>
        <i x="167" s="1" nd="1"/>
        <i x="621" s="1" nd="1"/>
        <i x="99" s="1" nd="1"/>
        <i x="536" s="1" nd="1"/>
        <i x="622" s="1" nd="1"/>
        <i x="885" s="1" nd="1"/>
        <i x="802" s="1" nd="1"/>
        <i x="506" s="1" nd="1"/>
        <i x="681" s="1" nd="1"/>
        <i x="100" s="1" nd="1"/>
        <i x="577" s="1" nd="1"/>
        <i x="507" s="1" nd="1"/>
        <i x="361" s="1" nd="1"/>
        <i x="883" s="1" nd="1"/>
        <i x="862" s="1" nd="1"/>
        <i x="475" s="1" nd="1"/>
        <i x="763" s="1" nd="1"/>
        <i x="643" s="1" nd="1"/>
        <i x="845" s="1" nd="1"/>
        <i x="682" s="1" nd="1"/>
        <i x="301" s="1" nd="1"/>
        <i x="922" s="1" nd="1"/>
        <i x="362" s="1" nd="1"/>
        <i x="803" s="1" nd="1"/>
        <i x="302" s="1" nd="1"/>
        <i x="303" s="1" nd="1"/>
        <i x="886" s="1" nd="1"/>
        <i x="47" s="1" nd="1"/>
        <i x="213" s="1" nd="1"/>
        <i x="363" s="1" nd="1"/>
        <i x="623" s="1" nd="1"/>
        <i x="101" s="1" nd="1"/>
        <i x="616" s="1" nd="1"/>
        <i x="304" s="1" nd="1"/>
        <i x="476" s="1" nd="1"/>
        <i x="102" s="1" nd="1"/>
        <i x="103" s="1" nd="1"/>
        <i x="611" s="1" nd="1"/>
        <i x="804" s="1" nd="1"/>
        <i x="683" s="1" nd="1"/>
        <i x="887" s="1" nd="1"/>
        <i x="168" s="1" nd="1"/>
        <i x="104" s="1" nd="1"/>
        <i x="578" s="1" nd="1"/>
        <i x="169" s="1" nd="1"/>
        <i x="477" s="1" nd="1"/>
        <i x="537" s="1" nd="1"/>
        <i x="923" s="1" nd="1"/>
        <i x="624" s="1" nd="1"/>
        <i x="805" s="1" nd="1"/>
        <i x="684" s="1" nd="1"/>
        <i x="915" s="1" nd="1"/>
        <i x="170" s="1" nd="1"/>
        <i x="685" s="1" nd="1"/>
        <i x="478" s="1" nd="1"/>
        <i x="877" s="1" nd="1"/>
        <i x="247" s="1" nd="1"/>
        <i x="686" s="1" nd="1"/>
        <i x="687" s="1" nd="1"/>
        <i x="248" s="1" nd="1"/>
        <i x="719" s="1" nd="1"/>
        <i x="434" s="1" nd="1"/>
        <i x="720" s="1" nd="1"/>
        <i x="508" s="1" nd="1"/>
        <i x="305" s="1" nd="1"/>
        <i x="783" s="1" nd="1"/>
        <i x="479" s="1" nd="1"/>
        <i x="875" s="1" nd="1"/>
        <i x="306" s="1" nd="1"/>
        <i x="171" s="1" nd="1"/>
        <i x="688" s="1" nd="1"/>
        <i x="48" s="1" nd="1"/>
        <i x="852" s="1" nd="1"/>
        <i x="364" s="1" nd="1"/>
        <i x="1293" s="1" nd="1"/>
        <i x="1269" s="1" nd="1"/>
        <i x="1241" s="1" nd="1"/>
        <i x="249" s="1" nd="1"/>
        <i x="564" s="1" nd="1"/>
        <i x="721" s="1" nd="1"/>
        <i x="396" s="1" nd="1"/>
        <i x="722" s="1" nd="1"/>
        <i x="912" s="1" nd="1"/>
        <i x="662" s="1" nd="1"/>
        <i x="105" s="1" nd="1"/>
        <i x="106" s="1" nd="1"/>
        <i x="435" s="1" nd="1"/>
        <i x="1378" s="1" nd="1"/>
        <i x="689" s="1" nd="1"/>
        <i x="806" s="1" nd="1"/>
        <i x="920" s="1" nd="1"/>
        <i x="690" s="1" nd="1"/>
        <i x="523" s="1" nd="1"/>
        <i x="49" s="1" nd="1"/>
        <i x="50" s="1" nd="1"/>
        <i x="397" s="1" nd="1"/>
        <i x="565" s="1" nd="1"/>
        <i x="579" s="1" nd="1"/>
        <i x="1270" s="1" nd="1"/>
        <i x="1369" s="1" nd="1"/>
        <i x="1242" s="1" nd="1"/>
        <i x="1243" s="1" nd="1"/>
        <i x="1370" s="1" nd="1"/>
        <i x="1271" s="1" nd="1"/>
        <i x="1407" s="1" nd="1"/>
        <i x="1272" s="1" nd="1"/>
        <i x="1401" s="1" nd="1"/>
        <i x="1356" s="1" nd="1"/>
        <i x="1351" s="1" nd="1"/>
        <i x="1244" s="1" nd="1"/>
        <i x="1336" s="1" nd="1"/>
        <i x="1357" s="1" nd="1"/>
        <i x="1358" s="1" nd="1"/>
        <i x="1337" s="1" nd="1"/>
        <i x="1402" s="1" nd="1"/>
        <i x="1385" s="1" nd="1"/>
        <i x="1245" s="1" nd="1"/>
        <i x="1294" s="1" nd="1"/>
        <i x="214" s="1" nd="1"/>
        <i x="935" s="1" nd="1"/>
        <i x="250" s="1" nd="1"/>
        <i x="723" s="1" nd="1"/>
        <i x="215" s="1" nd="1"/>
        <i x="216" s="1" nd="1"/>
        <i x="878" s="1" nd="1"/>
        <i x="107" s="1" nd="1"/>
        <i x="108" s="1" nd="1"/>
        <i x="251" s="1" nd="1"/>
        <i x="1395" s="1" nd="1"/>
        <i x="252" s="1" nd="1"/>
        <i x="772" s="1" nd="1"/>
        <i x="172" s="1" nd="1"/>
        <i x="673" s="1" nd="1"/>
        <i x="109" s="1" nd="1"/>
        <i x="398" s="1" nd="1"/>
        <i x="784" s="1" nd="1"/>
        <i x="307" s="1" nd="1"/>
        <i x="888" s="1" nd="1"/>
        <i x="173" s="1" nd="1"/>
        <i x="1346" s="1" nd="1"/>
        <i x="807" s="1" nd="1"/>
        <i x="217" s="1" nd="1"/>
        <i x="838" s="1" nd="1"/>
        <i x="110" s="1" nd="1"/>
        <i x="691" s="1" nd="1"/>
        <i x="692" s="1" nd="1"/>
        <i x="253" s="1" nd="1"/>
        <i x="580" s="1" nd="1"/>
        <i x="436" s="1" nd="1"/>
        <i x="663" s="1" nd="1"/>
        <i x="1403" s="1" nd="1"/>
        <i x="1273" s="1" nd="1"/>
        <i x="1386" s="1" nd="1"/>
        <i x="1295" s="1" nd="1"/>
        <i x="1374" s="1" nd="1"/>
        <i x="1274" s="1" nd="1"/>
        <i x="1275" s="1" nd="1"/>
        <i x="1375" s="1" nd="1"/>
        <i x="1359" s="1" nd="1"/>
        <i x="1410" s="1" nd="1"/>
        <i x="1296" s="1" nd="1"/>
        <i x="1297" s="1" nd="1"/>
        <i x="1396" s="1" nd="1"/>
        <i x="1332" s="1" nd="1"/>
        <i x="1414" s="1" nd="1"/>
        <i x="1276" s="1" nd="1"/>
        <i x="1397" s="1" nd="1"/>
        <i x="1398" s="1" nd="1"/>
        <i x="1319" s="1" nd="1"/>
        <i x="1371" s="1" nd="1"/>
        <i x="1347" s="1" nd="1"/>
        <i x="1387" s="1" nd="1"/>
        <i x="1411" s="1" nd="1"/>
        <i x="1320" s="1" nd="1"/>
        <i x="1246" s="1" nd="1"/>
        <i x="1348" s="1" nd="1"/>
        <i x="1418" s="1" nd="1"/>
        <i x="1321" s="1" nd="1"/>
        <i x="1322" s="1" nd="1"/>
        <i x="1419" s="1" nd="1"/>
        <i x="1298" s="1" nd="1"/>
        <i x="1299" s="1" nd="1"/>
        <i x="1300" s="1" nd="1"/>
        <i x="1333" s="1" nd="1"/>
        <i x="889" s="1" nd="1"/>
        <i x="480" s="1" nd="1"/>
        <i x="524" s="1" nd="1"/>
        <i x="399" s="1" nd="1"/>
        <i x="890" s="1" nd="1"/>
        <i x="916" s="1" nd="1"/>
        <i x="400" s="1" nd="1"/>
        <i x="773" s="1" nd="1"/>
        <i x="724" s="1" nd="1"/>
        <i x="853" s="1" nd="1"/>
        <i x="308" s="1" nd="1"/>
        <i x="437" s="1" nd="1"/>
        <i x="309" s="1" nd="1"/>
        <i x="218" s="1" nd="1"/>
        <i x="219" s="1" nd="1"/>
        <i x="310" s="1" nd="1"/>
        <i x="254" s="1" nd="1"/>
        <i x="174" s="1" nd="1"/>
        <i x="311" s="1" nd="1"/>
        <i x="525" s="1" nd="1"/>
        <i x="808" s="1" nd="1"/>
        <i x="51" s="1" nd="1"/>
        <i x="220" s="1" nd="1"/>
        <i x="111" s="1" nd="1"/>
        <i x="365" s="1" nd="1"/>
        <i x="481" s="1" nd="1"/>
        <i x="664" s="1" nd="1"/>
        <i x="401" s="1" nd="1"/>
        <i x="438" s="1" nd="1"/>
        <i x="581" s="1" nd="1"/>
        <i x="221" s="1" nd="1"/>
        <i x="312" s="1" nd="1"/>
        <i x="52" s="1" nd="1"/>
        <i x="222" s="1" nd="1"/>
        <i x="482" s="1" nd="1"/>
        <i x="891" s="1" nd="1"/>
        <i x="313" s="1" nd="1"/>
        <i x="314" s="1" nd="1"/>
        <i x="509" s="1" nd="1"/>
        <i x="366" s="1" nd="1"/>
        <i x="526" s="1" nd="1"/>
        <i x="367" s="1" nd="1"/>
        <i x="315" s="1" nd="1"/>
        <i x="368" s="1" nd="1"/>
        <i x="892" s="1" nd="1"/>
        <i x="255" s="1" nd="1"/>
        <i x="725" s="1" nd="1"/>
        <i x="527" s="1" nd="1"/>
        <i x="369" s="1" nd="1"/>
        <i x="854" s="1" nd="1"/>
        <i x="402" s="1" nd="1"/>
        <i x="112" s="1" nd="1"/>
        <i x="113" s="1" nd="1"/>
        <i x="370" s="1" nd="1"/>
        <i x="439" s="1" nd="1"/>
        <i x="114" s="1" nd="1"/>
        <i x="625" s="1" nd="1"/>
        <i x="936" s="1" nd="1"/>
        <i x="440" s="1" nd="1"/>
        <i x="441" s="1" nd="1"/>
        <i x="510" s="1" nd="1"/>
        <i x="223" s="1" nd="1"/>
        <i x="483" s="1" nd="1"/>
        <i x="484" s="1" nd="1"/>
        <i x="879" s="1" nd="1"/>
        <i x="316" s="1" nd="1"/>
        <i x="785" s="1" nd="1"/>
        <i x="224" s="1" nd="1"/>
        <i x="837" s="1" nd="1"/>
        <i x="317" s="1" nd="1"/>
        <i x="175" s="1" nd="1"/>
        <i x="693" s="1" nd="1"/>
        <i x="225" s="1" nd="1"/>
        <i x="53" s="1" nd="1"/>
        <i x="54" s="1" nd="1"/>
        <i x="176" s="1" nd="1"/>
        <i x="55" s="1" nd="1"/>
        <i x="566" s="1" nd="1"/>
        <i x="256" s="1" nd="1"/>
        <i x="442" s="1" nd="1"/>
        <i x="904" s="1" nd="1"/>
        <i x="56" s="1" nd="1"/>
        <i x="553" s="1" nd="1"/>
        <i x="786" s="1" nd="1"/>
        <i x="674" s="1" nd="1"/>
        <i x="863" s="1" nd="1"/>
        <i x="694" s="1" nd="1"/>
        <i x="371" s="1" nd="1"/>
        <i x="177" s="1" nd="1"/>
        <i x="567" s="1" nd="1"/>
        <i x="57" s="1" nd="1"/>
        <i x="485" s="1" nd="1"/>
        <i x="372" s="1" nd="1"/>
        <i x="905" s="1" nd="1"/>
        <i x="115" s="1" nd="1"/>
        <i x="116" s="1" nd="1"/>
        <i x="257" s="1" nd="1"/>
        <i x="835" s="1" nd="1"/>
        <i x="403" s="1" nd="1"/>
        <i x="58" s="1" nd="1"/>
        <i x="582" s="1" nd="1"/>
        <i x="924" s="1" nd="1"/>
        <i x="543" s="1" nd="1"/>
        <i x="404" s="1" nd="1"/>
        <i x="117" s="1" nd="1"/>
        <i x="178" s="1" nd="1"/>
        <i x="179" s="1" nd="1"/>
        <i x="318" s="1" nd="1"/>
        <i x="319" s="1" nd="1"/>
        <i x="405" s="1" nd="1"/>
        <i x="59" s="1" nd="1"/>
        <i x="583" s="1" nd="1"/>
        <i x="938" s="1" nd="1"/>
        <i x="406" s="1" nd="1"/>
        <i x="407" s="1" nd="1"/>
        <i x="939" s="1" nd="1"/>
        <i x="180" s="1" nd="1"/>
        <i x="443" s="1" nd="1"/>
        <i x="320" s="1" nd="1"/>
        <i x="60" s="1" nd="1"/>
        <i x="626" s="1" nd="1"/>
        <i x="181" s="1" nd="1"/>
        <i x="695" s="1" nd="1"/>
        <i x="226" s="1" nd="1"/>
        <i x="627" s="1" nd="1"/>
        <i x="628" s="1" nd="1"/>
        <i x="61" s="1" nd="1"/>
        <i x="644" s="1" nd="1"/>
        <i x="258" s="1" nd="1"/>
        <i x="645" s="1" nd="1"/>
        <i x="1338" s="1" nd="1"/>
        <i x="1247" s="1" nd="1"/>
        <i x="1248" s="1" nd="1"/>
        <i x="1372" s="1" nd="1"/>
        <i x="1339" s="1" nd="1"/>
        <i x="1412" s="1" nd="1"/>
        <i x="1373" s="1" nd="1"/>
        <i x="1388" s="1" nd="1"/>
        <i x="1277" s="1" nd="1"/>
        <i x="1360" s="1" nd="1"/>
        <i x="1323" s="1" nd="1"/>
        <i x="1389" s="1" nd="1"/>
        <i x="1278" s="1" nd="1"/>
        <i x="1361" s="1" nd="1"/>
        <i x="1249" s="1" nd="1"/>
        <i x="1399" s="1" nd="1"/>
        <i x="1301" s="1" nd="1"/>
        <i x="1415" s="1" nd="1"/>
        <i x="1279" s="1" nd="1"/>
        <i x="1340" s="1" nd="1"/>
        <i x="1302" s="1" nd="1"/>
        <i x="1379" s="1" nd="1"/>
        <i x="1280" s="1" nd="1"/>
        <i x="1341" s="1" nd="1"/>
        <i x="1324" s="1" nd="1"/>
        <i x="1404" s="1" nd="1"/>
        <i x="1250" s="1" nd="1"/>
        <i x="1251" s="1" nd="1"/>
        <i x="1405" s="1" nd="1"/>
        <i x="1281" s="1" nd="1"/>
        <i x="1282" s="1" nd="1"/>
        <i x="1283" s="1" nd="1"/>
        <i x="1303" s="1" nd="1"/>
        <i x="1325" s="1" nd="1"/>
        <i x="1252" s="1" nd="1"/>
        <i x="1349" s="1" nd="1"/>
        <i x="1420" s="1" nd="1"/>
        <i x="1326" s="1" nd="1"/>
        <i x="1327" s="1" nd="1"/>
        <i x="1421" s="1" nd="1"/>
        <i x="1304" s="1" nd="1"/>
        <i x="1305" s="1" nd="1"/>
        <i x="1306" s="1" nd="1"/>
        <i x="1284" s="1" nd="1"/>
        <i x="408" s="1" nd="1"/>
        <i x="62" s="1" nd="1"/>
        <i x="444" s="1" nd="1"/>
        <i x="118" s="1" nd="1"/>
        <i x="544" s="1" nd="1"/>
        <i x="259" s="1" nd="1"/>
        <i x="119" s="1" nd="1"/>
        <i x="182" s="1" nd="1"/>
        <i x="511" s="1" nd="1"/>
        <i x="321" s="1" nd="1"/>
        <i x="1328" s="1" nd="1"/>
        <i x="665" s="1" nd="1"/>
        <i x="120" s="1" nd="1"/>
        <i x="675" s="1" nd="1"/>
        <i x="322" s="1" nd="1"/>
        <i x="726" s="1" nd="1"/>
        <i x="584" s="1" nd="1"/>
        <i x="183" s="1" nd="1"/>
        <i x="486" s="1" nd="1"/>
        <i x="528" s="1" nd="1"/>
        <i x="629" s="1" nd="1"/>
        <i x="1253" s="1" nd="1"/>
        <i x="610" s="1" nd="1"/>
        <i x="839" s="1" nd="1"/>
        <i x="184" s="1" nd="1"/>
        <i x="630" s="1" nd="1"/>
        <i x="260" s="1" nd="1"/>
        <i x="121" s="1" nd="1"/>
        <i x="755" s="1" nd="1"/>
        <i x="512" s="1" nd="1"/>
        <i x="809" s="1" nd="1"/>
        <i x="323" s="1" nd="1"/>
        <i x="1285" s="1" nd="1"/>
        <i x="696" s="1" nd="1"/>
        <i x="63" s="1" nd="1"/>
        <i x="727" s="1" nd="1"/>
        <i x="409" s="1" nd="1"/>
        <i x="810" s="1" nd="1"/>
        <i x="646" s="1" nd="1"/>
        <i x="538" s="1" nd="1"/>
        <i x="585" s="1" nd="1"/>
        <i x="324" s="1" nd="1"/>
        <i x="586" s="1" nd="1"/>
        <i x="1400" s="1" nd="1"/>
        <i x="697" s="1" nd="1"/>
        <i x="227" s="1" nd="1"/>
        <i x="666" s="1" nd="1"/>
        <i x="122" s="1" nd="1"/>
        <i x="751" s="1" nd="1"/>
        <i x="698" s="1" nd="1"/>
        <i x="410" s="1" nd="1"/>
        <i x="445" s="1" nd="1"/>
        <i x="325" s="1" nd="1"/>
        <i x="587" s="1" nd="1"/>
        <i x="1307" s="1" nd="1"/>
        <i x="185" s="1" nd="1"/>
        <i x="756" s="1" nd="1"/>
        <i x="64" s="1" nd="1"/>
        <i x="764" s="1" nd="1"/>
        <i x="186" s="1" nd="1"/>
        <i x="326" s="1" nd="1"/>
        <i x="699" s="1" nd="1"/>
        <i x="921" s="1" nd="1"/>
        <i x="855" s="1" nd="1"/>
        <i x="529" s="1" nd="1"/>
        <i x="1364" s="1" nd="1"/>
        <i x="1286" s="1" nd="1"/>
        <i x="1416" s="1" nd="1"/>
        <i x="1329" s="1" nd="1"/>
        <i x="1408" s="1" nd="1"/>
        <i x="1287" s="1" nd="1"/>
        <i x="1288" s="1" nd="1"/>
        <i x="1409" s="1" nd="1"/>
        <i x="1308" s="1" nd="1"/>
        <i x="1309" s="1" nd="1"/>
        <i x="1310" s="1" nd="1"/>
        <i x="856" s="1" nd="1"/>
        <i x="811" s="1" nd="1"/>
        <i x="65" s="1" nd="1"/>
        <i x="66" s="1" nd="1"/>
        <i x="676" s="1" nd="1"/>
        <i x="446" s="1" nd="1"/>
        <i x="857" s="1" nd="1"/>
        <i x="67" s="1" nd="1"/>
        <i x="700" s="1" nd="1"/>
        <i x="373" s="1" nd="1"/>
        <i x="374" s="1" nd="1"/>
        <i x="68" s="1" nd="1"/>
        <i x="69" s="1" nd="1"/>
        <i x="846" s="1" nd="1"/>
        <i x="487" s="1" nd="1"/>
        <i x="123" s="1" nd="1"/>
        <i x="728" s="1" nd="1"/>
        <i x="375" s="1" nd="1"/>
        <i x="70" s="1" nd="1"/>
        <i x="187" s="1" nd="1"/>
        <i x="787" s="1" nd="1"/>
        <i x="757" s="1" nd="1"/>
        <i x="376" s="1" nd="1"/>
        <i x="488" s="1" nd="1"/>
        <i x="261" s="1" nd="1"/>
        <i x="774" s="1" nd="1"/>
        <i x="228" s="1" nd="1"/>
        <i x="377" s="1" nd="1"/>
        <i x="775" s="1" nd="1"/>
        <i x="262" s="1" nd="1"/>
        <i x="940" s="1" nd="1"/>
        <i x="124" s="1" nd="1"/>
        <i x="588" s="1" nd="1"/>
        <i x="327" s="1" nd="1"/>
        <i x="925" s="1" nd="1"/>
        <i x="758" s="1" nd="1"/>
        <i x="893" s="1" nd="1"/>
        <i x="447" s="1" nd="1"/>
        <i x="448" s="1" nd="1"/>
        <i x="188" s="1" nd="1"/>
        <i x="229" s="1" nd="1"/>
        <i x="71" s="1" nd="1"/>
        <i x="540" s="1" nd="1"/>
        <i x="125" s="1" nd="1"/>
        <i x="1363" s="1" nd="1"/>
        <i x="1311" s="1" nd="1"/>
        <i x="1380" s="1" nd="1"/>
        <i x="1254" s="1" nd="1"/>
        <i x="1352" s="1" nd="1"/>
        <i x="1353" s="1" nd="1"/>
        <i x="1255" s="1" nd="1"/>
        <i x="1342" s="1" nd="1"/>
        <i x="1289" s="1" nd="1"/>
        <i x="1365" s="1" nd="1"/>
        <i x="126" s="1" nd="1"/>
        <i x="1312" s="1" nd="1"/>
        <i x="1390" s="1" nd="1"/>
        <i x="1256" s="1" nd="1"/>
        <i x="1381" s="1" nd="1"/>
        <i x="1313" s="1" nd="1"/>
        <i x="1314" s="1" nd="1"/>
        <i x="1382" s="1" nd="1"/>
        <i x="1257" s="1" nd="1"/>
        <i x="1417" s="1" nd="1"/>
        <i x="1258" s="1" nd="1"/>
        <i x="545" s="1" nd="1"/>
        <i x="1376" s="1" nd="1"/>
        <i x="1315" s="1" nd="1"/>
        <i x="1383" s="1" nd="1"/>
        <i x="1259" s="1" nd="1"/>
        <i x="1377" s="1" nd="1"/>
        <i x="1354" s="1" nd="1"/>
        <i x="1260" s="1" nd="1"/>
        <i x="1343" s="1" nd="1"/>
        <i x="1290" s="1" nd="1"/>
        <i x="1366" s="1" nd="1"/>
        <i x="729" s="1" nd="1"/>
        <i x="449" s="1" nd="1"/>
        <i x="263" s="1" nd="1"/>
        <i x="631" s="1" nd="1"/>
        <i x="189" s="1" nd="1"/>
        <i x="450" s="1" nd="1"/>
        <i x="451" s="1" nd="1"/>
        <i x="190" s="1" nd="1"/>
        <i x="378" s="1" nd="1"/>
        <i x="379" s="1" nd="1"/>
        <i x="489" s="1" nd="1"/>
        <i x="328" s="1" nd="1"/>
        <i x="568" s="1" nd="1"/>
        <i x="230" s="1" nd="1"/>
        <i x="589" s="1" nd="1"/>
        <i x="264" s="1" nd="1"/>
        <i x="569" s="1" nd="1"/>
        <i x="411" s="1" nd="1"/>
        <i x="265" s="1" nd="1"/>
        <i x="452" s="1" nd="1"/>
        <i x="453" s="1" nd="1"/>
        <i x="554" s="1" nd="1"/>
        <i x="530" s="1" nd="1"/>
        <i x="412" s="1" nd="1"/>
        <i x="72" s="1" nd="1"/>
        <i x="590" s="1" nd="1"/>
        <i x="941" s="1" nd="1"/>
        <i x="413" s="1" nd="1"/>
        <i x="414" s="1" nd="1"/>
        <i x="127" s="1" nd="1"/>
        <i x="191" s="1" nd="1"/>
        <i x="513" s="1" nd="1"/>
        <i x="329" s="1" nd="1"/>
        <i x="73" s="1" nd="1"/>
        <i x="128" s="1" nd="1"/>
        <i x="591" s="1" nd="1"/>
        <i x="192" s="1" nd="1"/>
        <i x="490" s="1" nd="1"/>
        <i x="864" s="1" nd="1"/>
        <i x="129" s="1" nd="1"/>
        <i x="491" s="1" nd="1"/>
        <i x="812" s="1" nd="1"/>
        <i x="701" s="1" nd="1"/>
        <i x="917" s="1" nd="1"/>
        <i x="454" s="1" nd="1"/>
        <i x="647" s="1" nd="1"/>
        <i x="813" s="1" nd="1"/>
        <i x="814" s="1" nd="1"/>
        <i x="330" s="1" nd="1"/>
        <i x="632" s="1" nd="1"/>
        <i x="130" s="1" nd="1"/>
        <i x="455" s="1" nd="1"/>
        <i x="541" s="1" nd="1"/>
        <i x="815" s="1" nd="1"/>
        <i x="816" s="1" nd="1"/>
        <i x="730" s="1" nd="1"/>
        <i x="266" s="1" nd="1"/>
        <i x="380" s="1" nd="1"/>
        <i x="331" s="1" nd="1"/>
        <i x="332" s="1" nd="1"/>
        <i x="865" s="1" nd="1"/>
        <i x="415" s="1" nd="1"/>
        <i x="731" s="1" nd="1"/>
        <i x="788" s="1" nd="1"/>
        <i x="333" s="1" nd="1"/>
        <i x="193" s="1" nd="1"/>
        <i x="74" s="1" nd="1"/>
        <i x="570" s="1" nd="1"/>
        <i x="880" s="1" nd="1"/>
        <i x="267" s="1" nd="1"/>
        <i x="817" s="1" nd="1"/>
        <i x="818" s="1" nd="1"/>
        <i x="268" s="1" nd="1"/>
        <i x="732" s="1" nd="1"/>
        <i x="592" s="1" nd="1"/>
        <i x="776" s="1" nd="1"/>
        <i x="702" s="1" nd="1"/>
        <i x="231" s="1" nd="1"/>
        <i x="752" s="1" nd="1"/>
        <i x="269" s="1" nd="1"/>
        <i x="593" s="1" nd="1"/>
        <i x="75" s="1" nd="1"/>
        <i x="76" s="1" nd="1"/>
        <i x="594" s="1" nd="1"/>
        <i x="866" s="1" nd="1"/>
        <i x="789" s="1" nd="1"/>
        <i x="926" s="1" nd="1"/>
        <i x="790" s="1" nd="1"/>
        <i x="334" s="1" nd="1"/>
        <i x="927" s="1" nd="1"/>
        <i x="542" s="1" nd="1"/>
        <i x="819" s="1" nd="1"/>
        <i x="335" s="1" nd="1"/>
        <i x="336" s="1" nd="1"/>
        <i x="894" s="1" nd="1"/>
        <i x="381" s="1" nd="1"/>
        <i x="77" s="1" nd="1"/>
        <i x="232" s="1" nd="1"/>
        <i x="867" s="1" nd="1"/>
        <i x="456" s="1" nd="1"/>
        <i x="131" s="1" nd="1"/>
        <i x="633" s="1" nd="1"/>
        <i x="514" s="1" nd="1"/>
        <i x="457" s="1" nd="1"/>
        <i x="555" s="1" nd="1"/>
        <i x="337" s="1" nd="1"/>
        <i x="382" s="1" nd="1"/>
        <i x="233" s="1" nd="1"/>
        <i x="383" s="1" nd="1"/>
        <i x="928" s="1" nd="1"/>
        <i x="234" s="1" nd="1"/>
        <i x="765" s="1" nd="1"/>
        <i x="132" s="1" nd="1"/>
        <i x="595" s="1" nd="1"/>
        <i x="235" s="1" nd="1"/>
        <i x="78" s="1" nd="1"/>
        <i x="596" s="1" nd="1"/>
        <i x="133" s="1" nd="1"/>
        <i x="791" s="1" nd="1"/>
        <i x="134" s="1" nd="1"/>
        <i x="338" s="1" nd="1"/>
        <i x="339" s="1" nd="1"/>
        <i x="135" s="1" nd="1"/>
        <i x="492" s="1" nd="1"/>
        <i x="895" s="1" nd="1"/>
        <i x="340" s="1" nd="1"/>
        <i x="341" s="1" nd="1"/>
        <i x="896" s="1" nd="1"/>
        <i x="79" s="1" nd="1"/>
        <i x="80" s="1" nd="1"/>
        <i x="236" s="1" nd="1"/>
        <i x="571" s="1" nd="1"/>
        <i x="766" s="1" nd="1"/>
        <i x="81" s="1" nd="1"/>
        <i x="733" s="1" nd="1"/>
        <i x="136" s="1" nd="1"/>
        <i x="753" s="1" nd="1"/>
        <i x="703" s="1" nd="1"/>
        <i x="270" s="1" nd="1"/>
        <i x="458" s="1" nd="1"/>
        <i x="342" s="1" nd="1"/>
        <i x="597" s="1" nd="1"/>
        <i x="704" s="1" nd="1"/>
        <i x="820" s="1" nd="1"/>
        <i x="237" s="1" nd="1"/>
        <i x="734" s="1" nd="1"/>
        <i x="271" s="1" nd="1"/>
        <i x="648" s="1" nd="1"/>
        <i x="649" s="1" nd="1"/>
        <i x="137" s="1" nd="1"/>
        <i x="598" s="1" nd="1"/>
        <i x="539" s="1" nd="1"/>
        <i x="599" s="1" nd="1"/>
        <i x="705" s="1" nd="1"/>
        <i x="138" s="1" nd="1"/>
        <i x="858" s="1" nd="1"/>
        <i x="343" s="1" nd="1"/>
        <i x="792" s="1" nd="1"/>
        <i x="139" s="1" nd="1"/>
        <i x="140" s="1" nd="1"/>
        <i x="793" s="1" nd="1"/>
        <i x="194" s="1" nd="1"/>
        <i x="515" s="1" nd="1"/>
        <i x="459" s="1" nd="1"/>
        <i x="344" s="1" nd="1"/>
        <i x="821" s="1" nd="1"/>
        <i x="735" s="1" nd="1"/>
        <i x="141" s="1" nd="1"/>
        <i x="706" s="1" nd="1"/>
        <i x="677" s="1" nd="1"/>
        <i x="238" s="1" nd="1"/>
        <i x="82" s="1" nd="1"/>
        <i x="546" s="1" nd="1"/>
        <i x="572" s="1" nd="1"/>
        <i x="736" s="1" nd="1"/>
        <i x="272" s="1" nd="1"/>
        <i x="142" s="1" nd="1"/>
        <i x="143" s="1" nd="1"/>
        <i x="273" s="1" nd="1"/>
        <i x="195" s="1" nd="1"/>
        <i x="929" s="1" nd="1"/>
        <i x="759" s="1" nd="1"/>
        <i x="559" s="1" nd="1"/>
        <i x="767" s="1" nd="1"/>
        <i x="847" s="1" nd="1"/>
        <i x="239" s="1" nd="1"/>
        <i x="416" s="1" nd="1"/>
        <i x="274" s="1" nd="1"/>
        <i x="678" s="1" nd="1"/>
        <i x="345" s="1" nd="1"/>
        <i x="667" s="1" nd="1"/>
        <i x="600" s="1" nd="1"/>
        <i x="346" s="1" nd="1"/>
        <i x="493" s="1" nd="1"/>
        <i x="560" s="1" nd="1"/>
        <i x="634" s="1" nd="1"/>
        <i x="841" s="1" nd="1"/>
        <i x="794" s="1" nd="1"/>
        <i x="460" s="1" nd="1"/>
        <i x="897" s="1" nd="1"/>
        <i x="384" s="1" nd="1"/>
        <i x="795" s="1" nd="1"/>
        <i x="842" s="1" nd="1"/>
        <i x="385" s="1" nd="1"/>
        <i x="822" s="1" nd="1"/>
        <i x="573" s="1" nd="1"/>
        <i x="707" s="1" nd="1"/>
        <i x="708" s="1" nd="1"/>
        <i x="823" s="1" nd="1"/>
        <i x="386" s="1" nd="1"/>
        <i x="906" s="1" nd="1"/>
        <i x="275" s="1" nd="1"/>
        <i x="824" s="1" nd="1"/>
        <i x="825" s="1" nd="1"/>
        <i x="547" s="1" nd="1"/>
        <i x="668" s="1" nd="1"/>
        <i x="749" s="1" nd="1"/>
        <i x="737" s="1" nd="1"/>
        <i x="347" s="1" nd="1"/>
        <i x="826" s="1" nd="1"/>
        <i x="561" s="1" nd="1"/>
        <i x="907" s="1" nd="1"/>
        <i x="417" s="1" nd="1"/>
        <i x="827" s="1" nd="1"/>
        <i x="828" s="1" nd="1"/>
        <i x="418" s="1" nd="1"/>
        <i x="738" s="1" nd="1"/>
        <i x="601" s="1" nd="1"/>
        <i x="777" s="1" nd="1"/>
        <i x="796" s="1" nd="1"/>
        <i x="387" s="1" nd="1"/>
        <i x="829" s="1" nd="1"/>
        <i x="419" s="1" nd="1"/>
        <i x="778" s="1" nd="1"/>
        <i x="83" s="1" nd="1"/>
        <i x="388" s="1" nd="1"/>
        <i x="779" s="1" nd="1"/>
        <i x="144" s="1" nd="1"/>
        <i x="145" s="1" nd="1"/>
        <i x="276" s="1" nd="1"/>
        <i x="531" s="1" nd="1"/>
        <i x="532" s="1" nd="1"/>
        <i x="709" s="1" nd="1"/>
        <i x="548" s="1" nd="1"/>
        <i x="602" s="1" nd="1"/>
        <i x="84" s="1" nd="1"/>
        <i x="85" s="1" nd="1"/>
        <i x="603" s="1" nd="1"/>
        <i x="146" s="1" nd="1"/>
        <i x="797" s="1" nd="1"/>
        <i x="277" s="1" nd="1"/>
        <i x="930" s="1" nd="1"/>
        <i x="635" s="1" nd="1"/>
        <i x="348" s="1" nd="1"/>
        <i x="768" s="1" nd="1"/>
        <i x="240" s="1" nd="1"/>
        <i x="636" s="1" nd="1"/>
        <i x="637" s="1" nd="1"/>
        <i x="86" s="1" nd="1"/>
        <i x="420" s="1" nd="1"/>
        <i x="278" s="1" nd="1"/>
        <i x="574" s="1" nd="1"/>
        <i x="868" s="1" nd="1"/>
        <i x="147" s="1" nd="1"/>
        <i x="739" s="1" nd="1"/>
        <i x="196" s="1" nd="1"/>
        <i x="638" s="1" nd="1"/>
        <i x="279" s="1" nd="1"/>
        <i x="280" s="1" nd="1"/>
        <i x="639" s="1" nd="1"/>
        <i x="898" s="1" nd="1"/>
        <i x="830" s="1" nd="1"/>
        <i x="197" s="1" nd="1"/>
        <i x="613" s="1" nd="1"/>
        <i x="913" s="1" nd="1"/>
        <i x="461" s="1" nd="1"/>
        <i x="198" s="1" nd="1"/>
        <i x="389" s="1" nd="1"/>
        <i x="869" s="1" nd="1"/>
        <i x="870" s="1" nd="1"/>
        <i x="390" s="1" nd="1"/>
        <i x="769" s="1" nd="1"/>
        <i x="650" s="1" nd="1"/>
        <i x="831" s="1" nd="1"/>
        <i x="549" s="1" nd="1"/>
        <i x="199" s="1" nd="1"/>
        <i x="494" s="1" nd="1"/>
        <i x="918" s="1" nd="1"/>
        <i x="710" s="1" nd="1"/>
        <i x="148" s="1" nd="1"/>
        <i x="575" s="1" nd="1"/>
        <i x="149" s="1" nd="1"/>
        <i x="281" s="1" nd="1"/>
        <i x="462" s="1" nd="1"/>
        <i x="349" s="1" nd="1"/>
        <i x="711" s="1" nd="1"/>
        <i x="150" s="1" nd="1"/>
        <i x="350" s="1" nd="1"/>
        <i x="200" s="1" nd="1"/>
        <i x="516" s="1" nd="1"/>
        <i x="421" s="1" nd="1"/>
        <i x="848" s="1" nd="1"/>
        <i x="151" s="1" nd="1"/>
        <i x="651" s="1" nd="1"/>
        <i x="740" s="1" nd="1"/>
        <i x="741" s="1" nd="1"/>
        <i x="937" s="1" nd="1"/>
        <i x="422" s="1" nd="1"/>
        <i x="652" s="1" nd="1"/>
        <i x="533" s="1" nd="1"/>
        <i x="495" s="1" nd="1"/>
        <i x="496" s="1" nd="1"/>
        <i x="87" s="1" nd="1"/>
        <i x="423" s="1" nd="1"/>
        <i x="152" s="1" nd="1"/>
        <i x="424" s="1" nd="1"/>
        <i x="653" s="1" nd="1"/>
        <i x="669" s="1" nd="1"/>
        <i x="153" s="1" nd="1"/>
        <i x="760" s="1" nd="1"/>
        <i x="463" s="1" nd="1"/>
        <i x="754" s="1" nd="1"/>
        <i x="780" s="1" nd="1"/>
        <i x="464" s="1" nd="1"/>
        <i x="497" s="1" nd="1"/>
        <i x="391" s="1" nd="1"/>
        <i x="640" s="1" nd="1"/>
        <i x="908" s="1" nd="1"/>
        <i x="654" s="1" nd="1"/>
        <i x="88" s="1" nd="1"/>
        <i x="742" s="1" nd="1"/>
        <i x="154" s="1" nd="1"/>
        <i x="655" s="1" nd="1"/>
        <i x="656" s="1" nd="1"/>
        <i x="155" s="1" nd="1"/>
        <i x="465" s="1" nd="1"/>
        <i x="466" s="1" nd="1"/>
        <i x="604" s="1" nd="1"/>
        <i x="761" s="1" nd="1"/>
        <i x="282" s="1" nd="1"/>
        <i x="89" s="1" nd="1"/>
        <i x="467" s="1" nd="1"/>
        <i x="871" s="1" nd="1"/>
        <i x="425" s="1" nd="1"/>
        <i x="283" s="1" nd="1"/>
        <i x="156" s="1" nd="1"/>
        <i x="201" s="1" nd="1"/>
        <i x="351" s="1" nd="1"/>
        <i x="352" s="1" nd="1"/>
        <i x="284" s="1" nd="1"/>
        <i x="556" s="1" nd="1"/>
        <i x="285" s="1" nd="1"/>
        <i x="498" s="1" nd="1"/>
        <i x="517" s="1" nd="1"/>
        <i x="468" s="1" nd="1"/>
        <i x="469" s="1" nd="1"/>
        <i x="518" s="1" nd="1"/>
        <i x="241" s="1" nd="1"/>
        <i x="242" s="1" nd="1"/>
        <i x="499" s="1" nd="1"/>
        <i x="534" s="1" nd="1"/>
        <i x="286" s="1" nd="1"/>
        <i x="743" s="1" nd="1"/>
        <i x="202" s="1" nd="1"/>
        <i x="762" s="1" nd="1"/>
        <i x="287" s="1" nd="1"/>
        <i x="288" s="1" nd="1"/>
        <i x="679" s="1" nd="1"/>
        <i x="203" s="1" nd="1"/>
        <i x="899" s="1" nd="1"/>
        <i x="353" s="1" nd="1"/>
        <i x="354" s="1" nd="1"/>
        <i x="157" s="1" nd="1"/>
        <i x="605" s="1" nd="1"/>
        <i x="204" s="1" nd="1"/>
        <i x="500" s="1" nd="1"/>
        <i x="158" s="1" nd="1"/>
        <i x="931" s="1" nd="1"/>
        <i x="501" s="1" nd="1"/>
        <i x="832" s="1" nd="1"/>
        <i x="770" s="1" nd="1"/>
        <i x="919" s="1" nd="1"/>
        <i x="606" s="1" nd="1"/>
        <i x="900" s="1" nd="1"/>
        <i x="502" s="1" nd="1"/>
        <i x="90" s="1" nd="1"/>
        <i x="550" s="1" nd="1"/>
        <i x="901" s="1" nd="1"/>
        <i x="902" s="1" nd="1"/>
        <i x="426" s="1" nd="1"/>
        <i x="744" s="1" nd="1"/>
        <i x="670" s="1" nd="1"/>
        <i x="859" s="1" nd="1"/>
        <i x="641" s="1" nd="1"/>
        <i x="289" s="1" nd="1"/>
        <i x="91" s="1" nd="1"/>
        <i x="470" s="1" nd="1"/>
        <i x="872" s="1" nd="1"/>
        <i x="290" s="1" nd="1"/>
        <i x="291" s="1" nd="1"/>
        <i x="873" s="1" nd="1"/>
        <i x="205" s="1" nd="1"/>
        <i x="519" s="1" nd="1"/>
        <i x="520" s="1" nd="1"/>
        <i x="860" s="1" nd="1"/>
        <i x="521" s="1" nd="1"/>
        <i x="355" s="1" nd="1"/>
        <i x="1261" s="1" nd="1"/>
        <i x="1334" s="1" nd="1"/>
        <i x="1350" s="1" nd="1"/>
        <i x="1291" s="1" nd="1"/>
        <i x="1316" s="1" nd="1"/>
        <i x="1292" s="1" nd="1"/>
        <i x="1262" s="1" nd="1"/>
        <i x="1263" s="1" nd="1"/>
        <i x="1264" s="1" nd="1"/>
        <i x="1265" s="1" nd="1"/>
        <i x="798" s="1" nd="1"/>
        <i x="1355" s="1" nd="1"/>
        <i x="1391" s="1" nd="1"/>
        <i x="1406" s="1" nd="1"/>
        <i x="1367" s="1" nd="1"/>
        <i x="1330" s="1" nd="1"/>
        <i x="1344" s="1" nd="1"/>
        <i x="1266" s="1" nd="1"/>
        <i x="1267" s="1" nd="1"/>
        <i x="1317" s="1" nd="1"/>
        <i x="1335" s="1" nd="1"/>
        <i x="392" s="1" nd="1"/>
        <i x="712" s="1" nd="1"/>
        <i x="206" s="1" nd="1"/>
        <i x="207" s="1" nd="1"/>
        <i x="713" s="1" nd="1"/>
        <i x="92" s="1" nd="1"/>
        <i x="909" s="1" nd="1"/>
        <i x="243" s="1" nd="1"/>
        <i x="607" s="1" nd="1"/>
        <i x="910" s="1" nd="1"/>
        <i x="614" s="1" nd="1"/>
        <i x="292" s="1" nd="1"/>
        <i x="471" s="1" nd="1"/>
        <i x="911" s="1" nd="1"/>
        <i x="93" s="1" nd="1"/>
        <i x="472" s="1" nd="1"/>
        <i x="799" s="1" nd="1"/>
        <i x="836" s="1" nd="1"/>
        <i x="874" s="1" nd="1"/>
        <i x="208" s="1" nd="1"/>
        <i x="800" s="1" nd="1"/>
        <i x="473" s="1" nd="1"/>
        <i x="903" s="1" nd="1"/>
        <i x="244" s="1" nd="1"/>
        <i x="843" s="1" nd="1"/>
        <i x="801" s="1" nd="1"/>
        <i x="503" s="1" nd="1"/>
        <i x="657" s="1" nd="1"/>
        <i x="615" s="1" nd="1"/>
        <i x="771" s="1" nd="1"/>
        <i x="209" s="1" nd="1"/>
        <i x="293" s="1" nd="1"/>
        <i x="94" s="1" nd="1"/>
        <i x="557" s="1" nd="1"/>
        <i x="159" s="1" nd="1"/>
        <i x="551" s="1" nd="1"/>
        <i x="294" s="1" nd="1"/>
        <i x="884" s="1" nd="1"/>
        <i x="356" s="1" nd="1"/>
        <i x="357" s="1" nd="1"/>
        <i x="358" s="1" nd="1"/>
        <i x="745" s="1" nd="1"/>
        <i x="932" s="1" nd="1"/>
        <i x="608" s="1" nd="1"/>
        <i x="210" s="1" nd="1"/>
        <i x="504" s="1" nd="1"/>
        <i x="160" s="1" nd="1"/>
        <i x="933" s="1" nd="1"/>
        <i x="642" s="1" nd="1"/>
        <i x="833" s="1" nd="1"/>
        <i x="714" s="1" nd="1"/>
        <i x="211" s="1" nd="1"/>
        <i x="609" s="1" nd="1"/>
        <i x="715" s="1" nd="1"/>
        <i x="393" s="1" nd="1"/>
        <i x="881" s="1" nd="1"/>
        <i x="295" s="1" nd="1"/>
        <i x="716" s="1" nd="1"/>
        <i x="717" s="1" nd="1"/>
        <i x="296" s="1" nd="1"/>
        <i x="671" s="1" nd="1"/>
        <i x="558" s="1" nd="1"/>
        <i x="746" s="1" nd="1"/>
        <i x="427" s="1" nd="1"/>
        <i x="245" s="1" nd="1"/>
        <i x="834" s="1" nd="1"/>
        <i x="297" s="1" nd="1"/>
        <i x="747" s="1" nd="1"/>
        <i x="394" s="1" nd="1"/>
        <i x="95" s="1" nd="1"/>
        <i x="748" s="1" nd="1"/>
        <i x="161" s="1" nd="1"/>
        <i x="934" s="1" nd="1"/>
        <i x="162" s="1" nd="1"/>
        <i x="522" s="1" nd="1"/>
        <i x="718" s="1" nd="1"/>
        <i x="395" s="1" nd="1"/>
        <i x="672" s="1" nd="1"/>
        <i x="163" s="1" nd="1"/>
        <i x="658" s="1" nd="1"/>
        <i x="659" s="1" nd="1"/>
        <i x="164" s="1" nd="1"/>
        <i x="474" s="1" nd="1"/>
        <i x="359" s="1" nd="1"/>
        <i x="617" s="1" nd="1"/>
        <i x="750" s="1" nd="1"/>
        <i x="1392" s="1" nd="1"/>
        <i x="1331" s="1" nd="1"/>
        <i x="1413" s="1" nd="1"/>
        <i x="1268" s="1" nd="1"/>
        <i x="1393" s="1" nd="1"/>
        <i x="1394" s="1" nd="1"/>
        <i x="1318" s="1" nd="1"/>
        <i x="1368" s="1" nd="1"/>
        <i x="1345" s="1" nd="1"/>
        <i x="1384" s="1" nd="1"/>
        <i x="1453" s="1" nd="1"/>
        <i x="1454" s="1" nd="1"/>
        <i x="1129" s="1" nd="1"/>
        <i x="1217" s="1" nd="1"/>
        <i x="1474" s="1" nd="1"/>
        <i x="1460" s="1" nd="1"/>
        <i x="1461" s="1" nd="1"/>
        <i x="1208" s="1" nd="1"/>
        <i x="1209" s="1" nd="1"/>
        <i x="1482" s="1" nd="1"/>
        <i x="1484" s="1" nd="1"/>
        <i x="1485" s="1" nd="1"/>
        <i x="1483" s="1" nd="1"/>
        <i x="1488" s="1" nd="1"/>
        <i x="1201" s="1" nd="1"/>
        <i x="1456" s="1" nd="1"/>
        <i x="1496" s="1" nd="1"/>
        <i x="1210" s="1" nd="1"/>
        <i x="1202" s="1" nd="1"/>
        <i x="1492" s="1" nd="1"/>
        <i x="1470" s="1" nd="1"/>
        <i x="1471" s="1" nd="1"/>
        <i x="1218" s="1" nd="1"/>
        <i x="1491" s="1" nd="1"/>
        <i x="1481" s="1" nd="1"/>
        <i x="1486" s="1" nd="1"/>
        <i x="1465" s="1" nd="1"/>
        <i x="1466" s="1" nd="1"/>
        <i x="1472" s="1" nd="1"/>
        <i x="1473" s="1" nd="1"/>
        <i x="1490" s="1" nd="1"/>
        <i x="1462" s="1" nd="1"/>
        <i x="1457" s="1" nd="1"/>
        <i x="1220" s="1" nd="1"/>
        <i x="1194" s="1" nd="1"/>
        <i x="1195" s="1" nd="1"/>
        <i x="1196" s="1" nd="1"/>
        <i x="1203" s="1" nd="1"/>
        <i x="1197" s="1" nd="1"/>
        <i x="1477" s="1" nd="1"/>
        <i x="1487" s="1" nd="1"/>
        <i x="1463" s="1" nd="1"/>
        <i x="1464" s="1" nd="1"/>
        <i x="1215" s="1" nd="1"/>
        <i x="1475" s="1" nd="1"/>
        <i x="1476" s="1" nd="1"/>
        <i x="1478" s="1" nd="1"/>
        <i x="1211" s="1" nd="1"/>
        <i x="1212" s="1" nd="1"/>
        <i x="1213" s="1" nd="1"/>
        <i x="1458" s="1" nd="1"/>
        <i x="1198" s="1" nd="1"/>
        <i x="1489" s="1" nd="1"/>
        <i x="1467" s="1" nd="1"/>
        <i x="1204" s="1" nd="1"/>
        <i x="1219" s="1" nd="1"/>
        <i x="1479" s="1" nd="1"/>
        <i x="1480" s="1" nd="1"/>
        <i x="1199" s="1" nd="1"/>
        <i x="1200" s="1" nd="1"/>
        <i x="1214" s="1" nd="1"/>
        <i x="1468" s="1" nd="1"/>
        <i x="1205" s="1" nd="1"/>
        <i x="1495" s="1" nd="1"/>
        <i x="1494" s="1" nd="1"/>
        <i x="1493" s="1" nd="1"/>
        <i x="1459" s="1" nd="1"/>
        <i x="1206" s="1" nd="1"/>
        <i x="1207" s="1" nd="1"/>
        <i x="1216" s="1" nd="1"/>
        <i x="1682" s="1" nd="1"/>
        <i x="1239" s="1" nd="1"/>
        <i x="1240" s="1" nd="1"/>
        <i x="1238" s="1" nd="1"/>
        <i x="1677" s="1" nd="1"/>
        <i x="1015" s="1" nd="1"/>
        <i x="1000" s="1" nd="1"/>
        <i x="977" s="1" nd="1"/>
        <i x="954" s="1" nd="1"/>
        <i x="972" s="1" nd="1"/>
        <i x="1039" s="1" nd="1"/>
        <i x="1618" s="1" nd="1"/>
        <i x="946" s="1" nd="1"/>
        <i x="1426" s="1" nd="1"/>
        <i x="1074" s="1" nd="1"/>
        <i x="1073" s="1" nd="1"/>
        <i x="970" s="1" nd="1"/>
        <i x="1638" s="1" nd="1"/>
        <i x="1611" s="1" nd="1"/>
        <i x="1576" s="1" nd="1"/>
        <i x="1110" s="1" nd="1"/>
        <i x="1023" s="1" nd="1"/>
        <i x="1067" s="1" nd="1"/>
        <i x="985" s="1" nd="1"/>
        <i x="1605" s="1" nd="1"/>
        <i x="1527" s="1" nd="1"/>
        <i x="980" s="1" nd="1"/>
        <i x="1696" s="1" nd="1"/>
        <i x="1620" s="1" nd="1"/>
        <i x="1040" s="1" nd="1"/>
        <i x="1042" s="1" nd="1"/>
        <i x="1088" s="1" nd="1"/>
        <i x="1120" s="1" nd="1"/>
        <i x="1064" s="1" nd="1"/>
        <i x="1437" s="1" nd="1"/>
        <i x="1430" s="1" nd="1"/>
        <i x="1116" s="1" nd="1"/>
        <i x="1539" s="1" nd="1"/>
        <i x="1596" s="1" nd="1"/>
        <i x="976" s="1" nd="1"/>
        <i x="949" s="1" nd="1"/>
        <i x="1425" s="1" nd="1"/>
        <i x="1049" s="1" nd="1"/>
        <i x="1512" s="1" nd="1"/>
        <i x="1515" s="1" nd="1"/>
        <i x="1591" s="1" nd="1"/>
        <i x="1443" s="1" nd="1"/>
        <i x="1577" s="1" nd="1"/>
        <i x="1022" s="1" nd="1"/>
        <i x="1006" s="1" nd="1"/>
        <i x="983" s="1" nd="1"/>
        <i x="981" s="1" nd="1"/>
        <i x="1613" s="1" nd="1"/>
        <i x="1636" s="1" nd="1"/>
        <i x="1655" s="1" nd="1"/>
        <i x="1234" s="1" nd="1"/>
        <i x="1233" s="1" nd="1"/>
        <i x="995" s="1" nd="1"/>
        <i x="1232" s="1" nd="1"/>
        <i x="1650" s="1" nd="1"/>
        <i x="1612" s="1" nd="1"/>
        <i x="1432" s="1" nd="1"/>
        <i x="1103" s="1" nd="1"/>
        <i x="1104" s="1" nd="1"/>
        <i x="1193" s="1" nd="1"/>
        <i x="1001" s="1" nd="1"/>
        <i x="1057" s="1" nd="1"/>
        <i x="1047" s="1" nd="1"/>
        <i x="1125" s="1" nd="1"/>
        <i x="1192" s="1" nd="1"/>
        <i x="952" s="1" nd="1"/>
        <i x="950" s="1" nd="1"/>
        <i x="960" s="1" nd="1"/>
        <i x="1043" s="1" nd="1"/>
        <i x="1068" s="1" nd="1"/>
        <i x="1048" s="1" nd="1"/>
        <i x="1448" s="1" nd="1"/>
        <i x="988" s="1" nd="1"/>
        <i x="1513" s="1" nd="1"/>
        <i x="1032" s="1" nd="1"/>
        <i x="1096" s="1" nd="1"/>
        <i x="1045" s="1" nd="1"/>
        <i x="1571" s="1" nd="1"/>
        <i x="1061" s="1" nd="1"/>
        <i x="1086" s="1" nd="1"/>
        <i x="1428" s="1" nd="1"/>
        <i x="1081" s="1" nd="1"/>
        <i x="1028" s="1" nd="1"/>
        <i x="1010" s="1" nd="1"/>
        <i x="1704" s="1" nd="1"/>
        <i x="1534" s="1" nd="1"/>
        <i x="969" s="1" nd="1"/>
        <i x="1072" s="1" nd="1"/>
        <i x="996" s="1" nd="1"/>
        <i x="1602" s="1" nd="1"/>
        <i x="1600" s="1" nd="1"/>
        <i x="1065" s="1" nd="1"/>
        <i x="1056" s="1" nd="1"/>
        <i x="973" s="1" nd="1"/>
        <i x="991" s="1" nd="1"/>
        <i x="1603" s="1" nd="1"/>
        <i x="1063" s="1" nd="1"/>
        <i x="1051" s="1" nd="1"/>
        <i x="1066" s="1" nd="1"/>
        <i x="992" s="1" nd="1"/>
        <i x="1449" s="1" nd="1"/>
        <i x="1060" s="1" nd="1"/>
        <i x="1601" s="1" nd="1"/>
        <i x="1640" s="1" nd="1"/>
        <i x="1002" s="1" nd="1"/>
        <i x="1054" s="1" nd="1"/>
        <i x="1127" s="1" nd="1"/>
        <i x="1230" s="1" nd="1"/>
        <i x="1190" s="1" nd="1"/>
        <i x="1191" s="1" nd="1"/>
        <i x="1444" s="1" nd="1"/>
        <i x="1128" s="1" nd="1"/>
        <i x="979" s="1" nd="1"/>
        <i x="1607" s="1" nd="1"/>
        <i x="1011" s="1" nd="1"/>
        <i x="1085" s="1" nd="1"/>
        <i x="1036" s="1" nd="1"/>
        <i x="1709" s="1" nd="1"/>
        <i x="1027" s="1" nd="1"/>
        <i x="1115" s="1" nd="1"/>
        <i x="1570" s="1" nd="1"/>
        <i x="1016" s="1" nd="1"/>
        <i x="1092" s="1" nd="1"/>
        <i x="1004" s="1" nd="1"/>
        <i x="1446" s="1" nd="1"/>
        <i x="1187" s="1" nd="1"/>
        <i x="1637" s="1" nd="1"/>
        <i x="1641" s="1" nd="1"/>
        <i x="1078" s="1" nd="1"/>
        <i x="1652" s="1" nd="1"/>
        <i x="989" s="1" nd="1"/>
        <i x="1676" s="1" nd="1"/>
        <i x="1101" s="1" nd="1"/>
        <i x="1019" s="1" nd="1"/>
        <i x="964" s="1" nd="1"/>
        <i x="968" s="1" nd="1"/>
        <i x="1099" s="1" nd="1"/>
        <i x="1100" s="1" nd="1"/>
        <i x="1062" s="1" nd="1"/>
        <i x="1579" s="1" nd="1"/>
        <i x="1595" s="1" nd="1"/>
        <i x="1044" s="1" nd="1"/>
        <i x="1107" s="1" nd="1"/>
        <i x="951" s="1" nd="1"/>
        <i x="1008" s="1" nd="1"/>
        <i x="998" s="1" nd="1"/>
        <i x="1574" s="1" nd="1"/>
        <i x="1077" s="1" nd="1"/>
        <i x="986" s="1" nd="1"/>
        <i x="971" s="1" nd="1"/>
        <i x="1686" s="1" nd="1"/>
        <i x="1422" s="1" nd="1"/>
        <i x="1569" s="1" nd="1"/>
        <i x="1517" s="1" nd="1"/>
        <i x="1580" s="1" nd="1"/>
        <i x="1076" s="1" nd="1"/>
        <i x="1597" s="1" nd="1"/>
        <i x="1108" s="1" nd="1"/>
        <i x="997" s="1" nd="1"/>
        <i x="1005" s="1" nd="1"/>
        <i x="1097" s="1" nd="1"/>
        <i x="1080" s="1" nd="1"/>
        <i x="1541" s="1" nd="1"/>
        <i x="1514" s="1" nd="1"/>
        <i x="1599" s="1" nd="1"/>
        <i x="1123" s="1" nd="1"/>
        <i x="1606" s="1" nd="1"/>
        <i x="1087" s="1" nd="1"/>
        <i x="987" s="1" nd="1"/>
        <i x="1424" s="1" nd="1"/>
        <i x="958" s="1" nd="1"/>
        <i x="1573" s="1" nd="1"/>
        <i x="994" s="1" nd="1"/>
        <i x="1578" s="1" nd="1"/>
        <i x="1106" s="1" nd="1"/>
        <i x="1124" s="1" nd="1"/>
        <i x="962" s="1" nd="1"/>
        <i x="1526" s="1" nd="1"/>
        <i x="1098" s="1" nd="1"/>
        <i x="1680" s="1" nd="1"/>
        <i x="1582" s="1" nd="1"/>
        <i x="1445" s="1" nd="1"/>
        <i x="1672" s="1" nd="1"/>
        <i x="961" s="1" nd="1"/>
        <i x="1511" s="1" nd="1"/>
        <i x="1509" s="1" nd="1"/>
        <i x="993" s="1" nd="1"/>
        <i x="1678" s="1" nd="1"/>
        <i x="1657" s="1" nd="1"/>
        <i x="1231" s="1" nd="1"/>
        <i x="1229" s="1" nd="1"/>
        <i x="1608" s="1" nd="1"/>
        <i x="1653" s="1" nd="1"/>
        <i x="975" s="1" nd="1"/>
        <i x="1041" s="1" nd="1"/>
        <i x="1069" s="1" nd="1"/>
        <i x="1114" s="1" nd="1"/>
        <i x="1442" s="1" nd="1"/>
        <i x="1119" s="1" nd="1"/>
        <i x="1111" s="1" nd="1"/>
        <i x="1429" s="1" nd="1"/>
        <i x="1436" s="1" nd="1"/>
        <i x="1093" s="1" nd="1"/>
        <i x="1075" s="1" nd="1"/>
        <i x="1621" s="1" nd="1"/>
        <i x="1584" s="1" nd="1"/>
        <i x="1594" s="1" nd="1"/>
        <i x="1433" s="1" nd="1"/>
        <i x="1586" s="1" nd="1"/>
        <i x="1031" s="1" nd="1"/>
        <i x="1440" s="1" nd="1"/>
        <i x="1441" s="1" nd="1"/>
        <i x="1604" s="1" nd="1"/>
        <i x="1589" s="1" nd="1"/>
        <i x="1617" s="1" nd="1"/>
        <i x="1435" s="1" nd="1"/>
        <i x="1651" s="1" nd="1"/>
        <i x="1113" s="1" nd="1"/>
        <i x="1012" s="1" nd="1"/>
        <i x="1121" s="1" nd="1"/>
        <i x="1619" s="1" nd="1"/>
        <i x="1598" s="1" nd="1"/>
        <i x="1639" s="1" nd="1"/>
        <i x="1112" s="1" nd="1"/>
        <i x="1431" s="1" nd="1"/>
        <i x="1117" s="1" nd="1"/>
        <i x="1447" s="1" nd="1"/>
        <i x="1553" s="1" nd="1"/>
        <i x="1616" s="1" nd="1"/>
        <i x="1083" s="1" nd="1"/>
        <i x="1585" s="1" nd="1"/>
        <i x="1033" s="1" nd="1"/>
        <i x="1122" s="1" nd="1"/>
        <i x="1587" s="1" nd="1"/>
        <i x="1588" s="1" nd="1"/>
        <i x="1590" s="1" nd="1"/>
        <i x="1034" s="1" nd="1"/>
        <i x="1542" s="1" nd="1"/>
        <i x="1701" s="1" nd="1"/>
        <i x="1648" s="1" nd="1"/>
        <i x="1126" s="1" nd="1"/>
        <i x="1091" s="1" nd="1"/>
        <i x="1712" s="1" nd="1"/>
        <i x="999" s="1" nd="1"/>
        <i x="974" s="1" nd="1"/>
        <i x="1522" s="1" nd="1"/>
        <i x="1070" s="1" nd="1"/>
        <i x="1423" s="1" nd="1"/>
        <i x="1082" s="1" nd="1"/>
        <i x="1188" s="1" nd="1"/>
        <i x="982" s="1" nd="1"/>
        <i x="1524" s="1" nd="1"/>
        <i x="1675" s="1" nd="1"/>
        <i x="1059" s="1" nd="1"/>
        <i x="990" s="1" nd="1"/>
        <i x="1624" s="1" nd="1"/>
        <i x="1504" s="1" nd="1"/>
        <i x="1038" s="1" nd="1"/>
        <i x="1516" s="1" nd="1"/>
        <i x="1003" s="1" nd="1"/>
        <i x="1118" s="1" nd="1"/>
        <i x="1540" s="1" nd="1"/>
        <i x="1024" s="1" nd="1"/>
        <i x="1025" s="1" nd="1"/>
        <i x="984" s="1" nd="1"/>
        <i x="1572" s="1" nd="1"/>
        <i x="1089" s="1" nd="1"/>
        <i x="1663" s="1" nd="1"/>
        <i x="1102" s="1" nd="1"/>
        <i x="1030" s="1" nd="1"/>
        <i x="1658" s="1" nd="1"/>
        <i x="1021" s="1" nd="1"/>
        <i x="1535" s="1" nd="1"/>
        <i x="1583" s="1" nd="1"/>
        <i x="1013" s="1" nd="1"/>
        <i x="1094" s="1" nd="1"/>
        <i x="1625" s="1" nd="1"/>
        <i x="1642" s="1" nd="1"/>
        <i x="978" s="1" nd="1"/>
        <i x="1090" s="1" nd="1"/>
        <i x="1532" s="1" nd="1"/>
        <i x="1536" s="1" nd="1"/>
        <i x="1523" s="1" nd="1"/>
        <i x="1521" s="1" nd="1"/>
        <i x="955" s="1" nd="1"/>
        <i x="1020" s="1" nd="1"/>
        <i x="1046" s="1" nd="1"/>
        <i x="1632" s="1" nd="1"/>
        <i x="1427" s="1" nd="1"/>
        <i x="1525" s="1" nd="1"/>
        <i x="1548" s="1" nd="1"/>
        <i x="957" s="1" nd="1"/>
        <i x="953" s="1" nd="1"/>
        <i x="1543" s="1" nd="1"/>
        <i x="1645" s="1" nd="1"/>
        <i x="1661" s="1" nd="1"/>
        <i x="1434" s="1" nd="1"/>
        <i x="1014" s="1" nd="1"/>
        <i x="1053" s="1" nd="1"/>
        <i x="1626" s="1" nd="1"/>
        <i x="963" s="1" nd="1"/>
        <i x="1507" s="1" nd="1"/>
        <i x="1071" s="1" nd="1"/>
        <i x="1623" s="1" nd="1"/>
        <i x="956" s="1" nd="1"/>
        <i x="1537" s="1" nd="1"/>
        <i x="1538" s="1" nd="1"/>
        <i x="1095" s="1" nd="1"/>
        <i x="1508" s="1" nd="1"/>
        <i x="1055" s="1" nd="1"/>
        <i x="1630" s="1" nd="1"/>
        <i x="1633" s="1" nd="1"/>
        <i x="1631" s="1" nd="1"/>
        <i x="1647" s="1" nd="1"/>
        <i x="1575" s="1" nd="1"/>
        <i x="1519" s="1" nd="1"/>
        <i x="1646" s="1" nd="1"/>
        <i x="1660" s="1" nd="1"/>
        <i x="1530" s="1" nd="1"/>
        <i x="1644" s="1" nd="1"/>
        <i x="1629" s="1" nd="1"/>
        <i x="1520" s="1" nd="1"/>
        <i x="1669" s="1" nd="1"/>
        <i x="1547" s="1" nd="1"/>
        <i x="1554" s="1" nd="1"/>
        <i x="1628" s="1" nd="1"/>
        <i x="1668" s="1" nd="1"/>
        <i x="1670" s="1" nd="1"/>
        <i x="1674" s="1" nd="1"/>
        <i x="1510" s="1" nd="1"/>
        <i x="1550" s="1" nd="1"/>
        <i x="1551" s="1" nd="1"/>
        <i x="1531" s="1" nd="1"/>
        <i x="1029" s="1" nd="1"/>
        <i x="1505" s="1" nd="1"/>
        <i x="959" s="1" nd="1"/>
        <i x="1545" s="1" nd="1"/>
        <i x="947" s="1" nd="1"/>
        <i x="1052" s="1" nd="1"/>
        <i x="1546" s="1" nd="1"/>
        <i x="1506" s="1" nd="1"/>
        <i x="1552" s="1" nd="1"/>
        <i x="1189" s="1" nd="1"/>
        <i x="1084" s="1" nd="1"/>
        <i x="1035" s="1" nd="1"/>
        <i x="1050" s="1" nd="1"/>
        <i x="1581" s="1" nd="1"/>
        <i x="1609" s="1" nd="1"/>
        <i x="1593" s="1" nd="1"/>
        <i x="1610" s="1" nd="1"/>
        <i x="1105" s="1" nd="1"/>
        <i x="1079" s="1" nd="1"/>
        <i x="966" s="1" nd="1"/>
        <i x="1009" s="1" nd="1"/>
        <i x="1017" s="1" nd="1"/>
        <i x="1439" s="1" nd="1"/>
        <i x="1438" s="1" nd="1"/>
        <i x="1654" s="1" nd="1"/>
        <i x="1109" s="1" nd="1"/>
        <i x="1592" s="1" nd="1"/>
        <i x="1568" s="1" nd="1"/>
        <i x="1058" s="1" nd="1"/>
        <i x="1018" s="1" nd="1"/>
        <i x="1615" s="1" nd="1"/>
        <i x="1026" s="1" nd="1"/>
        <i x="1037" s="1" nd="1"/>
        <i x="967" s="1" nd="1"/>
        <i x="1656" s="1" nd="1"/>
        <i x="1635" s="1" nd="1"/>
        <i x="1133" s="1" nd="1"/>
        <i x="1134" s="1" nd="1"/>
        <i x="1130" s="1" nd="1"/>
        <i x="1139" s="1" nd="1"/>
        <i x="1140" s="1" nd="1"/>
        <i x="1135" s="1" nd="1"/>
        <i x="1163" s="1" nd="1"/>
        <i x="1160" s="1" nd="1"/>
        <i x="1148" s="1" nd="1"/>
        <i x="1157" s="1" nd="1"/>
        <i x="1146" s="1" nd="1"/>
        <i x="1161" s="1" nd="1"/>
        <i x="1179" s="1" nd="1"/>
        <i x="1177" s="1" nd="1"/>
        <i x="1180" s="1" nd="1"/>
        <i x="1228" s="1" nd="1"/>
        <i x="1171" s="1" nd="1"/>
        <i x="1172" s="1" nd="1"/>
        <i x="1173" s="1" nd="1"/>
        <i x="1186" s="1" nd="1"/>
        <i x="1141" s="1" nd="1"/>
        <i x="1158" s="1" nd="1"/>
        <i x="1159" s="1" nd="1"/>
        <i x="1227" s="1" nd="1"/>
        <i x="1162" s="1" nd="1"/>
        <i x="1149" s="1" nd="1"/>
        <i x="1222" s="1" nd="1"/>
        <i x="1174" s="1" nd="1"/>
        <i x="1181" s="1" nd="1"/>
        <i x="1182" s="1" nd="1"/>
        <i x="1150" s="1" nd="1"/>
        <i x="1165" s="1" nd="1"/>
        <i x="1152" s="1" nd="1"/>
        <i x="1142" s="1" nd="1"/>
        <i x="1143" s="1" nd="1"/>
        <i x="1144" s="1" nd="1"/>
        <i x="1151" s="1" nd="1"/>
        <i x="1147" s="1" nd="1"/>
        <i x="1131" s="1" nd="1"/>
        <i x="1153" s="1" nd="1"/>
        <i x="1235" s="1" nd="1"/>
        <i x="1237" s="1" nd="1"/>
        <i x="1164" s="1" nd="1"/>
        <i x="1223" s="1" nd="1"/>
        <i x="1175" s="1" nd="1"/>
        <i x="1225" s="1" nd="1"/>
        <i x="1167" s="1" nd="1"/>
        <i x="1183" s="1" nd="1"/>
        <i x="1178" s="1" nd="1"/>
        <i x="1184" s="1" nd="1"/>
        <i x="1185" s="1" nd="1"/>
        <i x="1136" s="1" nd="1"/>
        <i x="1132" s="1" nd="1"/>
        <i x="1170" s="1" nd="1"/>
        <i x="1145" s="1" nd="1"/>
        <i x="1166" s="1" nd="1"/>
        <i x="1154" s="1" nd="1"/>
        <i x="1155" s="1" nd="1"/>
        <i x="1137" s="1" nd="1"/>
        <i x="1138" s="1" nd="1"/>
        <i x="1236" s="1" nd="1"/>
        <i x="1226" s="1" nd="1"/>
        <i x="1156" s="1" nd="1"/>
        <i x="1168" s="1" nd="1"/>
        <i x="1176" s="1" nd="1"/>
        <i x="1224" s="1" nd="1"/>
        <i x="1169" s="1" nd="1"/>
        <i x="1503" s="1" nd="1"/>
        <i x="1452" s="1" nd="1"/>
        <i x="1566" s="1" nd="1"/>
        <i x="1498" s="1" nd="1"/>
        <i x="1684" s="1" nd="1"/>
        <i x="1699" s="1" nd="1"/>
        <i x="1685" s="1" nd="1"/>
        <i x="1497" s="1" nd="1"/>
        <i x="1544" s="1" nd="1"/>
        <i x="1683" s="1" nd="1"/>
        <i x="1450" s="1" nd="1"/>
        <i x="1622" s="1" nd="1"/>
        <i x="5" s="1" nd="1"/>
        <i x="1687" s="1" nd="1"/>
        <i x="6" s="1" nd="1"/>
        <i x="948" s="1" nd="1"/>
        <i x="1564" s="1" nd="1"/>
        <i x="38" s="1" nd="1"/>
        <i x="17" s="1" nd="1"/>
        <i x="14" s="1" nd="1"/>
        <i x="21" s="1" nd="1"/>
        <i x="1559" s="1" nd="1"/>
        <i x="1565" s="1" nd="1"/>
        <i x="31" s="1" nd="1"/>
        <i x="1558" s="1" nd="1"/>
        <i x="3" s="1" nd="1"/>
        <i x="1555" s="1" nd="1"/>
        <i x="1567" s="1" nd="1"/>
        <i x="40" s="1" nd="1"/>
        <i x="34" s="1" nd="1"/>
        <i x="9" s="1" nd="1"/>
        <i x="12" s="1" nd="1"/>
        <i x="1563" s="1" nd="1"/>
        <i x="1627" s="1" nd="1"/>
        <i x="23" s="1" nd="1"/>
        <i x="1560" s="1" nd="1"/>
        <i x="1561" s="1" nd="1"/>
        <i x="20" s="1" nd="1"/>
        <i x="1614" s="1" nd="1"/>
        <i x="1673" s="1" nd="1"/>
        <i x="10" s="1" nd="1"/>
        <i x="1501" s="1" nd="1"/>
        <i x="33" s="1" nd="1"/>
        <i x="2" s="1" nd="1"/>
        <i x="1556" s="1" nd="1"/>
        <i x="13" s="1" nd="1"/>
        <i x="1500" s="1" nd="1"/>
        <i x="944" s="1" nd="1"/>
        <i x="1499" s="1" nd="1"/>
        <i x="945" s="1" nd="1"/>
        <i x="15" s="1" nd="1"/>
        <i x="27" s="1" nd="1"/>
        <i x="35" s="1" nd="1"/>
        <i x="36" s="1" nd="1"/>
        <i x="1362" s="1" nd="1"/>
        <i x="16" s="1" nd="1"/>
        <i x="4" s="1" nd="1"/>
        <i x="22" s="1" nd="1"/>
        <i x="41" s="1" nd="1"/>
        <i x="1007" s="1" nd="1"/>
        <i x="11" s="1" nd="1"/>
        <i x="25" s="1" nd="1"/>
        <i x="1221" s="1" nd="1"/>
        <i x="1451" s="1" nd="1"/>
        <i x="8" s="1" nd="1"/>
        <i x="29" s="1" nd="1"/>
        <i x="1557" s="1" nd="1"/>
        <i x="28" s="1" nd="1"/>
        <i x="1469" s="1" nd="1"/>
        <i x="37" s="1" nd="1"/>
        <i x="32" s="1" nd="1"/>
        <i x="19" s="1" nd="1"/>
        <i x="18" s="1" nd="1"/>
        <i x="965" s="1" nd="1"/>
        <i x="1" s="1" nd="1"/>
        <i x="7" s="1" nd="1"/>
        <i x="1705" s="1" nd="1"/>
        <i x="24" s="1" nd="1"/>
        <i x="1695" s="1" nd="1"/>
        <i x="943" s="1" nd="1"/>
        <i x="30" s="1" nd="1"/>
        <i x="26" s="1" nd="1"/>
        <i x="1562" s="1" nd="1"/>
        <i x="942" s="1" nd="1"/>
        <i x="39" s="1" nd="1"/>
        <i x="1694" s="1" nd="1"/>
        <i x="1688" s="1" nd="1"/>
        <i x="1711" s="1" nd="1"/>
        <i x="1708" s="1" nd="1"/>
        <i x="1533" s="1" nd="1"/>
        <i x="1713" s="1" nd="1"/>
        <i x="1693" s="1" nd="1"/>
        <i x="1692" s="1" nd="1"/>
        <i x="1455" s="1" nd="1"/>
        <i x="2101" s="1" nd="1"/>
        <i x="2066" s="1" nd="1"/>
        <i x="2136" s="1" nd="1"/>
        <i x="2141" s="1" nd="1"/>
        <i x="2126" s="1" nd="1"/>
        <i x="2142" s="1" nd="1"/>
        <i x="2143" s="1" nd="1"/>
        <i x="2134" s="1" nd="1"/>
        <i x="2138" s="1" nd="1"/>
        <i x="2145" s="1" nd="1"/>
        <i x="2144" s="1" nd="1"/>
        <i x="2127" s="1" nd="1"/>
        <i x="2128" s="1" nd="1"/>
        <i x="2129" s="1" nd="1"/>
        <i x="2135" s="1" nd="1"/>
        <i x="2181" s="1" nd="1"/>
        <i x="2177" s="1" nd="1"/>
        <i x="2174" s="1" nd="1"/>
        <i x="2118" s="1" nd="1"/>
        <i x="2085" s="1" nd="1"/>
        <i x="2086" s="1" nd="1"/>
        <i x="2156" s="1" nd="1"/>
        <i x="2106" s="1" nd="1"/>
        <i x="2096" s="1" nd="1"/>
        <i x="2133" s="1" nd="1"/>
        <i x="2107" s="1" nd="1"/>
        <i x="2064" s="1" nd="1"/>
        <i x="2065" s="1" nd="1"/>
        <i x="2182" s="1" nd="1"/>
        <i x="2091" s="1" nd="1"/>
        <i x="2205" s="1" nd="1"/>
        <i x="2087" s="1" nd="1"/>
        <i x="2170" s="1" nd="1"/>
        <i x="2196" s="1" nd="1"/>
        <i x="2110" s="1" nd="1"/>
        <i x="2160" s="1" nd="1"/>
        <i x="2121" s="1" nd="1"/>
        <i x="2068" s="1" nd="1"/>
        <i x="2176" s="1" nd="1"/>
        <i x="2192" s="1" nd="1"/>
        <i x="2180" s="1" nd="1"/>
        <i x="2194" s="1" nd="1"/>
        <i x="2206" s="1" nd="1"/>
        <i x="2204" s="1" nd="1"/>
        <i x="2147" s="1" nd="1"/>
        <i x="2169" s="1" nd="1"/>
        <i x="2168" s="1" nd="1"/>
        <i x="2067" s="1" nd="1"/>
        <i x="2198" s="1" nd="1"/>
        <i x="2209" s="1" nd="1"/>
        <i x="2179" s="1" nd="1"/>
        <i x="2162" s="1" nd="1"/>
        <i x="2105" s="1" nd="1"/>
        <i x="2210" s="1" nd="1"/>
        <i x="2171" s="1" nd="1"/>
        <i x="2211" s="1" nd="1"/>
        <i x="2208" s="1" nd="1"/>
        <i x="2150" s="1" nd="1"/>
        <i x="2186" s="1" nd="1"/>
        <i x="2178" s="1" nd="1"/>
        <i x="2193" s="1" nd="1"/>
        <i x="2159" s="1" nd="1"/>
        <i x="2185" s="1" nd="1"/>
        <i x="2139" s="1" nd="1"/>
        <i x="2137" s="1" nd="1"/>
        <i x="2095" s="1" nd="1"/>
        <i x="2073" s="1" nd="1"/>
        <i x="2132" s="1" nd="1"/>
        <i x="2079" s="1" nd="1"/>
        <i x="2116" s="1" nd="1"/>
        <i x="2115" s="1" nd="1"/>
        <i x="2216" s="1" nd="1"/>
        <i x="2151" s="1" nd="1"/>
        <i x="2153" s="1" nd="1"/>
        <i x="2109" s="1" nd="1"/>
        <i x="2072" s="1" nd="1"/>
        <i x="2083" s="1" nd="1"/>
        <i x="2120" s="1" nd="1"/>
        <i x="2166" s="1" nd="1"/>
        <i x="2084" s="1" nd="1"/>
        <i x="2113" s="1" nd="1"/>
        <i x="2112" s="1" nd="1"/>
        <i x="2071" s="1" nd="1"/>
        <i x="2167" s="1" nd="1"/>
        <i x="2088" s="1" nd="1"/>
        <i x="2098" s="1" nd="1"/>
        <i x="2123" s="1" nd="1"/>
        <i x="2130" s="1" nd="1"/>
        <i x="2097" s="1" nd="1"/>
        <i x="2099" s="1" nd="1"/>
        <i x="2124" s="1" nd="1"/>
        <i x="2114" s="1" nd="1"/>
        <i x="2111" s="1" nd="1"/>
        <i x="2122" s="1" nd="1"/>
        <i x="2094" s="1" nd="1"/>
        <i x="2108" s="1" nd="1"/>
        <i x="2140" s="1" nd="1"/>
        <i x="2119" s="1" nd="1"/>
        <i x="2189" s="1" nd="1"/>
        <i x="2074" s="1" nd="1"/>
        <i x="2175" s="1" nd="1"/>
        <i x="2100" s="1" nd="1"/>
        <i x="2076" s="1" nd="1"/>
        <i x="2157" s="1" nd="1"/>
        <i x="2172" s="1" nd="1"/>
        <i x="2188" s="1" nd="1"/>
        <i x="2191" s="1" nd="1"/>
        <i x="2075" s="1" nd="1"/>
        <i x="2190" s="1" nd="1"/>
        <i x="2089" s="1" nd="1"/>
        <i x="2092" s="1" nd="1"/>
        <i x="2158" s="1" nd="1"/>
        <i x="2202" s="1" nd="1"/>
        <i x="2102" s="1" nd="1"/>
        <i x="2163" s="1" nd="1"/>
        <i x="2199" s="1" nd="1"/>
        <i x="2093" s="1" nd="1"/>
        <i x="2183" s="1" nd="1"/>
        <i x="2080" s="1" nd="1"/>
        <i x="2207" s="1" nd="1"/>
        <i x="2081" s="1" nd="1"/>
        <i x="2195" s="1" nd="1"/>
        <i x="2164" s="1" nd="1"/>
        <i x="2103" s="1" nd="1"/>
        <i x="2148" s="1" nd="1"/>
        <i x="2082" s="1" nd="1"/>
        <i x="2197" s="1" nd="1"/>
        <i x="2200" s="1" nd="1"/>
        <i x="2117" s="1" nd="1"/>
        <i x="2154" s="1" nd="1"/>
        <i x="2104" s="1" nd="1"/>
        <i x="2090" s="1" nd="1"/>
        <i x="2201" s="1" nd="1"/>
        <i x="2152" s="1" nd="1"/>
        <i x="2215" s="1" nd="1"/>
        <i x="1911" s="1" nd="1"/>
        <i x="1768" s="1" nd="1"/>
        <i x="1726" s="1" nd="1"/>
        <i x="1724" s="1" nd="1"/>
        <i x="1981" s="1" nd="1"/>
        <i x="2055" s="1" nd="1"/>
        <i x="2022" s="1" nd="1"/>
        <i x="1744" s="1" nd="1"/>
        <i x="1924" s="1" nd="1"/>
        <i x="1742" s="1" nd="1"/>
        <i x="1915" s="1" nd="1"/>
        <i x="1903" s="1" nd="1"/>
        <i x="1885" s="1" nd="1"/>
        <i x="2057" s="1" nd="1"/>
        <i x="1778" s="1" nd="1"/>
        <i x="1775" s="1" nd="1"/>
        <i x="1758" s="1" nd="1"/>
        <i x="2042" s="1" nd="1"/>
        <i x="1884" s="1" nd="1"/>
        <i x="1752" s="1" nd="1"/>
        <i x="1741" s="1" nd="1"/>
        <i x="1920" s="1" nd="1"/>
        <i x="1983" s="1" nd="1"/>
        <i x="1763" s="1" nd="1"/>
        <i x="1772" s="1" nd="1"/>
        <i x="2037" s="1" nd="1"/>
        <i x="1921" s="1" nd="1"/>
        <i x="1902" s="1" nd="1"/>
        <i x="2002" s="1" nd="1"/>
        <i x="1955" s="1" nd="1"/>
        <i x="1887" s="1" nd="1"/>
        <i x="2061" s="1" nd="1"/>
        <i x="1999" s="1" nd="1"/>
        <i x="1923" s="1" nd="1"/>
        <i x="1926" s="1" nd="1"/>
        <i x="1759" s="1" nd="1"/>
        <i x="1910" s="1" nd="1"/>
        <i x="1916" s="1" nd="1"/>
        <i x="1732" s="1" nd="1"/>
        <i x="1939" s="1" nd="1"/>
        <i x="1949" s="1" nd="1"/>
        <i x="1938" s="1" nd="1"/>
        <i x="1733" s="1" nd="1"/>
        <i x="1729" s="1" nd="1"/>
        <i x="2041" s="1" nd="1"/>
        <i x="1723" s="1" nd="1"/>
        <i x="1747" s="1" nd="1"/>
        <i x="1739" s="1" nd="1"/>
        <i x="2047" s="1" nd="1"/>
        <i x="1836" s="1" nd="1"/>
        <i x="1791" s="1" nd="1"/>
        <i x="1757" s="1" nd="1"/>
        <i x="2036" s="1" nd="1"/>
        <i x="1935" s="1" nd="1"/>
        <i x="1785" s="1" nd="1"/>
        <i x="1782" s="1" nd="1"/>
        <i x="1784" s="1" nd="1"/>
        <i x="1786" s="1" nd="1"/>
        <i x="1771" s="1" nd="1"/>
        <i x="1906" s="1" nd="1"/>
        <i x="1864" s="1" nd="1"/>
        <i x="1787" s="1" nd="1"/>
        <i x="1774" s="1" nd="1"/>
        <i x="2024" s="1" nd="1"/>
        <i x="1780" s="1" nd="1"/>
        <i x="1781" s="1" nd="1"/>
        <i x="1977" s="1" nd="1"/>
        <i x="1917" s="1" nd="1"/>
        <i x="1725" s="1" nd="1"/>
        <i x="1737" s="1" nd="1"/>
        <i x="1890" s="1" nd="1"/>
        <i x="1951" s="1" nd="1"/>
        <i x="1950" s="1" nd="1"/>
        <i x="1866" s="1" nd="1"/>
        <i x="1869" s="1" nd="1"/>
        <i x="1874" s="1" nd="1"/>
        <i x="1876" s="1" nd="1"/>
        <i x="1854" s="1" nd="1"/>
        <i x="1863" s="1" nd="1"/>
        <i x="1877" s="1" nd="1"/>
        <i x="1871" s="1" nd="1"/>
        <i x="1788" s="1" nd="1"/>
        <i x="1881" s="1" nd="1"/>
        <i x="1779" s="1" nd="1"/>
        <i x="2059" s="1" nd="1"/>
        <i x="1929" s="1" nd="1"/>
        <i x="2026" s="1" nd="1"/>
        <i x="1761" s="1" nd="1"/>
        <i x="1879" s="1" nd="1"/>
        <i x="2056" s="1" nd="1"/>
        <i x="2014" s="1" nd="1"/>
        <i x="1755" s="1" nd="1"/>
        <i x="1914" s="1" nd="1"/>
        <i x="1730" s="1" nd="1"/>
        <i x="1919" s="1" nd="1"/>
        <i x="1767" s="1" nd="1"/>
        <i x="1904" s="1" nd="1"/>
        <i x="1927" s="1" nd="1"/>
        <i x="1954" s="1" nd="1"/>
        <i x="1756" s="1" nd="1"/>
        <i x="1867" s="1" nd="1"/>
        <i x="1766" s="1" nd="1"/>
        <i x="1748" s="1" nd="1"/>
        <i x="1873" s="1" nd="1"/>
        <i x="1868" s="1" nd="1"/>
        <i x="1870" s="1" nd="1"/>
        <i x="1837" s="1" nd="1"/>
        <i x="1930" s="1" nd="1"/>
        <i x="2058" s="1" nd="1"/>
        <i x="2038" s="1" nd="1"/>
        <i x="1855" s="1" nd="1"/>
        <i x="1925" s="1" nd="1"/>
        <i x="1777" s="1" nd="1"/>
        <i x="1956" s="1" nd="1"/>
        <i x="1973" s="1" nd="1"/>
        <i x="1918" s="1" nd="1"/>
        <i x="1901" s="1" nd="1"/>
        <i x="1953" s="1" nd="1"/>
        <i x="1765" s="1" nd="1"/>
        <i x="1751" s="1" nd="1"/>
        <i x="1900" s="1" nd="1"/>
        <i x="1750" s="1" nd="1"/>
        <i x="1764" s="1" nd="1"/>
        <i x="1749" s="1" nd="1"/>
        <i x="2039" s="1" nd="1"/>
        <i x="2049" s="1" nd="1"/>
        <i x="1937" s="1" nd="1"/>
        <i x="1928" s="1" nd="1"/>
        <i x="2062" s="1" nd="1"/>
        <i x="1853" s="1" nd="1"/>
        <i x="2045" s="1" nd="1"/>
        <i x="1809" s="1" nd="1"/>
        <i x="1736" s="1" nd="1"/>
        <i x="2023" s="1" nd="1"/>
        <i x="1878" s="1" nd="1"/>
        <i x="1942" s="1" nd="1"/>
        <i x="1860" s="1" nd="1"/>
        <i x="1882" s="1" nd="1"/>
        <i x="2004" s="1" nd="1"/>
        <i x="1945" s="1" nd="1"/>
        <i x="1933" s="1" nd="1"/>
        <i x="2060" s="1" nd="1"/>
        <i x="1944" s="1" nd="1"/>
        <i x="1941" s="1" nd="1"/>
        <i x="1952" s="1" nd="1"/>
        <i x="1936" s="1" nd="1"/>
        <i x="1932" s="1" nd="1"/>
        <i x="1940" s="1" nd="1"/>
        <i x="1931" s="1" nd="1"/>
        <i x="2000" s="1" nd="1"/>
        <i x="1985" s="1" nd="1"/>
        <i x="2018" s="1" nd="1"/>
        <i x="2035" s="1" nd="1"/>
        <i x="2033" s="1" nd="1"/>
        <i x="1800" s="1" nd="1"/>
        <i x="2034" s="1" nd="1"/>
        <i x="1738" s="1" nd="1"/>
        <i x="1946" s="1" nd="1"/>
        <i x="1861" s="1" nd="1"/>
        <i x="1947" s="1" nd="1"/>
        <i x="1943" s="1" nd="1"/>
        <i x="1796" s="1" nd="1"/>
        <i x="2017" s="1" nd="1"/>
        <i x="1872" s="1" nd="1"/>
        <i x="1790" s="1" nd="1"/>
        <i x="1892" s="1" nd="1"/>
        <i x="1851" s="1" nd="1"/>
        <i x="1812" s="1" nd="1"/>
        <i x="2001" s="1" nd="1"/>
        <i x="1835" s="1" nd="1"/>
        <i x="1875" s="1" nd="1"/>
        <i x="1982" s="1" nd="1"/>
        <i x="1834" s="1" nd="1"/>
        <i x="1801" s="1" nd="1"/>
        <i x="2003" s="1" nd="1"/>
        <i x="1830" s="1" nd="1"/>
        <i x="1986" s="1" nd="1"/>
        <i x="1838" s="1" nd="1"/>
        <i x="1798" s="1" nd="1"/>
        <i x="1827" s="1" nd="1"/>
        <i x="1891" s="1" nd="1"/>
        <i x="1793" s="1" nd="1"/>
        <i x="1833" s="1" nd="1"/>
        <i x="1829" s="1" nd="1"/>
        <i x="1976" s="1" nd="1"/>
        <i x="1826" s="1" nd="1"/>
        <i x="1843" s="1" nd="1"/>
        <i x="1984" s="1" nd="1"/>
        <i x="1852" s="1" nd="1"/>
        <i x="1893" s="1" nd="1"/>
        <i x="1799" s="1" nd="1"/>
        <i x="1832" s="1" nd="1"/>
        <i x="1975" s="1" nd="1"/>
        <i x="1980" s="1" nd="1"/>
        <i x="1847" s="1" nd="1"/>
        <i x="1828" s="1" nd="1"/>
        <i x="1810" s="1" nd="1"/>
        <i x="1792" s="1" nd="1"/>
        <i x="1789" s="1" nd="1"/>
        <i x="1859" s="1" nd="1"/>
        <i x="1948" s="1" nd="1"/>
        <i x="1850" s="1" nd="1"/>
        <i x="1807" s="1" nd="1"/>
        <i x="1840" s="1" nd="1"/>
        <i x="1805" s="1" nd="1"/>
        <i x="1839" s="1" nd="1"/>
        <i x="1806" s="1" nd="1"/>
        <i x="1844" s="1" nd="1"/>
        <i x="1979" s="1" nd="1"/>
        <i x="1845" s="1" nd="1"/>
        <i x="1841" s="1" nd="1"/>
        <i x="1804" s="1" nd="1"/>
        <i x="1978" s="1" nd="1"/>
        <i x="1802" s="1" nd="1"/>
        <i x="1846" s="1" nd="1"/>
        <i x="1803" s="1" nd="1"/>
        <i x="1842" s="1" nd="1"/>
        <i x="1848" s="1" nd="1"/>
        <i x="1808" s="1" nd="1"/>
        <i x="1849" s="1" nd="1"/>
        <i x="1862" s="1" nd="1"/>
        <i x="1831" s="1" nd="1"/>
        <i x="2005" s="1" nd="1"/>
        <i x="1898" s="1" nd="1"/>
        <i x="2031" s="1" nd="1"/>
        <i x="1821" s="1" nd="1"/>
        <i x="1896" s="1" nd="1"/>
        <i x="1822" s="1" nd="1"/>
        <i x="1823" s="1" nd="1"/>
        <i x="1824" s="1" nd="1"/>
        <i x="1818" s="1" nd="1"/>
        <i x="1815" s="1" nd="1"/>
        <i x="1825" s="1" nd="1"/>
        <i x="1814" s="1" nd="1"/>
        <i x="1857" s="1" nd="1"/>
        <i x="1856" s="1" nd="1"/>
        <i x="1858" s="1" nd="1"/>
        <i x="1897" s="1" nd="1"/>
        <i x="2028" s="1" nd="1"/>
        <i x="1816" s="1" nd="1"/>
        <i x="1820" s="1" nd="1"/>
        <i x="1819" s="1" nd="1"/>
        <i x="2032" s="1" nd="1"/>
        <i x="2027" s="1" nd="1"/>
        <i x="1817" s="1" nd="1"/>
        <i x="2131" s="1" nd="1"/>
        <i x="2070" s="1" nd="1"/>
        <i x="2052" s="1" nd="1"/>
        <i x="1966" s="1" nd="1"/>
        <i x="1991" s="1" nd="1"/>
        <i x="1971" s="1" nd="1"/>
        <i x="2015" s="1" nd="1"/>
        <i x="1958" s="1" nd="1"/>
        <i x="1965" s="1" nd="1"/>
        <i x="1959" s="1" nd="1"/>
        <i x="1988" s="1" nd="1"/>
        <i x="1957" s="1" nd="1"/>
        <i x="2020" s="1" nd="1"/>
        <i x="2007" s="1" nd="1"/>
        <i x="1970" s="1" nd="1"/>
        <i x="2053" s="1" nd="1"/>
        <i x="1987" s="1" nd="1"/>
        <i x="1995" s="1" nd="1"/>
        <i x="2044" s="1" nd="1"/>
        <i x="1967" s="1" nd="1"/>
        <i x="2008" s="1" nd="1"/>
        <i x="1961" s="1" nd="1"/>
        <i x="2021" s="1" nd="1"/>
        <i x="2011" s="1" nd="1"/>
        <i x="1994" s="1" nd="1"/>
        <i x="1997" s="1" nd="1"/>
        <i x="2009" s="1" nd="1"/>
        <i x="1962" s="1" nd="1"/>
        <i x="1969" s="1" nd="1"/>
        <i x="2012" s="1" nd="1"/>
        <i x="1996" s="1" nd="1"/>
        <i x="1960" s="1" nd="1"/>
        <i x="1992" s="1" nd="1"/>
        <i x="1963" s="1" nd="1"/>
        <i x="1968" s="1" nd="1"/>
        <i x="1990" s="1" nd="1"/>
        <i x="1964" s="1" nd="1"/>
        <i x="1993" s="1" nd="1"/>
        <i x="2054" s="1" nd="1"/>
        <i x="1989" s="1" nd="1"/>
        <i x="2050" s="1" nd="1"/>
        <i x="1865" s="1" nd="1"/>
        <i x="2006" s="1" nd="1"/>
        <i x="1886" s="1" nd="1"/>
        <i x="1735" s="1" nd="1"/>
        <i x="2019" s="1" nd="1"/>
        <i x="1731" s="1" nd="1"/>
        <i x="2046" s="1" nd="1"/>
        <i x="1912" s="1" nd="1"/>
        <i x="1797" s="1" nd="1"/>
        <i x="1783" s="1" nd="1"/>
        <i x="1888" s="1" nd="1"/>
        <i x="1773" s="1" nd="1"/>
        <i x="1909" s="1" nd="1"/>
        <i x="1727" s="1" nd="1"/>
        <i x="1913" s="1" nd="1"/>
        <i x="1905" s="1" nd="1"/>
        <i x="1769" s="1" nd="1"/>
        <i x="1922" s="1" nd="1"/>
        <i x="1883" s="1" nd="1"/>
        <i x="1998" s="1" nd="1"/>
        <i x="1908" s="1" nd="1"/>
        <i x="1743" s="1" nd="1"/>
        <i x="1740" s="1" nd="1"/>
        <i x="2013" s="1" nd="1"/>
        <i x="2016" s="1" nd="1"/>
        <i x="1746" s="1" nd="1"/>
        <i x="1794" s="1" nd="1"/>
        <i x="1974" s="1" nd="1"/>
        <i x="1734" s="1" nd="1"/>
        <i x="1811" s="1" nd="1"/>
        <i x="1728" s="1" nd="1"/>
        <i x="2048" s="1" nd="1"/>
        <i x="2030" s="1" nd="1"/>
        <i x="2025" s="1" nd="1"/>
        <i x="1770" s="1" nd="1"/>
        <i x="2010" s="1" nd="1"/>
        <i x="1880" s="1" nd="1"/>
        <i x="1972" s="1" nd="1"/>
        <i x="1722" s="1" nd="1"/>
        <i x="1762" s="1" nd="1"/>
        <i x="1753" s="1" nd="1"/>
        <i x="1895" s="1" nd="1"/>
        <i x="1776" s="1" nd="1"/>
        <i x="1907" s="1" nd="1"/>
        <i x="1894" s="1" nd="1"/>
        <i x="1813" s="1" nd="1"/>
        <i x="1760" s="1" nd="1"/>
        <i x="1795" s="1" nd="1"/>
        <i x="2040" s="1" nd="1"/>
        <i x="1889" s="1" nd="1"/>
        <i x="1745" s="1" nd="1"/>
        <i x="1899" s="1" nd="1"/>
        <i x="1934" s="1" nd="1"/>
        <i x="1754" s="1" nd="1"/>
        <i x="2029" s="1" nd="1"/>
        <i x="2173" s="1" nd="1"/>
        <i x="2203" s="1" nd="1"/>
        <i x="2155" s="1" nd="1"/>
        <i x="1715" s="1" nd="1"/>
        <i x="1717" s="1" nd="1"/>
        <i x="1721" s="1" nd="1"/>
        <i x="2077" s="1" nd="1"/>
        <i x="1720" s="1" nd="1"/>
        <i x="2051" s="1" nd="1"/>
        <i x="1719" s="1" nd="1"/>
        <i x="2214" s="1" nd="1"/>
        <i x="1716" s="1" nd="1"/>
        <i x="2217" s="1" nd="1"/>
        <i x="1718" s="1" nd="1"/>
        <i x="2043" s="1" nd="1"/>
        <i x="2069" s="1" nd="1"/>
        <i x="2125" s="1" nd="1"/>
        <i x="2078" s="1" nd="1"/>
        <i x="2212" s="1" nd="1"/>
        <i x="2063" s="1" nd="1"/>
        <i x="2161" s="1" nd="1"/>
        <i x="2184" s="1" nd="1"/>
        <i x="2165" s="1" nd="1"/>
        <i x="2187" s="1" nd="1"/>
        <i x="2213" s="1" nd="1"/>
        <i x="2149" s="1" nd="1"/>
        <i x="2146" s="1" nd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BE53B13A-6B22-460F-B0C9-3BC97535BA90}" sourceName="CLIENTE">
  <pivotTables>
    <pivotTable tabId="1" name="din_capa"/>
  </pivotTables>
  <data>
    <tabular pivotCacheId="1138900983">
      <items count="32">
        <i x="1"/>
        <i x="18" s="1"/>
        <i x="21"/>
        <i x="14"/>
        <i x="19"/>
        <i x="3"/>
        <i x="5"/>
        <i x="2"/>
        <i x="22"/>
        <i x="26"/>
        <i x="7"/>
        <i x="25"/>
        <i x="0"/>
        <i x="6"/>
        <i x="13"/>
        <i x="15"/>
        <i x="4"/>
        <i x="24"/>
        <i x="10"/>
        <i x="9"/>
        <i x="11"/>
        <i x="20"/>
        <i x="23"/>
        <i x="8"/>
        <i x="16"/>
        <i x="12"/>
        <i x="17"/>
        <i x="28" nd="1"/>
        <i x="30" nd="1"/>
        <i x="31" nd="1"/>
        <i x="27" nd="1"/>
        <i x="29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A" xr10:uid="{888AB4B1-8B22-4E2A-A5A5-B7B568AF542B}" cache="SegmentaçãodeDados_FILA" caption="FILA" startItem="60" columnCount="5" style="SlicerStyleDark1" rowHeight="216000"/>
  <slicer name="SERVIDOR" xr10:uid="{80F63788-AC8E-4BAA-AA52-AD88130F2A17}" cache="SegmentaçãodeDados_SERVIDOR" caption="SERVIDOR" columnCount="5" style="SlicerStyleDark1" rowHeight="241300"/>
  <slicer name="PAG_SUB" xr10:uid="{E0EE5DD6-1EB6-4132-987C-1B2CD9D1A24D}" cache="SegmentaçãodeDados_PAG_SUB" caption="PAG_SUB" columnCount="2" style="SlicerStyleDark1" rowHeight="241300"/>
  <slicer name="HORA" xr10:uid="{55164490-0559-4CDE-982D-84F4F9A69DAF}" cache="SegmentaçãodeDados_HORA" caption="HORA" columnCount="6" style="SlicerStyleDark1" rowHeight="241300"/>
  <slicer name="Tipo" xr10:uid="{266088DE-605A-4F4B-88A2-8DF2D533C7CE}" cache="SegmentaçãodeDados_Tipo" caption="Tipo" style="SlicerStyleDark1" rowHeight="241300"/>
  <slicer name="TECNOLOGIA" xr10:uid="{31F4EDD3-660B-495F-9FE2-2F15A27EF3A5}" cache="SegmentaçãodeDados_TECNOLOGIA" caption="TECNOLOGIA" columnCount="2" style="SlicerStyleDark1" rowHeight="241300"/>
  <slicer name="ROTA" xr10:uid="{F35DC106-CE67-4442-94E0-F0E05BB29623}" cache="SegmentaçãodeDados_ROTA" caption="ROTA" columnCount="2" style="SlicerStyleDark1" rowHeight="241300"/>
  <slicer name="OPERADORA" xr10:uid="{894C35BA-4AA2-417E-8D00-E9157D27A36C}" cache="SegmentaçãodeDados_OPERADORA" caption="OPERADORA" columnCount="2" style="SlicerStyleDark1" rowHeight="241300"/>
  <slicer name="CLIENTE" xr10:uid="{51C77A8A-A069-4CD0-BC26-982C3A022EE8}" cache="SegmentaçãodeDados_CLIENTE" caption="CLIENTE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HORA 1" xr10:uid="{5F5571C6-12FC-40AC-A6FB-38EA2265B580}" cache="SegmentaçãodeDados_HORA1" caption="HORA" columnCount="6" style="SlicerStyleDark1" rowHeight="241300"/>
  <slicer name="CARTEIRA 1" xr10:uid="{0322F7AF-EA81-40AA-9532-6111BE9A2C8F}" cache="SegmentaçãodeDados_CARTEIRA11" caption="CLIENTE" columnCount="2" style="SlicerStyleDark1" rowHeight="241300"/>
  <slicer name="FIXO_MOVEL 1" xr10:uid="{17000517-5398-420F-B634-E64E66B9D7D7}" cache="SegmentaçãodeDados_FIXO_MOVEL1" caption="FIXO_MOVEL" columnCount="2" style="SlicerStyleDark1" rowHeight="241300"/>
  <slicer name="FILA 1" xr10:uid="{D4D4AAFF-8E5B-4EB0-BD88-F8E947FAAD71}" cache="SegmentaçãodeDados_FILA1" caption="FILA" startItem="60" columnCount="4" style="SlicerStyleDark1" rowHeight="216000"/>
  <slicer name="SERVIDOR 1" xr10:uid="{A265A4D9-9AD5-4F56-8D92-FA0AFB28FD8E}" cache="SegmentaçãodeDados_SERVIDOR1" caption="SERVIDOR" columnCount="5" style="SlicerStyleDark1" rowHeight="241300"/>
  <slicer name="PAG_SUB 1" xr10:uid="{4A296D09-2ED4-484D-8891-E0E22D5771A8}" cache="SegmentaçãodeDados_PAG_SUB1" caption="PAG_SUB" columnCount="2" style="SlicerStyleDark1" rowHeight="241300"/>
  <slicer name="TECNOLOGIA 1" xr10:uid="{CFA3908D-2102-41CC-AB28-981AF9530492}" cache="SegmentaçãodeDados_TECNOLOGIA1" caption="TECNOLOGIA" columnCount="2" style="SlicerStyleDark1" rowHeight="241300"/>
  <slicer name="ROTA 1" xr10:uid="{DC2FB447-789C-41C7-8A56-749F995DC747}" cache="SegmentaçãodeDados_ROTA1" caption="ROTA" columnCount="2" style="SlicerStyleDark1" rowHeight="241300"/>
  <slicer name="TIPO DE ROTA 1" xr10:uid="{269D486F-8364-47FF-B102-D3EBB825C6D7}" cache="SegmentaçãodeDados_TIPO_ROTA1" caption="TIPO DE ROTA" columnCount="3" style="SlicerStyleDark1" rowHeight="241300"/>
  <slicer name="OPERADORA 1" xr10:uid="{ECAC9561-75F6-4D22-8670-FE13E518776A}" cache="SegmentaçãodeDados_OPERADORA1" caption="OPERADORA" columnCount="2" style="SlicerStyleDark1" rowHeight="241300"/>
  <slicer name="GW 1" xr10:uid="{2D9EC911-03C2-4B65-A7A5-41C93BBE0760}" cache="SegmentaçãodeDados_GW1" caption="GW" startItem="33" columnCount="3" style="SlicerStyleDark1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F715BA-DA0F-49A0-AEFF-4E5DA4A1D92D}" name="Tabela7" displayName="Tabela7" ref="B2:E26" totalsRowShown="0">
  <autoFilter ref="B2:E26" xr:uid="{3D6F1C88-8696-47DB-A603-0CE6105368F1}"/>
  <sortState xmlns:xlrd2="http://schemas.microsoft.com/office/spreadsheetml/2017/richdata2" ref="B3:E26">
    <sortCondition ref="C3:C26"/>
    <sortCondition ref="E3:E26"/>
    <sortCondition ref="B3:B26"/>
  </sortState>
  <tableColumns count="4">
    <tableColumn id="1" xr3:uid="{02CC732D-6881-4CA5-9AE1-7FE02AE7D54E}" name="FONTE"/>
    <tableColumn id="2" xr3:uid="{6398C21D-0B6C-45B9-9B10-EBA44F9E5489}" name="ESTEIRA"/>
    <tableColumn id="4" xr3:uid="{79447B56-CB54-4234-BBCD-F533400FFCBE}" name="STATUS DETALHADO"/>
    <tableColumn id="5" xr3:uid="{7D9D6750-DCD4-40A9-9C18-DA9AD2344282}" name="CÁLCULO DE %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0CFCD8-CEC9-4EE8-8414-B1D3CB53E568}" name="Tabela_TELECOM" displayName="Tabela_TELECOM" ref="A1:F4171" tableType="queryTable" totalsRowShown="0">
  <autoFilter ref="A1:F4171" xr:uid="{D564DBA8-4A8D-4F42-B5A0-5164F93D62CF}"/>
  <sortState xmlns:xlrd2="http://schemas.microsoft.com/office/spreadsheetml/2017/richdata2" ref="A2:F4171">
    <sortCondition ref="A1:A4171"/>
  </sortState>
  <tableColumns count="6">
    <tableColumn id="1" xr3:uid="{F771C06A-A7EF-40DB-80F4-C5405E4A3500}" uniqueName="1" name="Data" queryTableFieldId="1" dataDxfId="63"/>
    <tableColumn id="2" xr3:uid="{7D4F055A-55CA-4FAD-93DC-D6D826D4A151}" uniqueName="2" name="HORA" queryTableFieldId="2"/>
    <tableColumn id="3" xr3:uid="{57AD7BF7-EBCF-4643-817A-EF7D742A5FF8}" uniqueName="3" name="OPERADORA" queryTableFieldId="3"/>
    <tableColumn id="4" xr3:uid="{3DF243A1-0EDE-4A60-94E8-E96E21100E33}" uniqueName="4" name="-ATENDIDO TOTAL" queryTableFieldId="4"/>
    <tableColumn id="5" xr3:uid="{346330E3-7139-4F61-8F39-D89530AE2E0D}" uniqueName="5" name="-ALÔ" queryTableFieldId="5"/>
    <tableColumn id="6" xr3:uid="{3104C39F-E484-4807-802F-B63D9890F00E}" uniqueName="6" name="CARTEIRA" queryTableField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2F016C-A48A-4236-8035-0D3E1B1B9EB0}" name="Tabela2" displayName="Tabela2" ref="A1:A4" totalsRowShown="0">
  <autoFilter ref="A1:A4" xr:uid="{0598641D-4B6C-427F-AD68-6E8686FF5E58}"/>
  <tableColumns count="1">
    <tableColumn id="1" xr3:uid="{F651E8F8-A0B4-4BCB-84B6-1266EFEB2811}" name="Tip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COR_SERVICE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348286"/>
      </a:accent1>
      <a:accent2>
        <a:srgbClr val="086267"/>
      </a:accent2>
      <a:accent3>
        <a:srgbClr val="A5A5A5"/>
      </a:accent3>
      <a:accent4>
        <a:srgbClr val="348286"/>
      </a:accent4>
      <a:accent5>
        <a:srgbClr val="086267"/>
      </a:accent5>
      <a:accent6>
        <a:srgbClr val="08626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" xr10:uid="{405DD275-3E09-44E9-B713-2CDD9C661A73}" sourceName="Data">
  <pivotTables>
    <pivotTable tabId="1" name="din_capa"/>
  </pivotTables>
  <state minimalRefreshVersion="6" lastRefreshVersion="6" pivotCacheId="1138900983" filterType="dateEqual">
    <selection startDate="2025-10-18T00:00:00" endDate="2025-10-18T00:00:00"/>
    <bounds startDate="2025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1" xr10:uid="{BEFB93A7-5ADF-496D-A1A7-2BAAFDD87E4D}" sourceName="Data">
  <pivotTables>
    <pivotTable tabId="11" name="din_capa"/>
  </pivotTables>
  <state minimalRefreshVersion="6" lastRefreshVersion="6" pivotCacheId="933734651" filterType="dateEqual">
    <selection startDate="2023-02-04T00:00:00" endDate="2023-02-04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9A1CC7CC-120A-4F35-83DA-A292CF3FF000}" cache="NativeTimeline_Data" caption="Data" level="3" selectionLevel="3" scrollPosition="2025-10-04T00:00:00" style="TimeSlicerStyleDark1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1" xr10:uid="{D40B71F4-C9CB-455C-80B0-0D4C6C5842C1}" cache="NativeTimeline_Data1" caption="Data" level="3" selectionLevel="3" scrollPosition="2023-01-25T00:00:00" style="TimeSlicerStyleDark1"/>
</timeline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microsoft.com/office/2011/relationships/timeline" Target="../timelines/timeline2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64EF9-0EEF-4AF2-ACC7-23FA7866D6A4}">
  <sheetPr codeName="Planilha6"/>
  <dimension ref="A1:C38"/>
  <sheetViews>
    <sheetView workbookViewId="0">
      <selection activeCell="C29" sqref="C29"/>
    </sheetView>
  </sheetViews>
  <sheetFormatPr defaultRowHeight="14.4" x14ac:dyDescent="0.3"/>
  <cols>
    <col min="1" max="1" width="19.33203125" bestFit="1" customWidth="1"/>
    <col min="2" max="2" width="22.6640625" bestFit="1" customWidth="1"/>
    <col min="3" max="3" width="197.44140625" bestFit="1" customWidth="1"/>
  </cols>
  <sheetData>
    <row r="1" spans="1:3" x14ac:dyDescent="0.3">
      <c r="A1" s="32" t="s">
        <v>166</v>
      </c>
    </row>
    <row r="2" spans="1:3" x14ac:dyDescent="0.3">
      <c r="A2" s="33" t="s">
        <v>167</v>
      </c>
      <c r="B2" s="33" t="s">
        <v>168</v>
      </c>
      <c r="C2" s="33" t="s">
        <v>169</v>
      </c>
    </row>
    <row r="3" spans="1:3" x14ac:dyDescent="0.3">
      <c r="A3">
        <v>1</v>
      </c>
      <c r="B3" t="s">
        <v>170</v>
      </c>
      <c r="C3" t="s">
        <v>171</v>
      </c>
    </row>
    <row r="4" spans="1:3" x14ac:dyDescent="0.3">
      <c r="A4">
        <v>2</v>
      </c>
      <c r="B4" t="s">
        <v>172</v>
      </c>
      <c r="C4" t="s">
        <v>173</v>
      </c>
    </row>
    <row r="5" spans="1:3" x14ac:dyDescent="0.3">
      <c r="A5">
        <v>3</v>
      </c>
      <c r="B5" t="s">
        <v>174</v>
      </c>
      <c r="C5" t="s">
        <v>175</v>
      </c>
    </row>
    <row r="6" spans="1:3" x14ac:dyDescent="0.3">
      <c r="A6">
        <v>4</v>
      </c>
      <c r="B6" t="s">
        <v>176</v>
      </c>
      <c r="C6" t="s">
        <v>177</v>
      </c>
    </row>
    <row r="7" spans="1:3" x14ac:dyDescent="0.3">
      <c r="A7">
        <v>5</v>
      </c>
      <c r="B7" t="s">
        <v>178</v>
      </c>
      <c r="C7" t="s">
        <v>179</v>
      </c>
    </row>
    <row r="8" spans="1:3" x14ac:dyDescent="0.3">
      <c r="A8">
        <v>6</v>
      </c>
      <c r="B8" t="s">
        <v>180</v>
      </c>
      <c r="C8" t="s">
        <v>181</v>
      </c>
    </row>
    <row r="9" spans="1:3" x14ac:dyDescent="0.3">
      <c r="A9">
        <v>7</v>
      </c>
      <c r="B9" t="s">
        <v>182</v>
      </c>
      <c r="C9" t="s">
        <v>183</v>
      </c>
    </row>
    <row r="10" spans="1:3" x14ac:dyDescent="0.3">
      <c r="A10">
        <v>8</v>
      </c>
      <c r="B10" t="s">
        <v>184</v>
      </c>
      <c r="C10" t="s">
        <v>185</v>
      </c>
    </row>
    <row r="11" spans="1:3" x14ac:dyDescent="0.3">
      <c r="A11">
        <v>9</v>
      </c>
      <c r="B11" t="s">
        <v>186</v>
      </c>
      <c r="C11" t="s">
        <v>187</v>
      </c>
    </row>
    <row r="12" spans="1:3" x14ac:dyDescent="0.3">
      <c r="A12">
        <v>10</v>
      </c>
      <c r="B12" t="s">
        <v>188</v>
      </c>
      <c r="C12" t="s">
        <v>189</v>
      </c>
    </row>
    <row r="13" spans="1:3" x14ac:dyDescent="0.3">
      <c r="A13">
        <v>11</v>
      </c>
      <c r="B13" t="s">
        <v>190</v>
      </c>
      <c r="C13" t="s">
        <v>191</v>
      </c>
    </row>
    <row r="14" spans="1:3" x14ac:dyDescent="0.3">
      <c r="A14">
        <v>12</v>
      </c>
      <c r="B14" t="s">
        <v>192</v>
      </c>
      <c r="C14" t="s">
        <v>193</v>
      </c>
    </row>
    <row r="15" spans="1:3" x14ac:dyDescent="0.3">
      <c r="A15">
        <v>13</v>
      </c>
      <c r="B15" t="s">
        <v>194</v>
      </c>
      <c r="C15" t="s">
        <v>195</v>
      </c>
    </row>
    <row r="16" spans="1:3" x14ac:dyDescent="0.3">
      <c r="A16">
        <v>14</v>
      </c>
      <c r="B16" t="s">
        <v>196</v>
      </c>
      <c r="C16" t="s">
        <v>197</v>
      </c>
    </row>
    <row r="17" spans="1:3" x14ac:dyDescent="0.3">
      <c r="A17">
        <v>15</v>
      </c>
      <c r="B17" t="s">
        <v>198</v>
      </c>
      <c r="C17" t="s">
        <v>199</v>
      </c>
    </row>
    <row r="18" spans="1:3" x14ac:dyDescent="0.3">
      <c r="A18">
        <v>16</v>
      </c>
      <c r="B18" t="s">
        <v>200</v>
      </c>
      <c r="C18" t="s">
        <v>201</v>
      </c>
    </row>
    <row r="19" spans="1:3" x14ac:dyDescent="0.3">
      <c r="A19">
        <v>17</v>
      </c>
      <c r="B19" t="s">
        <v>202</v>
      </c>
      <c r="C19" t="s">
        <v>203</v>
      </c>
    </row>
    <row r="20" spans="1:3" x14ac:dyDescent="0.3">
      <c r="A20">
        <v>18</v>
      </c>
      <c r="B20" t="s">
        <v>204</v>
      </c>
      <c r="C20" t="s">
        <v>205</v>
      </c>
    </row>
    <row r="21" spans="1:3" x14ac:dyDescent="0.3">
      <c r="A21">
        <v>19</v>
      </c>
      <c r="B21" t="s">
        <v>206</v>
      </c>
      <c r="C21" t="s">
        <v>207</v>
      </c>
    </row>
    <row r="22" spans="1:3" x14ac:dyDescent="0.3">
      <c r="A22">
        <v>20</v>
      </c>
      <c r="B22" t="s">
        <v>208</v>
      </c>
      <c r="C22" t="s">
        <v>209</v>
      </c>
    </row>
    <row r="23" spans="1:3" x14ac:dyDescent="0.3">
      <c r="A23">
        <v>21</v>
      </c>
      <c r="B23" t="s">
        <v>210</v>
      </c>
      <c r="C23" t="s">
        <v>211</v>
      </c>
    </row>
    <row r="24" spans="1:3" x14ac:dyDescent="0.3">
      <c r="A24">
        <v>22</v>
      </c>
      <c r="B24" t="s">
        <v>212</v>
      </c>
      <c r="C24" t="s">
        <v>213</v>
      </c>
    </row>
    <row r="25" spans="1:3" x14ac:dyDescent="0.3">
      <c r="A25">
        <v>23</v>
      </c>
      <c r="B25" t="s">
        <v>214</v>
      </c>
      <c r="C25" t="s">
        <v>215</v>
      </c>
    </row>
    <row r="26" spans="1:3" x14ac:dyDescent="0.3">
      <c r="A26">
        <v>24</v>
      </c>
      <c r="B26" t="s">
        <v>216</v>
      </c>
      <c r="C26" t="str">
        <f>IFERROR("'-NÃO ATENDEU REAL'/'-NÃO ATENDEU'",0)</f>
        <v>'-NÃO ATENDEU REAL'/'-NÃO ATENDEU'</v>
      </c>
    </row>
    <row r="27" spans="1:3" x14ac:dyDescent="0.3">
      <c r="A27">
        <v>25</v>
      </c>
      <c r="B27" t="s">
        <v>217</v>
      </c>
      <c r="C27" t="s">
        <v>218</v>
      </c>
    </row>
    <row r="28" spans="1:3" x14ac:dyDescent="0.3">
      <c r="A28">
        <v>26</v>
      </c>
      <c r="B28" t="s">
        <v>219</v>
      </c>
      <c r="C28" t="s">
        <v>220</v>
      </c>
    </row>
    <row r="30" spans="1:3" x14ac:dyDescent="0.3">
      <c r="A30" s="32" t="s">
        <v>221</v>
      </c>
    </row>
    <row r="31" spans="1:3" x14ac:dyDescent="0.3">
      <c r="A31" s="33" t="s">
        <v>167</v>
      </c>
      <c r="B31" s="33" t="s">
        <v>222</v>
      </c>
      <c r="C31" s="33" t="s">
        <v>169</v>
      </c>
    </row>
    <row r="34" spans="1:2" x14ac:dyDescent="0.3">
      <c r="A34" s="32" t="s">
        <v>223</v>
      </c>
      <c r="B34" t="s">
        <v>224</v>
      </c>
    </row>
    <row r="35" spans="1:2" x14ac:dyDescent="0.3">
      <c r="B35" t="s">
        <v>225</v>
      </c>
    </row>
    <row r="37" spans="1:2" x14ac:dyDescent="0.3">
      <c r="B37" t="s">
        <v>226</v>
      </c>
    </row>
    <row r="38" spans="1:2" x14ac:dyDescent="0.3">
      <c r="B38" t="s">
        <v>227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6C489-6C93-45C3-AB16-6DFB2E2ABB5E}">
  <sheetPr codeName="Planilha3"/>
  <dimension ref="A1:X1526"/>
  <sheetViews>
    <sheetView showGridLines="0" tabSelected="1" topLeftCell="B41" zoomScale="99" zoomScaleNormal="70" workbookViewId="0">
      <selection activeCell="J54" sqref="J54"/>
    </sheetView>
  </sheetViews>
  <sheetFormatPr defaultRowHeight="14.4" x14ac:dyDescent="0.3"/>
  <cols>
    <col min="1" max="1" width="4.33203125" style="1" customWidth="1"/>
    <col min="2" max="6" width="9.33203125" style="1" customWidth="1"/>
    <col min="7" max="7" width="1.44140625" style="1" customWidth="1"/>
    <col min="8" max="8" width="2.6640625" style="3" customWidth="1"/>
    <col min="9" max="9" width="13" style="1" bestFit="1" customWidth="1"/>
    <col min="10" max="10" width="15.21875" style="12" bestFit="1" customWidth="1"/>
    <col min="11" max="11" width="32.109375" style="12" bestFit="1" customWidth="1"/>
    <col min="12" max="17" width="12.5546875" style="12" customWidth="1"/>
    <col min="18" max="18" width="15" style="12" bestFit="1" customWidth="1"/>
    <col min="19" max="19" width="11.5546875" style="12" bestFit="1" customWidth="1"/>
    <col min="20" max="20" width="13.33203125" style="12" customWidth="1"/>
    <col min="21" max="21" width="11.33203125" style="12" bestFit="1" customWidth="1"/>
    <col min="22" max="22" width="9.109375" style="12" bestFit="1" customWidth="1"/>
    <col min="23" max="23" width="10.5546875" style="1" bestFit="1" customWidth="1"/>
    <col min="24" max="24" width="13.109375" style="1" bestFit="1" customWidth="1"/>
    <col min="25" max="25" width="9.33203125" bestFit="1" customWidth="1"/>
    <col min="26" max="26" width="11.5546875" bestFit="1" customWidth="1"/>
    <col min="27" max="27" width="11.33203125" bestFit="1" customWidth="1"/>
  </cols>
  <sheetData>
    <row r="1" spans="2:22" x14ac:dyDescent="0.3">
      <c r="H1" s="1"/>
    </row>
    <row r="2" spans="2:22" x14ac:dyDescent="0.3">
      <c r="H2" s="1"/>
    </row>
    <row r="3" spans="2:22" x14ac:dyDescent="0.3">
      <c r="B3" s="8"/>
      <c r="C3" s="7"/>
      <c r="D3" s="8"/>
      <c r="E3" s="7"/>
      <c r="F3" s="8"/>
      <c r="G3" s="7"/>
      <c r="H3" s="9"/>
    </row>
    <row r="4" spans="2:22" x14ac:dyDescent="0.3">
      <c r="B4" s="8"/>
      <c r="C4" s="7"/>
      <c r="D4" s="8"/>
      <c r="E4" s="7"/>
      <c r="F4" s="8"/>
      <c r="G4" s="7"/>
      <c r="H4" s="9"/>
    </row>
    <row r="5" spans="2:22" x14ac:dyDescent="0.3">
      <c r="B5" s="8"/>
      <c r="C5" s="7"/>
      <c r="D5" s="8"/>
      <c r="E5" s="7"/>
      <c r="F5" s="8"/>
      <c r="G5" s="7"/>
      <c r="H5" s="9"/>
    </row>
    <row r="6" spans="2:22" x14ac:dyDescent="0.3">
      <c r="B6" s="8"/>
      <c r="C6" s="7"/>
      <c r="D6" s="8"/>
      <c r="E6" s="7"/>
      <c r="F6" s="8"/>
      <c r="G6" s="7"/>
      <c r="H6" s="9"/>
    </row>
    <row r="7" spans="2:22" x14ac:dyDescent="0.3">
      <c r="B7" s="8"/>
      <c r="C7" s="7"/>
      <c r="D7" s="8"/>
      <c r="E7" s="7"/>
      <c r="F7" s="8"/>
      <c r="G7" s="7"/>
      <c r="H7" s="9"/>
    </row>
    <row r="8" spans="2:22" s="1" customFormat="1" x14ac:dyDescent="0.3">
      <c r="B8" s="8"/>
      <c r="C8" s="7"/>
      <c r="D8" s="8"/>
      <c r="E8" s="7"/>
      <c r="F8" s="8"/>
      <c r="G8" s="7"/>
      <c r="H8" s="9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</row>
    <row r="9" spans="2:22" x14ac:dyDescent="0.3">
      <c r="B9" s="8"/>
      <c r="C9" s="7"/>
      <c r="D9" s="8"/>
      <c r="E9" s="7"/>
      <c r="F9" s="8"/>
      <c r="G9" s="7"/>
      <c r="H9" s="9"/>
    </row>
    <row r="10" spans="2:22" x14ac:dyDescent="0.3">
      <c r="B10" s="8"/>
      <c r="C10" s="7"/>
      <c r="D10" s="8"/>
      <c r="E10" s="7"/>
      <c r="F10" s="8"/>
      <c r="G10" s="7"/>
      <c r="H10" s="9"/>
    </row>
    <row r="11" spans="2:22" x14ac:dyDescent="0.3">
      <c r="B11" s="8"/>
      <c r="C11" s="7"/>
      <c r="D11" s="8"/>
      <c r="E11" s="7"/>
      <c r="F11" s="8"/>
      <c r="G11" s="7"/>
      <c r="H11" s="9"/>
    </row>
    <row r="12" spans="2:22" x14ac:dyDescent="0.3">
      <c r="B12" s="8"/>
      <c r="C12" s="7"/>
      <c r="D12" s="8"/>
      <c r="E12" s="7"/>
      <c r="F12" s="8"/>
      <c r="G12" s="7"/>
      <c r="H12" s="9"/>
    </row>
    <row r="13" spans="2:22" x14ac:dyDescent="0.3">
      <c r="B13" s="8"/>
      <c r="C13" s="7"/>
      <c r="D13" s="8"/>
      <c r="E13" s="7"/>
      <c r="F13" s="8"/>
      <c r="G13" s="7"/>
      <c r="H13" s="9"/>
    </row>
    <row r="14" spans="2:22" x14ac:dyDescent="0.3">
      <c r="B14" s="8"/>
      <c r="C14" s="7"/>
      <c r="D14" s="8"/>
      <c r="E14" s="7"/>
      <c r="F14" s="8"/>
      <c r="G14" s="7"/>
      <c r="H14" s="9"/>
    </row>
    <row r="15" spans="2:22" x14ac:dyDescent="0.3">
      <c r="H15" s="1"/>
    </row>
    <row r="16" spans="2:22" x14ac:dyDescent="0.3">
      <c r="H16" s="1"/>
    </row>
    <row r="17" spans="8:8" x14ac:dyDescent="0.3">
      <c r="H17" s="1"/>
    </row>
    <row r="18" spans="8:8" x14ac:dyDescent="0.3">
      <c r="H18" s="1"/>
    </row>
    <row r="19" spans="8:8" x14ac:dyDescent="0.3">
      <c r="H19" s="1"/>
    </row>
    <row r="20" spans="8:8" x14ac:dyDescent="0.3">
      <c r="H20" s="1"/>
    </row>
    <row r="21" spans="8:8" x14ac:dyDescent="0.3">
      <c r="H21" s="1"/>
    </row>
    <row r="22" spans="8:8" x14ac:dyDescent="0.3">
      <c r="H22" s="1"/>
    </row>
    <row r="23" spans="8:8" x14ac:dyDescent="0.3">
      <c r="H23" s="1"/>
    </row>
    <row r="24" spans="8:8" x14ac:dyDescent="0.3">
      <c r="H24" s="1"/>
    </row>
    <row r="25" spans="8:8" x14ac:dyDescent="0.3">
      <c r="H25" s="1"/>
    </row>
    <row r="26" spans="8:8" x14ac:dyDescent="0.3">
      <c r="H26" s="1"/>
    </row>
    <row r="27" spans="8:8" x14ac:dyDescent="0.3">
      <c r="H27" s="1"/>
    </row>
    <row r="28" spans="8:8" x14ac:dyDescent="0.3">
      <c r="H28" s="1"/>
    </row>
    <row r="29" spans="8:8" x14ac:dyDescent="0.3">
      <c r="H29" s="1"/>
    </row>
    <row r="30" spans="8:8" x14ac:dyDescent="0.3">
      <c r="H30" s="1"/>
    </row>
    <row r="31" spans="8:8" x14ac:dyDescent="0.3">
      <c r="H31" s="1"/>
    </row>
    <row r="32" spans="8:8" x14ac:dyDescent="0.3">
      <c r="H32" s="1"/>
    </row>
    <row r="33" spans="1:24" x14ac:dyDescent="0.3">
      <c r="H33" s="1"/>
    </row>
    <row r="34" spans="1:24" x14ac:dyDescent="0.3">
      <c r="H34" s="1"/>
    </row>
    <row r="35" spans="1:24" x14ac:dyDescent="0.3">
      <c r="H35" s="1"/>
    </row>
    <row r="36" spans="1:24" x14ac:dyDescent="0.3">
      <c r="H36" s="2"/>
      <c r="I36"/>
      <c r="J36"/>
      <c r="K36" s="18"/>
      <c r="L36" s="13"/>
      <c r="M36" s="13"/>
      <c r="N36" s="13"/>
      <c r="O36" s="13"/>
      <c r="P36" s="13"/>
      <c r="Q36" s="13"/>
      <c r="R36" s="13"/>
      <c r="S36" s="13"/>
      <c r="T36" s="14"/>
    </row>
    <row r="37" spans="1:24" x14ac:dyDescent="0.3">
      <c r="I37"/>
      <c r="J37"/>
      <c r="K37" s="19"/>
      <c r="T37" s="15"/>
    </row>
    <row r="38" spans="1:24" x14ac:dyDescent="0.3">
      <c r="I38"/>
      <c r="J38"/>
      <c r="K38" s="19"/>
      <c r="T38" s="15"/>
    </row>
    <row r="39" spans="1:24" x14ac:dyDescent="0.3">
      <c r="I39"/>
      <c r="J39"/>
      <c r="K39" s="19"/>
      <c r="T39" s="15"/>
    </row>
    <row r="40" spans="1:24" x14ac:dyDescent="0.3">
      <c r="I40"/>
      <c r="J40"/>
      <c r="K40" s="19"/>
      <c r="T40" s="15"/>
    </row>
    <row r="41" spans="1:24" x14ac:dyDescent="0.3">
      <c r="I41" s="34" t="s">
        <v>8</v>
      </c>
      <c r="J41" s="34" t="s">
        <v>6</v>
      </c>
      <c r="K41" s="19"/>
      <c r="T41" s="15"/>
    </row>
    <row r="42" spans="1:24" x14ac:dyDescent="0.3">
      <c r="I42" s="34" t="s">
        <v>82</v>
      </c>
      <c r="J42" s="34" t="s">
        <v>6</v>
      </c>
      <c r="K42" s="19"/>
      <c r="T42" s="15"/>
    </row>
    <row r="43" spans="1:24" x14ac:dyDescent="0.3">
      <c r="I43" s="34" t="s">
        <v>9</v>
      </c>
      <c r="J43" s="34" t="s">
        <v>6</v>
      </c>
      <c r="K43" s="19"/>
      <c r="T43" s="15"/>
    </row>
    <row r="44" spans="1:24" x14ac:dyDescent="0.3">
      <c r="I44" s="34" t="s">
        <v>5</v>
      </c>
      <c r="J44" s="34" t="s">
        <v>6</v>
      </c>
      <c r="K44" s="19"/>
      <c r="T44" s="15"/>
    </row>
    <row r="45" spans="1:24" x14ac:dyDescent="0.3">
      <c r="I45" s="34" t="s">
        <v>12</v>
      </c>
      <c r="J45" s="34" t="s">
        <v>6</v>
      </c>
      <c r="K45" s="19"/>
      <c r="T45" s="16"/>
    </row>
    <row r="46" spans="1:24" x14ac:dyDescent="0.3">
      <c r="I46" s="34" t="s">
        <v>271</v>
      </c>
      <c r="J46" s="34" t="s">
        <v>6</v>
      </c>
    </row>
    <row r="47" spans="1:24" x14ac:dyDescent="0.3">
      <c r="I47" s="34" t="s">
        <v>280</v>
      </c>
      <c r="J47" s="34" t="s">
        <v>6</v>
      </c>
      <c r="X47"/>
    </row>
    <row r="48" spans="1:24" s="10" customFormat="1" ht="15.6" x14ac:dyDescent="0.3">
      <c r="A48" s="23"/>
      <c r="B48" s="23"/>
      <c r="C48" s="23"/>
      <c r="D48" s="23"/>
      <c r="E48" s="23"/>
      <c r="F48" s="23"/>
      <c r="G48" s="23"/>
      <c r="H48" s="24"/>
      <c r="I48" s="34" t="s">
        <v>270</v>
      </c>
      <c r="J48" s="34" t="s">
        <v>6</v>
      </c>
      <c r="M48" s="25"/>
      <c r="N48" s="25"/>
      <c r="O48" s="25"/>
      <c r="S48" s="41" t="s">
        <v>84</v>
      </c>
      <c r="T48" s="41"/>
      <c r="U48" s="41"/>
      <c r="X48"/>
    </row>
    <row r="49" spans="1:24" x14ac:dyDescent="0.3">
      <c r="I49" s="36" t="s">
        <v>10</v>
      </c>
      <c r="J49" s="34" t="s">
        <v>6</v>
      </c>
      <c r="X49"/>
    </row>
    <row r="50" spans="1:24" x14ac:dyDescent="0.3">
      <c r="I50" s="36" t="s">
        <v>273</v>
      </c>
      <c r="J50" s="34" t="s">
        <v>6</v>
      </c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3">
      <c r="I51" s="34" t="s">
        <v>281</v>
      </c>
      <c r="J51" s="34" t="s">
        <v>6</v>
      </c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3">
      <c r="X52"/>
    </row>
    <row r="53" spans="1:24" x14ac:dyDescent="0.3">
      <c r="I53" s="34"/>
      <c r="J53" s="34"/>
      <c r="K53" s="34"/>
      <c r="L53" s="38" t="s">
        <v>0</v>
      </c>
      <c r="M53" s="34"/>
      <c r="N53" s="34"/>
      <c r="O53" s="34"/>
      <c r="P53" s="34"/>
      <c r="Q53" s="34"/>
      <c r="R53"/>
      <c r="S53"/>
      <c r="T53"/>
      <c r="U53"/>
      <c r="V53"/>
      <c r="W53"/>
      <c r="X53"/>
    </row>
    <row r="54" spans="1:24" s="10" customFormat="1" ht="43.2" x14ac:dyDescent="0.3">
      <c r="A54" s="23"/>
      <c r="B54" s="23"/>
      <c r="C54" s="27"/>
      <c r="D54" s="27"/>
      <c r="E54" s="23"/>
      <c r="F54" s="23"/>
      <c r="G54" s="23"/>
      <c r="H54" s="24"/>
      <c r="I54" s="39" t="s">
        <v>154</v>
      </c>
      <c r="J54" s="39" t="s">
        <v>70</v>
      </c>
      <c r="K54" s="37" t="s">
        <v>272</v>
      </c>
      <c r="L54" s="39" t="s">
        <v>291</v>
      </c>
      <c r="M54" s="39" t="s">
        <v>287</v>
      </c>
      <c r="N54" s="39" t="s">
        <v>292</v>
      </c>
      <c r="O54" s="40" t="s">
        <v>290</v>
      </c>
      <c r="P54" s="40" t="s">
        <v>289</v>
      </c>
      <c r="Q54" s="40" t="s">
        <v>288</v>
      </c>
    </row>
    <row r="55" spans="1:24" ht="14.4" customHeight="1" x14ac:dyDescent="0.3">
      <c r="I55" s="42" t="s">
        <v>34</v>
      </c>
      <c r="J55" s="42" t="s">
        <v>282</v>
      </c>
      <c r="K55" s="39" t="s">
        <v>275</v>
      </c>
      <c r="L55" s="34">
        <v>14405</v>
      </c>
      <c r="M55" s="34">
        <v>2</v>
      </c>
      <c r="N55" s="34">
        <v>2</v>
      </c>
      <c r="O55" s="34">
        <v>2</v>
      </c>
      <c r="P55" s="34">
        <v>0</v>
      </c>
      <c r="Q55" s="34">
        <v>0</v>
      </c>
      <c r="R55"/>
      <c r="S55"/>
      <c r="T55"/>
      <c r="U55"/>
      <c r="V55"/>
      <c r="W55"/>
      <c r="X55"/>
    </row>
    <row r="56" spans="1:24" x14ac:dyDescent="0.3">
      <c r="I56" s="43"/>
      <c r="J56" s="43"/>
      <c r="K56" s="39" t="s">
        <v>277</v>
      </c>
      <c r="L56" s="34">
        <v>89198</v>
      </c>
      <c r="M56" s="34">
        <v>13079</v>
      </c>
      <c r="N56" s="34">
        <v>12624</v>
      </c>
      <c r="O56" s="34">
        <v>12170</v>
      </c>
      <c r="P56" s="34">
        <v>453</v>
      </c>
      <c r="Q56" s="34">
        <v>1</v>
      </c>
      <c r="R56"/>
      <c r="S56"/>
      <c r="T56"/>
      <c r="U56"/>
      <c r="V56"/>
      <c r="W56"/>
      <c r="X56"/>
    </row>
    <row r="57" spans="1:24" x14ac:dyDescent="0.3">
      <c r="I57" s="43"/>
      <c r="J57" s="43"/>
      <c r="K57" s="39" t="s">
        <v>278</v>
      </c>
      <c r="L57" s="34">
        <v>24194</v>
      </c>
      <c r="M57" s="34">
        <v>3821</v>
      </c>
      <c r="N57" s="34">
        <v>3621</v>
      </c>
      <c r="O57" s="34">
        <v>3429</v>
      </c>
      <c r="P57" s="34">
        <v>184</v>
      </c>
      <c r="Q57" s="34">
        <v>8</v>
      </c>
      <c r="R57"/>
      <c r="S57"/>
      <c r="T57"/>
      <c r="U57"/>
      <c r="V57"/>
      <c r="W57"/>
      <c r="X57"/>
    </row>
    <row r="58" spans="1:24" x14ac:dyDescent="0.3">
      <c r="I58" s="43"/>
      <c r="J58" s="43"/>
      <c r="K58" s="39"/>
      <c r="L58" s="34">
        <v>16</v>
      </c>
      <c r="M58" s="34">
        <v>0</v>
      </c>
      <c r="N58" s="34">
        <v>0</v>
      </c>
      <c r="O58" s="34">
        <v>0</v>
      </c>
      <c r="P58" s="34">
        <v>0</v>
      </c>
      <c r="Q58" s="34">
        <v>0</v>
      </c>
      <c r="R58"/>
      <c r="S58"/>
      <c r="T58"/>
      <c r="U58"/>
      <c r="V58"/>
      <c r="W58"/>
      <c r="X58"/>
    </row>
    <row r="59" spans="1:24" x14ac:dyDescent="0.3">
      <c r="I59" s="43"/>
      <c r="J59" s="42" t="s">
        <v>283</v>
      </c>
      <c r="K59" s="43"/>
      <c r="L59" s="34">
        <v>127813</v>
      </c>
      <c r="M59" s="34">
        <v>16902</v>
      </c>
      <c r="N59" s="34">
        <v>16247</v>
      </c>
      <c r="O59" s="34">
        <v>15601</v>
      </c>
      <c r="P59" s="34">
        <v>637</v>
      </c>
      <c r="Q59" s="34">
        <v>9</v>
      </c>
      <c r="R59"/>
      <c r="S59"/>
      <c r="T59"/>
      <c r="U59"/>
      <c r="V59"/>
      <c r="W59"/>
      <c r="X59"/>
    </row>
    <row r="60" spans="1:24" x14ac:dyDescent="0.3">
      <c r="I60" s="43"/>
      <c r="J60" s="42" t="s">
        <v>284</v>
      </c>
      <c r="K60" s="39" t="s">
        <v>274</v>
      </c>
      <c r="L60" s="34">
        <v>138815</v>
      </c>
      <c r="M60" s="34">
        <v>61767</v>
      </c>
      <c r="N60" s="34">
        <v>49840</v>
      </c>
      <c r="O60" s="34">
        <v>39754</v>
      </c>
      <c r="P60" s="34">
        <v>8365</v>
      </c>
      <c r="Q60" s="34">
        <v>1721</v>
      </c>
      <c r="R60"/>
      <c r="S60"/>
      <c r="T60"/>
      <c r="U60"/>
      <c r="V60"/>
      <c r="W60"/>
      <c r="X60"/>
    </row>
    <row r="61" spans="1:24" x14ac:dyDescent="0.3">
      <c r="I61" s="43"/>
      <c r="J61" s="43"/>
      <c r="K61" s="39" t="s">
        <v>276</v>
      </c>
      <c r="L61" s="34">
        <v>196987</v>
      </c>
      <c r="M61" s="34">
        <v>88495</v>
      </c>
      <c r="N61" s="34">
        <v>70647</v>
      </c>
      <c r="O61" s="34">
        <v>55905</v>
      </c>
      <c r="P61" s="34">
        <v>11901</v>
      </c>
      <c r="Q61" s="34">
        <v>2841</v>
      </c>
      <c r="R61"/>
      <c r="S61"/>
      <c r="T61"/>
      <c r="U61"/>
      <c r="V61"/>
      <c r="W61"/>
      <c r="X61"/>
    </row>
    <row r="62" spans="1:24" x14ac:dyDescent="0.3">
      <c r="I62" s="43"/>
      <c r="J62" s="43"/>
      <c r="K62" s="39" t="s">
        <v>279</v>
      </c>
      <c r="L62" s="34">
        <v>98807</v>
      </c>
      <c r="M62" s="34">
        <v>14206</v>
      </c>
      <c r="N62" s="34">
        <v>13802</v>
      </c>
      <c r="O62" s="34">
        <v>13447</v>
      </c>
      <c r="P62" s="34">
        <v>307</v>
      </c>
      <c r="Q62" s="34">
        <v>48</v>
      </c>
      <c r="R62"/>
      <c r="S62"/>
      <c r="T62"/>
      <c r="U62"/>
      <c r="V62"/>
      <c r="W62"/>
      <c r="X62"/>
    </row>
    <row r="63" spans="1:24" x14ac:dyDescent="0.3">
      <c r="I63" s="43"/>
      <c r="J63" s="42" t="s">
        <v>285</v>
      </c>
      <c r="K63" s="43"/>
      <c r="L63" s="34">
        <v>434609</v>
      </c>
      <c r="M63" s="34">
        <v>164468</v>
      </c>
      <c r="N63" s="34">
        <v>134289</v>
      </c>
      <c r="O63" s="34">
        <v>109106</v>
      </c>
      <c r="P63" s="34">
        <v>20573</v>
      </c>
      <c r="Q63" s="34">
        <v>4610</v>
      </c>
      <c r="R63"/>
      <c r="S63"/>
      <c r="T63"/>
      <c r="U63"/>
      <c r="V63"/>
      <c r="W63"/>
      <c r="X63"/>
    </row>
    <row r="64" spans="1:24" x14ac:dyDescent="0.3">
      <c r="I64" s="42" t="s">
        <v>286</v>
      </c>
      <c r="J64" s="43"/>
      <c r="K64" s="43"/>
      <c r="L64" s="34">
        <v>562422</v>
      </c>
      <c r="M64" s="34">
        <v>181370</v>
      </c>
      <c r="N64" s="34">
        <v>150536</v>
      </c>
      <c r="O64" s="34">
        <v>124707</v>
      </c>
      <c r="P64" s="34">
        <v>21210</v>
      </c>
      <c r="Q64" s="34">
        <v>4619</v>
      </c>
      <c r="R64"/>
      <c r="S64"/>
      <c r="T64"/>
      <c r="U64"/>
      <c r="V64"/>
      <c r="W64"/>
      <c r="X64"/>
    </row>
    <row r="65" spans="9:24" x14ac:dyDescent="0.3">
      <c r="I65" s="42" t="s">
        <v>4</v>
      </c>
      <c r="J65" s="43"/>
      <c r="K65" s="43"/>
      <c r="L65" s="34">
        <v>562422</v>
      </c>
      <c r="M65" s="34">
        <v>181370</v>
      </c>
      <c r="N65" s="34">
        <v>150536</v>
      </c>
      <c r="O65" s="34">
        <v>124707</v>
      </c>
      <c r="P65" s="34">
        <v>21210</v>
      </c>
      <c r="Q65" s="34">
        <v>4619</v>
      </c>
      <c r="R65"/>
      <c r="S65"/>
      <c r="T65"/>
      <c r="U65"/>
      <c r="V65"/>
      <c r="W65"/>
      <c r="X65"/>
    </row>
    <row r="66" spans="9:24" x14ac:dyDescent="0.3"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9:24" ht="14.4" customHeight="1" x14ac:dyDescent="0.3"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9:24" x14ac:dyDescent="0.3"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9:24" x14ac:dyDescent="0.3"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9:24" x14ac:dyDescent="0.3"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9:24" x14ac:dyDescent="0.3"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9:24" x14ac:dyDescent="0.3"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9:24" x14ac:dyDescent="0.3"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9:24" x14ac:dyDescent="0.3"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9:24" x14ac:dyDescent="0.3"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9:24" x14ac:dyDescent="0.3"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9:24" x14ac:dyDescent="0.3"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9:24" x14ac:dyDescent="0.3"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9:24" x14ac:dyDescent="0.3"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9:24" x14ac:dyDescent="0.3"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9:24" x14ac:dyDescent="0.3"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9:24" x14ac:dyDescent="0.3"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9:24" x14ac:dyDescent="0.3"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9:24" x14ac:dyDescent="0.3"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9:24" x14ac:dyDescent="0.3"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9:24" x14ac:dyDescent="0.3"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9:24" x14ac:dyDescent="0.3"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9:24" x14ac:dyDescent="0.3"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9:24" x14ac:dyDescent="0.3"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9:24" x14ac:dyDescent="0.3"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9:24" x14ac:dyDescent="0.3"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9:24" x14ac:dyDescent="0.3"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9:24" x14ac:dyDescent="0.3"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9:24" x14ac:dyDescent="0.3"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9:24" x14ac:dyDescent="0.3"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9:24" x14ac:dyDescent="0.3"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9:24" x14ac:dyDescent="0.3"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9:24" x14ac:dyDescent="0.3"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9:24" x14ac:dyDescent="0.3"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9:24" x14ac:dyDescent="0.3"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9:24" x14ac:dyDescent="0.3"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9:24" x14ac:dyDescent="0.3"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9:24" x14ac:dyDescent="0.3"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9:24" x14ac:dyDescent="0.3"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9:24" x14ac:dyDescent="0.3"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9:24" x14ac:dyDescent="0.3"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9:24" x14ac:dyDescent="0.3"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9:24" x14ac:dyDescent="0.3"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9:24" x14ac:dyDescent="0.3"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9:24" x14ac:dyDescent="0.3"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9:24" x14ac:dyDescent="0.3"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9:24" x14ac:dyDescent="0.3"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9:24" x14ac:dyDescent="0.3"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9:24" x14ac:dyDescent="0.3"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9:24" x14ac:dyDescent="0.3"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9:24" x14ac:dyDescent="0.3"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9:24" x14ac:dyDescent="0.3"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9:24" x14ac:dyDescent="0.3"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9:24" x14ac:dyDescent="0.3"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9:24" x14ac:dyDescent="0.3"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9:24" x14ac:dyDescent="0.3"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9:24" x14ac:dyDescent="0.3"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9:24" x14ac:dyDescent="0.3"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9:24" x14ac:dyDescent="0.3"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9:24" x14ac:dyDescent="0.3"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9:24" x14ac:dyDescent="0.3"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9:24" x14ac:dyDescent="0.3"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9:24" x14ac:dyDescent="0.3"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9:24" x14ac:dyDescent="0.3"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9:24" x14ac:dyDescent="0.3"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9:24" x14ac:dyDescent="0.3"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9:24" x14ac:dyDescent="0.3"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9:24" x14ac:dyDescent="0.3"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9:24" x14ac:dyDescent="0.3"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9:24" x14ac:dyDescent="0.3"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9:24" x14ac:dyDescent="0.3"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9:24" x14ac:dyDescent="0.3"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9:24" x14ac:dyDescent="0.3"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9:24" x14ac:dyDescent="0.3"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9:24" x14ac:dyDescent="0.3"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9:24" x14ac:dyDescent="0.3"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9:24" x14ac:dyDescent="0.3"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9:24" x14ac:dyDescent="0.3"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9:24" x14ac:dyDescent="0.3"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9:24" x14ac:dyDescent="0.3"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9:24" x14ac:dyDescent="0.3"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9:24" x14ac:dyDescent="0.3"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9:24" x14ac:dyDescent="0.3"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9:24" x14ac:dyDescent="0.3"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9:24" x14ac:dyDescent="0.3"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9:24" x14ac:dyDescent="0.3"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9:24" x14ac:dyDescent="0.3"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9:24" x14ac:dyDescent="0.3"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9:24" x14ac:dyDescent="0.3"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9:24" x14ac:dyDescent="0.3"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9:24" x14ac:dyDescent="0.3"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9:24" x14ac:dyDescent="0.3"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9:24" x14ac:dyDescent="0.3"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9:24" x14ac:dyDescent="0.3"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9:24" x14ac:dyDescent="0.3"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9:24" x14ac:dyDescent="0.3"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9:24" x14ac:dyDescent="0.3"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9:24" x14ac:dyDescent="0.3"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9:24" x14ac:dyDescent="0.3"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9:24" x14ac:dyDescent="0.3"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9:24" x14ac:dyDescent="0.3"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9:24" x14ac:dyDescent="0.3"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9:24" x14ac:dyDescent="0.3"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9:24" x14ac:dyDescent="0.3"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9:24" x14ac:dyDescent="0.3"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9:24" x14ac:dyDescent="0.3"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9:24" x14ac:dyDescent="0.3"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9:24" x14ac:dyDescent="0.3"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9:24" x14ac:dyDescent="0.3"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9:24" x14ac:dyDescent="0.3"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9:24" x14ac:dyDescent="0.3"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9:24" x14ac:dyDescent="0.3"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9:24" x14ac:dyDescent="0.3"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9:24" x14ac:dyDescent="0.3"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9:24" x14ac:dyDescent="0.3"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9:24" x14ac:dyDescent="0.3"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9:24" x14ac:dyDescent="0.3"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9:24" x14ac:dyDescent="0.3"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9:24" x14ac:dyDescent="0.3"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9:24" x14ac:dyDescent="0.3"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9:24" x14ac:dyDescent="0.3"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9:24" x14ac:dyDescent="0.3"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9:24" x14ac:dyDescent="0.3"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9:24" x14ac:dyDescent="0.3"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9:24" x14ac:dyDescent="0.3"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9:24" x14ac:dyDescent="0.3"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9:24" x14ac:dyDescent="0.3"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9:24" x14ac:dyDescent="0.3"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9:24" x14ac:dyDescent="0.3"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9:24" x14ac:dyDescent="0.3"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9:24" x14ac:dyDescent="0.3"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9:24" x14ac:dyDescent="0.3"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9:24" x14ac:dyDescent="0.3"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9:24" x14ac:dyDescent="0.3"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9:24" x14ac:dyDescent="0.3"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9:24" x14ac:dyDescent="0.3"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9:24" x14ac:dyDescent="0.3"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9:24" x14ac:dyDescent="0.3"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9:24" x14ac:dyDescent="0.3"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9:24" x14ac:dyDescent="0.3"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9:24" x14ac:dyDescent="0.3"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9:24" x14ac:dyDescent="0.3"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9:24" x14ac:dyDescent="0.3"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9:24" x14ac:dyDescent="0.3"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9:24" x14ac:dyDescent="0.3"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9:24" x14ac:dyDescent="0.3"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9:24" x14ac:dyDescent="0.3"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9:24" x14ac:dyDescent="0.3"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9:24" x14ac:dyDescent="0.3"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9:24" x14ac:dyDescent="0.3"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9:24" x14ac:dyDescent="0.3"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9:24" x14ac:dyDescent="0.3"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9:24" x14ac:dyDescent="0.3"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9:24" x14ac:dyDescent="0.3"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9:24" x14ac:dyDescent="0.3"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9:24" x14ac:dyDescent="0.3"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9:24" x14ac:dyDescent="0.3"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9:24" x14ac:dyDescent="0.3"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9:24" x14ac:dyDescent="0.3"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9:24" x14ac:dyDescent="0.3"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9:24" x14ac:dyDescent="0.3"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9:24" x14ac:dyDescent="0.3"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9:24" x14ac:dyDescent="0.3"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9:24" x14ac:dyDescent="0.3"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9:24" x14ac:dyDescent="0.3"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9:24" x14ac:dyDescent="0.3"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9:24" x14ac:dyDescent="0.3"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9:24" x14ac:dyDescent="0.3"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9:24" x14ac:dyDescent="0.3"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9:24" x14ac:dyDescent="0.3"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9:24" x14ac:dyDescent="0.3"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9:24" x14ac:dyDescent="0.3"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9:24" x14ac:dyDescent="0.3"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9:24" x14ac:dyDescent="0.3"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9:24" x14ac:dyDescent="0.3"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9:24" x14ac:dyDescent="0.3"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9:24" x14ac:dyDescent="0.3"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9:24" x14ac:dyDescent="0.3"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9:24" x14ac:dyDescent="0.3"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9:24" x14ac:dyDescent="0.3"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9:24" x14ac:dyDescent="0.3"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9:24" x14ac:dyDescent="0.3"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9:24" x14ac:dyDescent="0.3"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9:24" x14ac:dyDescent="0.3"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9:24" x14ac:dyDescent="0.3"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9:24" x14ac:dyDescent="0.3"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9:24" x14ac:dyDescent="0.3"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9:24" x14ac:dyDescent="0.3"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9:24" x14ac:dyDescent="0.3"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9:24" x14ac:dyDescent="0.3"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9:24" x14ac:dyDescent="0.3"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9:24" x14ac:dyDescent="0.3"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9:24" x14ac:dyDescent="0.3"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9:24" x14ac:dyDescent="0.3"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9:24" x14ac:dyDescent="0.3"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9:24" x14ac:dyDescent="0.3"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9:24" x14ac:dyDescent="0.3"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9:24" x14ac:dyDescent="0.3"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9:24" x14ac:dyDescent="0.3"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9:24" x14ac:dyDescent="0.3"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9:24" x14ac:dyDescent="0.3"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9:24" x14ac:dyDescent="0.3"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9:24" x14ac:dyDescent="0.3"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9:24" x14ac:dyDescent="0.3"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9:24" x14ac:dyDescent="0.3"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9:24" x14ac:dyDescent="0.3"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9:24" x14ac:dyDescent="0.3"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9:24" x14ac:dyDescent="0.3"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9:24" x14ac:dyDescent="0.3"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9:24" x14ac:dyDescent="0.3"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9:24" x14ac:dyDescent="0.3"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9:24" x14ac:dyDescent="0.3"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9:24" x14ac:dyDescent="0.3"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9:24" x14ac:dyDescent="0.3"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9:24" x14ac:dyDescent="0.3"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9:24" x14ac:dyDescent="0.3"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9:24" x14ac:dyDescent="0.3"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9:24" x14ac:dyDescent="0.3"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9:24" x14ac:dyDescent="0.3"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9:24" x14ac:dyDescent="0.3"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9:24" x14ac:dyDescent="0.3"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9:24" x14ac:dyDescent="0.3"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9:24" x14ac:dyDescent="0.3"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9:24" x14ac:dyDescent="0.3"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9:24" x14ac:dyDescent="0.3"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9:24" x14ac:dyDescent="0.3"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9:24" x14ac:dyDescent="0.3"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9:24" x14ac:dyDescent="0.3"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9:24" x14ac:dyDescent="0.3"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9:24" x14ac:dyDescent="0.3"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9:24" x14ac:dyDescent="0.3"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9:24" x14ac:dyDescent="0.3"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9:24" x14ac:dyDescent="0.3"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9:24" x14ac:dyDescent="0.3"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9:24" x14ac:dyDescent="0.3"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9:24" x14ac:dyDescent="0.3"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9:24" x14ac:dyDescent="0.3"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9:24" x14ac:dyDescent="0.3"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9:24" x14ac:dyDescent="0.3"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9:24" x14ac:dyDescent="0.3"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9:24" x14ac:dyDescent="0.3"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9:24" x14ac:dyDescent="0.3"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9:24" x14ac:dyDescent="0.3"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9:24" x14ac:dyDescent="0.3"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9:24" x14ac:dyDescent="0.3"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9:24" x14ac:dyDescent="0.3"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9:24" x14ac:dyDescent="0.3"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9:24" x14ac:dyDescent="0.3"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9:24" x14ac:dyDescent="0.3"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9:24" x14ac:dyDescent="0.3"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9:24" x14ac:dyDescent="0.3"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9:24" x14ac:dyDescent="0.3"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9:24" x14ac:dyDescent="0.3"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9:24" x14ac:dyDescent="0.3"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9:24" x14ac:dyDescent="0.3"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9:24" x14ac:dyDescent="0.3"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9:24" x14ac:dyDescent="0.3"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9:24" x14ac:dyDescent="0.3"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9:24" x14ac:dyDescent="0.3"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9:24" x14ac:dyDescent="0.3"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9:24" x14ac:dyDescent="0.3"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9:24" x14ac:dyDescent="0.3"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9:24" x14ac:dyDescent="0.3"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9:24" x14ac:dyDescent="0.3"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9:24" x14ac:dyDescent="0.3"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9:24" x14ac:dyDescent="0.3"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9:24" x14ac:dyDescent="0.3"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9:24" x14ac:dyDescent="0.3"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9:24" x14ac:dyDescent="0.3"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9:24" x14ac:dyDescent="0.3"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9:24" x14ac:dyDescent="0.3"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9:24" x14ac:dyDescent="0.3"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9:24" x14ac:dyDescent="0.3"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9:24" x14ac:dyDescent="0.3"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9:24" x14ac:dyDescent="0.3"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9:24" x14ac:dyDescent="0.3"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9:24" x14ac:dyDescent="0.3"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9:24" x14ac:dyDescent="0.3"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9:24" x14ac:dyDescent="0.3"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9:24" x14ac:dyDescent="0.3"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9:24" x14ac:dyDescent="0.3"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9:24" x14ac:dyDescent="0.3"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9:24" x14ac:dyDescent="0.3"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9:24" x14ac:dyDescent="0.3"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9:24" x14ac:dyDescent="0.3"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9:24" x14ac:dyDescent="0.3"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9:24" x14ac:dyDescent="0.3"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9:24" x14ac:dyDescent="0.3"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9:24" x14ac:dyDescent="0.3"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9:24" x14ac:dyDescent="0.3"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9:24" x14ac:dyDescent="0.3"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9:24" x14ac:dyDescent="0.3"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9:24" x14ac:dyDescent="0.3"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9:24" x14ac:dyDescent="0.3"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9:24" x14ac:dyDescent="0.3"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9:24" x14ac:dyDescent="0.3"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9:24" x14ac:dyDescent="0.3"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9:24" x14ac:dyDescent="0.3"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9:24" x14ac:dyDescent="0.3"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9:24" x14ac:dyDescent="0.3"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9:24" x14ac:dyDescent="0.3"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9:24" x14ac:dyDescent="0.3"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9:24" x14ac:dyDescent="0.3"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9:24" x14ac:dyDescent="0.3"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9:24" x14ac:dyDescent="0.3"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9:24" x14ac:dyDescent="0.3"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9:24" x14ac:dyDescent="0.3"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9:24" x14ac:dyDescent="0.3"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9:24" x14ac:dyDescent="0.3"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9:24" x14ac:dyDescent="0.3"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9:24" x14ac:dyDescent="0.3"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9:24" x14ac:dyDescent="0.3"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9:24" x14ac:dyDescent="0.3"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9:24" x14ac:dyDescent="0.3"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9:24" x14ac:dyDescent="0.3"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9:24" x14ac:dyDescent="0.3"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9:24" x14ac:dyDescent="0.3"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9:24" x14ac:dyDescent="0.3"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9:24" x14ac:dyDescent="0.3"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9:24" x14ac:dyDescent="0.3"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9:24" x14ac:dyDescent="0.3"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9:24" x14ac:dyDescent="0.3"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9:24" x14ac:dyDescent="0.3"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9:24" x14ac:dyDescent="0.3"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9:24" x14ac:dyDescent="0.3"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9:24" x14ac:dyDescent="0.3"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9:24" x14ac:dyDescent="0.3"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9:24" x14ac:dyDescent="0.3"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9:24" x14ac:dyDescent="0.3"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9:24" x14ac:dyDescent="0.3"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9:24" x14ac:dyDescent="0.3"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9:24" x14ac:dyDescent="0.3"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9:24" x14ac:dyDescent="0.3"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9:24" x14ac:dyDescent="0.3"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9:24" x14ac:dyDescent="0.3"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9:24" x14ac:dyDescent="0.3"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9:24" x14ac:dyDescent="0.3"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9:24" x14ac:dyDescent="0.3"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9:24" x14ac:dyDescent="0.3"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9:24" x14ac:dyDescent="0.3"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9:24" x14ac:dyDescent="0.3"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9:24" x14ac:dyDescent="0.3"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9:24" x14ac:dyDescent="0.3"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9:24" x14ac:dyDescent="0.3"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9:24" x14ac:dyDescent="0.3"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9:24" x14ac:dyDescent="0.3"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9:24" x14ac:dyDescent="0.3"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9:24" x14ac:dyDescent="0.3"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9:24" x14ac:dyDescent="0.3"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9:24" x14ac:dyDescent="0.3"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9:24" x14ac:dyDescent="0.3"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9:24" x14ac:dyDescent="0.3"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9:24" x14ac:dyDescent="0.3"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9:24" x14ac:dyDescent="0.3"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9:24" x14ac:dyDescent="0.3"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9:24" x14ac:dyDescent="0.3"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9:24" x14ac:dyDescent="0.3"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9:24" x14ac:dyDescent="0.3"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9:24" x14ac:dyDescent="0.3"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9:24" x14ac:dyDescent="0.3"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9:24" x14ac:dyDescent="0.3"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9:24" x14ac:dyDescent="0.3"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9:24" x14ac:dyDescent="0.3"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9:24" x14ac:dyDescent="0.3"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9:24" x14ac:dyDescent="0.3"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9:24" x14ac:dyDescent="0.3"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9:24" x14ac:dyDescent="0.3"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9:24" x14ac:dyDescent="0.3"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9:24" x14ac:dyDescent="0.3"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9:24" x14ac:dyDescent="0.3"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9:24" x14ac:dyDescent="0.3"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9:24" x14ac:dyDescent="0.3"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9:24" x14ac:dyDescent="0.3"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9:24" x14ac:dyDescent="0.3"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9:24" x14ac:dyDescent="0.3"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9:24" x14ac:dyDescent="0.3"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9:24" x14ac:dyDescent="0.3"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9:24" x14ac:dyDescent="0.3"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9:24" x14ac:dyDescent="0.3"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9:24" x14ac:dyDescent="0.3"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9:24" x14ac:dyDescent="0.3"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9:24" x14ac:dyDescent="0.3"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9:24" x14ac:dyDescent="0.3"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9:24" x14ac:dyDescent="0.3"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9:24" x14ac:dyDescent="0.3"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9:24" x14ac:dyDescent="0.3"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9:24" x14ac:dyDescent="0.3"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9:24" x14ac:dyDescent="0.3"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9:24" x14ac:dyDescent="0.3"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9:24" x14ac:dyDescent="0.3"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9:24" x14ac:dyDescent="0.3"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9:24" x14ac:dyDescent="0.3"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9:24" x14ac:dyDescent="0.3"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9:24" x14ac:dyDescent="0.3"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9:24" x14ac:dyDescent="0.3"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9:24" x14ac:dyDescent="0.3"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9:24" x14ac:dyDescent="0.3"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9:24" x14ac:dyDescent="0.3"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9:24" x14ac:dyDescent="0.3"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9:24" x14ac:dyDescent="0.3"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9:24" x14ac:dyDescent="0.3"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9:24" x14ac:dyDescent="0.3"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9:24" x14ac:dyDescent="0.3"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9:24" x14ac:dyDescent="0.3"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9:24" x14ac:dyDescent="0.3"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9:24" x14ac:dyDescent="0.3"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9:24" x14ac:dyDescent="0.3"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9:24" x14ac:dyDescent="0.3"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9:24" x14ac:dyDescent="0.3"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9:24" x14ac:dyDescent="0.3"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9:24" x14ac:dyDescent="0.3"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9:24" x14ac:dyDescent="0.3"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9:24" x14ac:dyDescent="0.3"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9:24" x14ac:dyDescent="0.3"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9:24" x14ac:dyDescent="0.3"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9:24" x14ac:dyDescent="0.3"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9:24" x14ac:dyDescent="0.3"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9:24" x14ac:dyDescent="0.3"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9:24" x14ac:dyDescent="0.3"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9:24" x14ac:dyDescent="0.3"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9:24" x14ac:dyDescent="0.3"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9:24" x14ac:dyDescent="0.3"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9:24" x14ac:dyDescent="0.3"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9:24" x14ac:dyDescent="0.3"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9:24" x14ac:dyDescent="0.3"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9:24" x14ac:dyDescent="0.3"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9:24" x14ac:dyDescent="0.3"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9:24" x14ac:dyDescent="0.3"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9:24" x14ac:dyDescent="0.3"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9:24" x14ac:dyDescent="0.3"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9:24" x14ac:dyDescent="0.3"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9:24" x14ac:dyDescent="0.3"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9:24" x14ac:dyDescent="0.3"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9:24" x14ac:dyDescent="0.3"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9:24" x14ac:dyDescent="0.3"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9:24" x14ac:dyDescent="0.3"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9:24" x14ac:dyDescent="0.3"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9:24" x14ac:dyDescent="0.3"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9:24" x14ac:dyDescent="0.3"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9:24" x14ac:dyDescent="0.3"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9:24" x14ac:dyDescent="0.3"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9:24" x14ac:dyDescent="0.3"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9:24" x14ac:dyDescent="0.3"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9:24" x14ac:dyDescent="0.3"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9:24" x14ac:dyDescent="0.3"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9:24" x14ac:dyDescent="0.3"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9:24" x14ac:dyDescent="0.3"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9:24" x14ac:dyDescent="0.3"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9:24" x14ac:dyDescent="0.3"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9:24" x14ac:dyDescent="0.3"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9:24" x14ac:dyDescent="0.3"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9:24" x14ac:dyDescent="0.3"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9:24" x14ac:dyDescent="0.3"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9:24" x14ac:dyDescent="0.3"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9:24" x14ac:dyDescent="0.3"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9:24" x14ac:dyDescent="0.3"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9:24" x14ac:dyDescent="0.3"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9:24" x14ac:dyDescent="0.3"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9:24" x14ac:dyDescent="0.3"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9:24" x14ac:dyDescent="0.3"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9:24" x14ac:dyDescent="0.3"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9:24" x14ac:dyDescent="0.3"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9:24" x14ac:dyDescent="0.3"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9:24" x14ac:dyDescent="0.3"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9:24" x14ac:dyDescent="0.3"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9:24" x14ac:dyDescent="0.3"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9:24" x14ac:dyDescent="0.3"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9:24" x14ac:dyDescent="0.3"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9:24" x14ac:dyDescent="0.3"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9:24" x14ac:dyDescent="0.3"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9:24" x14ac:dyDescent="0.3"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9:24" x14ac:dyDescent="0.3"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9:24" x14ac:dyDescent="0.3"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9:24" x14ac:dyDescent="0.3"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9:24" x14ac:dyDescent="0.3"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9:24" x14ac:dyDescent="0.3"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9:24" x14ac:dyDescent="0.3"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9:24" x14ac:dyDescent="0.3"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9:24" x14ac:dyDescent="0.3"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9:24" x14ac:dyDescent="0.3"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9:24" x14ac:dyDescent="0.3"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9:24" x14ac:dyDescent="0.3"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9:24" x14ac:dyDescent="0.3"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9:24" x14ac:dyDescent="0.3"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9:24" x14ac:dyDescent="0.3"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9:24" x14ac:dyDescent="0.3"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9:24" x14ac:dyDescent="0.3"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9:24" x14ac:dyDescent="0.3"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9:24" x14ac:dyDescent="0.3"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9:24" x14ac:dyDescent="0.3"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9:24" x14ac:dyDescent="0.3"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9:24" x14ac:dyDescent="0.3"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9:24" x14ac:dyDescent="0.3"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9:24" x14ac:dyDescent="0.3"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9:24" x14ac:dyDescent="0.3"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9:24" x14ac:dyDescent="0.3"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9:24" x14ac:dyDescent="0.3"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9:24" x14ac:dyDescent="0.3"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9:24" x14ac:dyDescent="0.3"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9:24" x14ac:dyDescent="0.3"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9:24" x14ac:dyDescent="0.3"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9:24" x14ac:dyDescent="0.3"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9:24" x14ac:dyDescent="0.3"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9:24" x14ac:dyDescent="0.3"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9:24" x14ac:dyDescent="0.3"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9:24" x14ac:dyDescent="0.3"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9:24" x14ac:dyDescent="0.3"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9:24" x14ac:dyDescent="0.3"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9:24" x14ac:dyDescent="0.3"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9:24" x14ac:dyDescent="0.3"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9:24" x14ac:dyDescent="0.3"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9:24" x14ac:dyDescent="0.3"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9:24" x14ac:dyDescent="0.3"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9:24" x14ac:dyDescent="0.3"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9:24" x14ac:dyDescent="0.3"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9:24" x14ac:dyDescent="0.3"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9:24" x14ac:dyDescent="0.3"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9:24" x14ac:dyDescent="0.3"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9:24" x14ac:dyDescent="0.3"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9:24" x14ac:dyDescent="0.3"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9:24" x14ac:dyDescent="0.3"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9:24" x14ac:dyDescent="0.3"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9:24" x14ac:dyDescent="0.3"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9:24" x14ac:dyDescent="0.3"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9:24" x14ac:dyDescent="0.3"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9:24" x14ac:dyDescent="0.3"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9:24" x14ac:dyDescent="0.3"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9:24" x14ac:dyDescent="0.3"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9:24" x14ac:dyDescent="0.3"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9:24" x14ac:dyDescent="0.3"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9:24" x14ac:dyDescent="0.3"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9:24" x14ac:dyDescent="0.3"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9:24" x14ac:dyDescent="0.3"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9:24" x14ac:dyDescent="0.3"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9:24" x14ac:dyDescent="0.3"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9:24" x14ac:dyDescent="0.3"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9:24" x14ac:dyDescent="0.3"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9:24" x14ac:dyDescent="0.3"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9:24" x14ac:dyDescent="0.3"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9:24" x14ac:dyDescent="0.3"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9:24" x14ac:dyDescent="0.3"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9:24" x14ac:dyDescent="0.3"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9:24" x14ac:dyDescent="0.3"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9:24" x14ac:dyDescent="0.3"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9:24" x14ac:dyDescent="0.3"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9:24" x14ac:dyDescent="0.3"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9:24" x14ac:dyDescent="0.3"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9:24" x14ac:dyDescent="0.3"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9:24" x14ac:dyDescent="0.3"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9:24" x14ac:dyDescent="0.3"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9:24" x14ac:dyDescent="0.3"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9:24" x14ac:dyDescent="0.3"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9:24" x14ac:dyDescent="0.3"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9:24" x14ac:dyDescent="0.3"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9:24" x14ac:dyDescent="0.3"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9:24" x14ac:dyDescent="0.3"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9:24" x14ac:dyDescent="0.3"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9:24" x14ac:dyDescent="0.3"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9:24" x14ac:dyDescent="0.3"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9:24" x14ac:dyDescent="0.3"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9:24" x14ac:dyDescent="0.3"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9:24" x14ac:dyDescent="0.3"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9:24" x14ac:dyDescent="0.3"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9:24" x14ac:dyDescent="0.3"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9:24" x14ac:dyDescent="0.3"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9:24" x14ac:dyDescent="0.3"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9:24" x14ac:dyDescent="0.3"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9:24" x14ac:dyDescent="0.3"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9:24" x14ac:dyDescent="0.3"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9:24" x14ac:dyDescent="0.3"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9:24" x14ac:dyDescent="0.3"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9:24" x14ac:dyDescent="0.3"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9:24" x14ac:dyDescent="0.3"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9:24" x14ac:dyDescent="0.3"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9:24" x14ac:dyDescent="0.3"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9:24" x14ac:dyDescent="0.3"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9:24" x14ac:dyDescent="0.3"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9:24" x14ac:dyDescent="0.3"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9:24" x14ac:dyDescent="0.3"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9:24" x14ac:dyDescent="0.3"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</row>
    <row r="646" spans="9:24" x14ac:dyDescent="0.3"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</row>
    <row r="647" spans="9:24" x14ac:dyDescent="0.3"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</row>
    <row r="648" spans="9:24" x14ac:dyDescent="0.3"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</row>
    <row r="649" spans="9:24" x14ac:dyDescent="0.3"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</row>
    <row r="650" spans="9:24" x14ac:dyDescent="0.3"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</row>
    <row r="651" spans="9:24" x14ac:dyDescent="0.3"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</row>
    <row r="652" spans="9:24" x14ac:dyDescent="0.3"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</row>
    <row r="653" spans="9:24" x14ac:dyDescent="0.3"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</row>
    <row r="654" spans="9:24" x14ac:dyDescent="0.3"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</row>
    <row r="655" spans="9:24" x14ac:dyDescent="0.3"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</row>
    <row r="656" spans="9:24" x14ac:dyDescent="0.3"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</row>
    <row r="657" spans="9:24" x14ac:dyDescent="0.3"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</row>
    <row r="658" spans="9:24" x14ac:dyDescent="0.3"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</row>
    <row r="659" spans="9:24" x14ac:dyDescent="0.3"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</row>
    <row r="660" spans="9:24" x14ac:dyDescent="0.3"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</row>
    <row r="661" spans="9:24" x14ac:dyDescent="0.3"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</row>
    <row r="662" spans="9:24" x14ac:dyDescent="0.3"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</row>
    <row r="663" spans="9:24" x14ac:dyDescent="0.3"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</row>
    <row r="664" spans="9:24" x14ac:dyDescent="0.3"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</row>
    <row r="665" spans="9:24" x14ac:dyDescent="0.3"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</row>
    <row r="666" spans="9:24" x14ac:dyDescent="0.3"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</row>
    <row r="667" spans="9:24" x14ac:dyDescent="0.3"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</row>
    <row r="668" spans="9:24" x14ac:dyDescent="0.3"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</row>
    <row r="669" spans="9:24" x14ac:dyDescent="0.3"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</row>
    <row r="670" spans="9:24" x14ac:dyDescent="0.3">
      <c r="I670"/>
      <c r="J670"/>
      <c r="K670"/>
      <c r="L670"/>
      <c r="M670"/>
      <c r="N670"/>
      <c r="O670"/>
      <c r="P670"/>
      <c r="Q670"/>
      <c r="R670" s="11"/>
      <c r="S670" s="11"/>
      <c r="T670" s="11"/>
      <c r="U670" s="11"/>
      <c r="V670" s="11"/>
      <c r="W670"/>
      <c r="X670"/>
    </row>
    <row r="671" spans="9:24" x14ac:dyDescent="0.3">
      <c r="I671"/>
      <c r="J671"/>
      <c r="K671"/>
      <c r="L671"/>
      <c r="M671"/>
      <c r="N671"/>
      <c r="O671"/>
      <c r="P671"/>
      <c r="Q671"/>
      <c r="R671" s="11"/>
      <c r="S671" s="11"/>
      <c r="T671" s="11"/>
      <c r="U671" s="11"/>
      <c r="V671" s="11"/>
      <c r="W671"/>
      <c r="X671"/>
    </row>
    <row r="672" spans="9:24" x14ac:dyDescent="0.3">
      <c r="I672"/>
      <c r="J672"/>
      <c r="K672"/>
      <c r="L672"/>
      <c r="M672"/>
      <c r="N672"/>
      <c r="O672"/>
      <c r="P672"/>
      <c r="Q672"/>
      <c r="R672" s="11"/>
      <c r="S672" s="11"/>
      <c r="T672" s="11"/>
      <c r="U672" s="11"/>
      <c r="V672" s="11"/>
      <c r="W672"/>
      <c r="X672"/>
    </row>
    <row r="673" spans="9:24" x14ac:dyDescent="0.3">
      <c r="I673"/>
      <c r="J673"/>
      <c r="K673"/>
      <c r="L673"/>
      <c r="M673"/>
      <c r="N673"/>
      <c r="O673"/>
      <c r="P673"/>
      <c r="Q673"/>
      <c r="R673" s="11"/>
      <c r="S673" s="11"/>
      <c r="T673" s="11"/>
      <c r="U673" s="11"/>
      <c r="V673" s="11"/>
      <c r="W673"/>
      <c r="X673"/>
    </row>
    <row r="674" spans="9:24" x14ac:dyDescent="0.3">
      <c r="I674"/>
      <c r="J674"/>
      <c r="K674"/>
      <c r="L674"/>
      <c r="M674"/>
      <c r="N674"/>
      <c r="O674"/>
      <c r="P674"/>
      <c r="Q674"/>
      <c r="R674" s="11"/>
      <c r="S674" s="11"/>
      <c r="T674" s="11"/>
      <c r="U674" s="11"/>
      <c r="V674" s="11"/>
      <c r="W674"/>
      <c r="X674"/>
    </row>
    <row r="675" spans="9:24" x14ac:dyDescent="0.3">
      <c r="I675"/>
      <c r="J675"/>
      <c r="K675"/>
      <c r="L675"/>
      <c r="M675"/>
      <c r="N675"/>
      <c r="O675"/>
      <c r="P675"/>
      <c r="Q675"/>
      <c r="R675" s="11"/>
      <c r="S675" s="11"/>
      <c r="T675" s="11"/>
      <c r="U675" s="11"/>
      <c r="V675" s="11"/>
      <c r="W675"/>
      <c r="X675"/>
    </row>
    <row r="676" spans="9:24" x14ac:dyDescent="0.3">
      <c r="I676"/>
      <c r="J676"/>
      <c r="K676"/>
      <c r="L676"/>
      <c r="M676"/>
      <c r="N676"/>
      <c r="O676"/>
      <c r="P676"/>
      <c r="Q676"/>
      <c r="R676" s="11"/>
      <c r="S676" s="11"/>
      <c r="T676" s="11"/>
      <c r="U676" s="11"/>
      <c r="V676" s="11"/>
      <c r="W676"/>
      <c r="X676"/>
    </row>
    <row r="677" spans="9:24" x14ac:dyDescent="0.3">
      <c r="I677"/>
      <c r="J677"/>
      <c r="K677"/>
      <c r="L677"/>
      <c r="M677"/>
      <c r="N677"/>
      <c r="O677"/>
      <c r="P677"/>
      <c r="Q677"/>
      <c r="R677" s="11"/>
      <c r="S677" s="11"/>
      <c r="T677" s="11"/>
      <c r="U677" s="11"/>
      <c r="V677" s="11"/>
      <c r="W677"/>
      <c r="X677"/>
    </row>
    <row r="678" spans="9:24" x14ac:dyDescent="0.3">
      <c r="I678"/>
      <c r="J678"/>
      <c r="K678"/>
      <c r="L678"/>
      <c r="M678"/>
      <c r="N678"/>
      <c r="O678"/>
      <c r="P678"/>
      <c r="Q678"/>
      <c r="R678" s="11"/>
      <c r="S678" s="11"/>
      <c r="T678" s="11"/>
      <c r="U678" s="11"/>
      <c r="V678" s="11"/>
      <c r="W678"/>
      <c r="X678"/>
    </row>
    <row r="679" spans="9:24" x14ac:dyDescent="0.3">
      <c r="I679"/>
      <c r="J679"/>
      <c r="K679"/>
      <c r="L679"/>
      <c r="M679"/>
      <c r="N679"/>
      <c r="O679"/>
      <c r="P679"/>
      <c r="Q679"/>
      <c r="R679" s="11"/>
      <c r="S679" s="11"/>
      <c r="T679" s="11"/>
      <c r="U679" s="11"/>
      <c r="V679" s="11"/>
      <c r="W679"/>
      <c r="X679"/>
    </row>
    <row r="680" spans="9:24" x14ac:dyDescent="0.3">
      <c r="I680"/>
      <c r="J680"/>
      <c r="K680"/>
      <c r="L680"/>
      <c r="M680"/>
      <c r="N680"/>
      <c r="O680"/>
      <c r="P680"/>
      <c r="Q680"/>
      <c r="R680" s="11"/>
      <c r="S680" s="11"/>
      <c r="T680" s="11"/>
      <c r="U680" s="11"/>
      <c r="V680" s="11"/>
      <c r="W680"/>
      <c r="X680"/>
    </row>
    <row r="681" spans="9:24" x14ac:dyDescent="0.3">
      <c r="I681"/>
      <c r="J681"/>
      <c r="K681"/>
      <c r="L681"/>
      <c r="M681"/>
      <c r="N681"/>
      <c r="O681"/>
      <c r="P681"/>
      <c r="Q681"/>
      <c r="R681" s="11"/>
      <c r="S681" s="11"/>
      <c r="T681" s="11"/>
      <c r="U681" s="11"/>
      <c r="V681" s="11"/>
      <c r="W681"/>
      <c r="X681"/>
    </row>
    <row r="682" spans="9:24" x14ac:dyDescent="0.3">
      <c r="I682"/>
      <c r="J682"/>
      <c r="K682"/>
      <c r="L682"/>
      <c r="M682"/>
      <c r="N682"/>
      <c r="O682"/>
      <c r="P682"/>
      <c r="Q682"/>
      <c r="R682" s="11"/>
      <c r="S682" s="11"/>
      <c r="T682" s="11"/>
      <c r="U682" s="11"/>
      <c r="V682" s="11"/>
      <c r="W682"/>
      <c r="X682"/>
    </row>
    <row r="683" spans="9:24" x14ac:dyDescent="0.3">
      <c r="I683"/>
      <c r="J683"/>
      <c r="K683"/>
      <c r="L683"/>
      <c r="M683"/>
      <c r="N683"/>
      <c r="O683"/>
      <c r="P683"/>
      <c r="Q683"/>
      <c r="R683" s="11"/>
      <c r="S683" s="11"/>
      <c r="T683" s="11"/>
      <c r="U683" s="11"/>
      <c r="V683" s="11"/>
      <c r="W683"/>
      <c r="X683"/>
    </row>
    <row r="684" spans="9:24" x14ac:dyDescent="0.3">
      <c r="I684"/>
      <c r="J684"/>
      <c r="K684"/>
      <c r="L684"/>
      <c r="M684"/>
      <c r="N684"/>
      <c r="O684"/>
      <c r="P684"/>
      <c r="Q684"/>
      <c r="R684" s="11"/>
      <c r="S684" s="11"/>
      <c r="T684" s="11"/>
      <c r="U684" s="11"/>
      <c r="V684" s="11"/>
      <c r="W684"/>
      <c r="X684"/>
    </row>
    <row r="685" spans="9:24" x14ac:dyDescent="0.3">
      <c r="I685"/>
      <c r="J685"/>
      <c r="K685"/>
      <c r="L685"/>
      <c r="M685"/>
      <c r="N685"/>
      <c r="O685"/>
      <c r="P685"/>
      <c r="Q685"/>
      <c r="R685" s="11"/>
      <c r="S685" s="11"/>
      <c r="T685" s="11"/>
      <c r="U685" s="11"/>
      <c r="V685" s="11"/>
      <c r="W685"/>
      <c r="X685"/>
    </row>
    <row r="686" spans="9:24" x14ac:dyDescent="0.3">
      <c r="I686"/>
      <c r="J686"/>
      <c r="K686"/>
      <c r="L686"/>
      <c r="M686"/>
      <c r="N686"/>
      <c r="O686"/>
      <c r="P686"/>
      <c r="Q686"/>
      <c r="R686" s="11"/>
      <c r="S686" s="11"/>
      <c r="T686" s="11"/>
      <c r="U686" s="11"/>
      <c r="V686" s="11"/>
      <c r="W686"/>
      <c r="X686"/>
    </row>
    <row r="687" spans="9:24" x14ac:dyDescent="0.3">
      <c r="I687"/>
      <c r="J687"/>
      <c r="K687"/>
      <c r="L687"/>
      <c r="M687"/>
      <c r="N687"/>
      <c r="O687"/>
      <c r="P687"/>
      <c r="Q687"/>
      <c r="R687" s="11"/>
      <c r="S687" s="11"/>
      <c r="T687" s="11"/>
      <c r="U687" s="11"/>
      <c r="V687" s="11"/>
      <c r="W687"/>
      <c r="X687"/>
    </row>
    <row r="688" spans="9:24" x14ac:dyDescent="0.3">
      <c r="I688"/>
      <c r="J688"/>
      <c r="K688"/>
      <c r="L688"/>
      <c r="M688"/>
      <c r="N688"/>
      <c r="O688"/>
      <c r="P688"/>
      <c r="Q688"/>
      <c r="R688" s="11"/>
      <c r="S688" s="11"/>
      <c r="T688" s="11"/>
      <c r="U688" s="11"/>
      <c r="V688" s="11"/>
      <c r="W688"/>
      <c r="X688"/>
    </row>
    <row r="689" spans="9:24" x14ac:dyDescent="0.3">
      <c r="I689"/>
      <c r="J689"/>
      <c r="K689"/>
      <c r="L689"/>
      <c r="M689"/>
      <c r="N689"/>
      <c r="O689"/>
      <c r="P689"/>
      <c r="Q689"/>
      <c r="R689" s="11"/>
      <c r="S689" s="11"/>
      <c r="T689" s="11"/>
      <c r="U689" s="11"/>
      <c r="V689" s="11"/>
      <c r="W689"/>
      <c r="X689"/>
    </row>
    <row r="690" spans="9:24" x14ac:dyDescent="0.3">
      <c r="I690"/>
      <c r="J690"/>
      <c r="K690"/>
      <c r="L690"/>
      <c r="M690"/>
      <c r="N690"/>
      <c r="O690"/>
      <c r="P690"/>
      <c r="Q690"/>
      <c r="R690" s="11"/>
      <c r="S690" s="11"/>
      <c r="T690" s="11"/>
      <c r="U690" s="11"/>
      <c r="V690" s="11"/>
      <c r="W690"/>
      <c r="X690"/>
    </row>
    <row r="691" spans="9:24" x14ac:dyDescent="0.3">
      <c r="I691"/>
      <c r="J691"/>
      <c r="K691"/>
      <c r="L691"/>
      <c r="M691"/>
      <c r="N691"/>
      <c r="O691"/>
      <c r="P691"/>
      <c r="Q691"/>
      <c r="R691" s="11"/>
      <c r="S691" s="11"/>
      <c r="T691" s="11"/>
      <c r="U691" s="11"/>
      <c r="V691" s="11"/>
      <c r="W691"/>
      <c r="X691"/>
    </row>
    <row r="692" spans="9:24" x14ac:dyDescent="0.3">
      <c r="I692"/>
      <c r="J692"/>
      <c r="K692"/>
      <c r="L692"/>
      <c r="M692"/>
      <c r="N692"/>
      <c r="O692"/>
      <c r="P692"/>
      <c r="Q692"/>
      <c r="R692" s="11"/>
      <c r="S692" s="11"/>
      <c r="T692" s="11"/>
      <c r="U692" s="11"/>
      <c r="V692" s="11"/>
      <c r="W692"/>
      <c r="X692"/>
    </row>
    <row r="693" spans="9:24" x14ac:dyDescent="0.3">
      <c r="I693"/>
      <c r="J693"/>
      <c r="K693"/>
      <c r="L693"/>
      <c r="M693"/>
      <c r="N693"/>
      <c r="O693"/>
      <c r="P693"/>
      <c r="Q693"/>
      <c r="R693" s="11"/>
      <c r="S693" s="11"/>
      <c r="T693" s="11"/>
      <c r="U693" s="11"/>
      <c r="V693" s="11"/>
      <c r="W693"/>
      <c r="X693"/>
    </row>
    <row r="694" spans="9:24" x14ac:dyDescent="0.3">
      <c r="I694"/>
      <c r="J694"/>
      <c r="K694"/>
      <c r="L694"/>
      <c r="M694"/>
      <c r="N694"/>
      <c r="O694"/>
      <c r="P694"/>
      <c r="Q694"/>
      <c r="R694" s="11"/>
      <c r="S694" s="11"/>
      <c r="T694" s="11"/>
      <c r="U694" s="11"/>
      <c r="V694" s="11"/>
      <c r="W694"/>
      <c r="X694"/>
    </row>
    <row r="695" spans="9:24" x14ac:dyDescent="0.3">
      <c r="I695"/>
      <c r="J695"/>
      <c r="K695"/>
      <c r="L695"/>
      <c r="M695"/>
      <c r="N695"/>
      <c r="O695"/>
      <c r="P695"/>
      <c r="Q695"/>
      <c r="R695" s="11"/>
      <c r="S695" s="11"/>
      <c r="T695" s="11"/>
      <c r="U695" s="11"/>
      <c r="V695" s="11"/>
      <c r="W695"/>
      <c r="X695"/>
    </row>
    <row r="696" spans="9:24" x14ac:dyDescent="0.3">
      <c r="I696"/>
      <c r="J696"/>
      <c r="K696"/>
      <c r="L696"/>
      <c r="M696"/>
      <c r="N696"/>
      <c r="O696"/>
      <c r="P696"/>
      <c r="Q696"/>
      <c r="R696" s="11"/>
      <c r="S696" s="11"/>
      <c r="T696" s="11"/>
      <c r="U696" s="11"/>
      <c r="V696" s="11"/>
      <c r="W696"/>
      <c r="X696"/>
    </row>
    <row r="697" spans="9:24" x14ac:dyDescent="0.3">
      <c r="I697"/>
      <c r="J697"/>
      <c r="K697"/>
      <c r="L697"/>
      <c r="M697"/>
      <c r="N697"/>
      <c r="O697"/>
      <c r="P697"/>
      <c r="Q697"/>
      <c r="R697" s="11"/>
      <c r="S697" s="11"/>
      <c r="T697" s="11"/>
      <c r="U697" s="11"/>
      <c r="V697" s="11"/>
      <c r="W697"/>
      <c r="X697"/>
    </row>
    <row r="698" spans="9:24" x14ac:dyDescent="0.3">
      <c r="I698"/>
      <c r="J698"/>
      <c r="K698"/>
      <c r="L698"/>
      <c r="M698"/>
      <c r="N698"/>
      <c r="O698"/>
      <c r="P698"/>
      <c r="Q698"/>
      <c r="R698" s="11"/>
      <c r="S698" s="11"/>
      <c r="T698" s="11"/>
      <c r="U698" s="11"/>
      <c r="V698" s="11"/>
      <c r="W698"/>
      <c r="X698"/>
    </row>
    <row r="699" spans="9:24" x14ac:dyDescent="0.3">
      <c r="I699"/>
      <c r="J699"/>
      <c r="K699"/>
      <c r="L699"/>
      <c r="M699"/>
      <c r="N699"/>
      <c r="O699"/>
      <c r="P699"/>
      <c r="Q699"/>
      <c r="R699" s="11"/>
      <c r="S699" s="11"/>
      <c r="T699" s="11"/>
      <c r="U699" s="11"/>
      <c r="V699" s="11"/>
      <c r="W699"/>
      <c r="X699"/>
    </row>
    <row r="700" spans="9:24" x14ac:dyDescent="0.3">
      <c r="I700"/>
      <c r="J700"/>
      <c r="K700"/>
      <c r="L700"/>
      <c r="M700"/>
      <c r="N700"/>
      <c r="O700"/>
      <c r="P700"/>
      <c r="Q700"/>
      <c r="R700" s="11"/>
      <c r="S700" s="11"/>
      <c r="T700" s="11"/>
      <c r="U700" s="11"/>
      <c r="V700" s="11"/>
      <c r="W700"/>
      <c r="X700"/>
    </row>
    <row r="701" spans="9:24" x14ac:dyDescent="0.3">
      <c r="I701"/>
      <c r="J701"/>
      <c r="K701"/>
      <c r="L701"/>
      <c r="M701"/>
      <c r="N701"/>
      <c r="O701"/>
      <c r="P701"/>
      <c r="Q701"/>
      <c r="R701" s="11"/>
      <c r="S701" s="11"/>
      <c r="T701" s="11"/>
      <c r="U701" s="11"/>
      <c r="V701" s="11"/>
      <c r="W701"/>
      <c r="X701"/>
    </row>
    <row r="702" spans="9:24" x14ac:dyDescent="0.3">
      <c r="I702"/>
      <c r="J702"/>
      <c r="K702"/>
      <c r="L702"/>
      <c r="M702"/>
      <c r="N702"/>
      <c r="O702"/>
      <c r="P702"/>
      <c r="Q702"/>
      <c r="R702" s="11"/>
      <c r="S702" s="11"/>
      <c r="T702" s="11"/>
      <c r="U702" s="11"/>
      <c r="V702" s="11"/>
      <c r="W702"/>
      <c r="X702"/>
    </row>
    <row r="703" spans="9:24" x14ac:dyDescent="0.3">
      <c r="I703"/>
      <c r="J703"/>
      <c r="K703"/>
      <c r="L703"/>
      <c r="M703"/>
      <c r="N703"/>
      <c r="O703"/>
      <c r="P703"/>
      <c r="Q703"/>
      <c r="R703" s="11"/>
      <c r="S703" s="11"/>
      <c r="T703" s="11"/>
      <c r="U703" s="11"/>
      <c r="V703" s="11"/>
      <c r="W703"/>
      <c r="X703"/>
    </row>
    <row r="704" spans="9:24" x14ac:dyDescent="0.3">
      <c r="I704"/>
      <c r="J704"/>
      <c r="K704"/>
      <c r="L704"/>
      <c r="M704"/>
      <c r="N704"/>
      <c r="O704"/>
      <c r="P704"/>
      <c r="Q704"/>
      <c r="R704" s="11"/>
      <c r="S704" s="11"/>
      <c r="T704" s="11"/>
      <c r="U704" s="11"/>
      <c r="V704" s="11"/>
      <c r="W704"/>
      <c r="X704"/>
    </row>
    <row r="705" spans="9:24" x14ac:dyDescent="0.3">
      <c r="I705"/>
      <c r="J705"/>
      <c r="K705"/>
      <c r="L705"/>
      <c r="M705"/>
      <c r="N705"/>
      <c r="O705"/>
      <c r="P705"/>
      <c r="Q705"/>
      <c r="R705" s="11"/>
      <c r="S705" s="11"/>
      <c r="T705" s="11"/>
      <c r="U705" s="11"/>
      <c r="V705" s="11"/>
      <c r="W705"/>
      <c r="X705"/>
    </row>
    <row r="706" spans="9:24" x14ac:dyDescent="0.3">
      <c r="I706"/>
      <c r="J706"/>
      <c r="K706"/>
      <c r="L706"/>
      <c r="M706"/>
      <c r="N706"/>
      <c r="O706"/>
      <c r="P706"/>
      <c r="Q706"/>
      <c r="R706" s="11"/>
      <c r="S706" s="11"/>
      <c r="T706" s="11"/>
      <c r="U706" s="11"/>
      <c r="V706" s="11"/>
      <c r="W706"/>
      <c r="X706"/>
    </row>
    <row r="707" spans="9:24" x14ac:dyDescent="0.3">
      <c r="I707"/>
      <c r="J707"/>
      <c r="K707"/>
      <c r="L707"/>
      <c r="M707"/>
      <c r="N707"/>
      <c r="O707"/>
      <c r="P707"/>
      <c r="Q707"/>
      <c r="R707" s="11"/>
      <c r="S707" s="11"/>
      <c r="T707" s="11"/>
      <c r="U707" s="11"/>
      <c r="V707" s="11"/>
      <c r="W707"/>
      <c r="X707"/>
    </row>
    <row r="708" spans="9:24" x14ac:dyDescent="0.3">
      <c r="I708"/>
      <c r="J708"/>
      <c r="K708"/>
      <c r="L708"/>
      <c r="M708"/>
      <c r="N708"/>
      <c r="O708"/>
      <c r="P708"/>
      <c r="Q708"/>
      <c r="R708" s="11"/>
      <c r="S708" s="11"/>
      <c r="T708" s="11"/>
      <c r="U708" s="11"/>
      <c r="V708" s="11"/>
      <c r="W708"/>
      <c r="X708"/>
    </row>
    <row r="709" spans="9:24" x14ac:dyDescent="0.3">
      <c r="I709"/>
      <c r="J709"/>
      <c r="K709"/>
      <c r="L709"/>
      <c r="M709"/>
      <c r="N709"/>
      <c r="O709"/>
      <c r="P709"/>
      <c r="Q709"/>
      <c r="R709" s="11"/>
      <c r="S709" s="11"/>
      <c r="T709" s="11"/>
      <c r="U709" s="11"/>
      <c r="V709" s="11"/>
      <c r="W709"/>
      <c r="X709"/>
    </row>
    <row r="710" spans="9:24" x14ac:dyDescent="0.3">
      <c r="I710"/>
      <c r="J710"/>
      <c r="K710"/>
      <c r="L710"/>
      <c r="M710"/>
      <c r="N710"/>
      <c r="O710"/>
      <c r="P710"/>
      <c r="Q710"/>
      <c r="R710" s="11"/>
      <c r="S710" s="11"/>
      <c r="T710" s="11"/>
      <c r="U710" s="11"/>
      <c r="V710" s="11"/>
      <c r="W710"/>
      <c r="X710"/>
    </row>
    <row r="711" spans="9:24" x14ac:dyDescent="0.3">
      <c r="I711"/>
      <c r="J711"/>
      <c r="K711"/>
      <c r="L711"/>
      <c r="M711"/>
      <c r="N711"/>
      <c r="O711"/>
      <c r="P711"/>
      <c r="Q711"/>
      <c r="R711" s="11"/>
      <c r="S711" s="11"/>
      <c r="T711" s="11"/>
      <c r="U711" s="11"/>
      <c r="V711" s="11"/>
      <c r="W711"/>
      <c r="X711"/>
    </row>
    <row r="712" spans="9:24" x14ac:dyDescent="0.3">
      <c r="I712"/>
      <c r="J712"/>
      <c r="K712"/>
      <c r="L712"/>
      <c r="M712"/>
      <c r="N712"/>
      <c r="O712"/>
      <c r="P712"/>
      <c r="Q712"/>
      <c r="R712" s="11"/>
      <c r="S712" s="11"/>
      <c r="T712" s="11"/>
      <c r="U712" s="11"/>
      <c r="V712" s="11"/>
      <c r="W712"/>
      <c r="X712"/>
    </row>
    <row r="713" spans="9:24" x14ac:dyDescent="0.3">
      <c r="I713"/>
      <c r="J713"/>
      <c r="K713"/>
      <c r="L713"/>
      <c r="M713"/>
      <c r="N713"/>
      <c r="O713"/>
      <c r="P713"/>
      <c r="Q713"/>
      <c r="R713" s="11"/>
      <c r="S713" s="11"/>
      <c r="T713" s="11"/>
      <c r="U713" s="11"/>
      <c r="V713" s="11"/>
      <c r="W713"/>
      <c r="X713"/>
    </row>
    <row r="714" spans="9:24" x14ac:dyDescent="0.3">
      <c r="I714"/>
      <c r="J714"/>
      <c r="K714"/>
      <c r="L714"/>
      <c r="M714"/>
      <c r="N714"/>
      <c r="O714"/>
      <c r="P714"/>
      <c r="Q714"/>
      <c r="R714" s="11"/>
      <c r="S714" s="11"/>
      <c r="T714" s="11"/>
      <c r="U714" s="11"/>
      <c r="V714" s="11"/>
      <c r="W714"/>
      <c r="X714"/>
    </row>
    <row r="715" spans="9:24" x14ac:dyDescent="0.3">
      <c r="I715"/>
      <c r="J715"/>
      <c r="K715"/>
      <c r="L715"/>
      <c r="M715"/>
      <c r="N715"/>
      <c r="O715"/>
      <c r="P715"/>
      <c r="Q715"/>
      <c r="R715" s="11"/>
      <c r="S715" s="11"/>
      <c r="T715" s="11"/>
      <c r="U715" s="11"/>
      <c r="V715" s="11"/>
      <c r="W715"/>
      <c r="X715"/>
    </row>
    <row r="716" spans="9:24" x14ac:dyDescent="0.3">
      <c r="I716"/>
      <c r="J716"/>
      <c r="K716"/>
      <c r="L716"/>
      <c r="M716"/>
      <c r="N716"/>
      <c r="O716"/>
      <c r="P716"/>
      <c r="Q716"/>
      <c r="R716" s="11"/>
      <c r="S716" s="11"/>
      <c r="T716" s="11"/>
      <c r="U716" s="11"/>
      <c r="V716" s="11"/>
      <c r="W716"/>
      <c r="X716"/>
    </row>
    <row r="717" spans="9:24" x14ac:dyDescent="0.3">
      <c r="I717"/>
      <c r="J717"/>
      <c r="K717"/>
      <c r="L717"/>
      <c r="M717"/>
      <c r="N717"/>
      <c r="O717"/>
      <c r="P717"/>
      <c r="Q717"/>
      <c r="R717" s="11"/>
      <c r="S717" s="11"/>
      <c r="T717" s="11"/>
      <c r="U717" s="11"/>
      <c r="V717" s="11"/>
      <c r="W717"/>
      <c r="X717"/>
    </row>
    <row r="718" spans="9:24" x14ac:dyDescent="0.3">
      <c r="I718"/>
      <c r="J718"/>
      <c r="K718"/>
      <c r="L718"/>
      <c r="M718"/>
      <c r="N718"/>
      <c r="O718"/>
      <c r="P718"/>
      <c r="Q718"/>
      <c r="R718" s="11"/>
      <c r="S718" s="11"/>
      <c r="T718" s="11"/>
      <c r="U718" s="11"/>
      <c r="V718" s="11"/>
      <c r="W718"/>
      <c r="X718"/>
    </row>
    <row r="719" spans="9:24" x14ac:dyDescent="0.3">
      <c r="I719"/>
      <c r="J719"/>
      <c r="K719"/>
      <c r="L719"/>
      <c r="M719"/>
      <c r="N719"/>
      <c r="O719"/>
      <c r="P719"/>
      <c r="Q719"/>
      <c r="R719" s="11"/>
      <c r="S719" s="11"/>
      <c r="T719" s="11"/>
      <c r="U719" s="11"/>
      <c r="V719" s="11"/>
      <c r="W719"/>
      <c r="X719"/>
    </row>
    <row r="720" spans="9:24" x14ac:dyDescent="0.3">
      <c r="I720"/>
      <c r="J720"/>
      <c r="K720"/>
      <c r="L720"/>
      <c r="M720"/>
      <c r="N720"/>
      <c r="O720"/>
      <c r="P720"/>
      <c r="Q720"/>
      <c r="R720" s="11"/>
      <c r="S720" s="11"/>
      <c r="T720" s="11"/>
      <c r="U720" s="11"/>
      <c r="V720" s="11"/>
      <c r="W720"/>
      <c r="X720"/>
    </row>
    <row r="721" spans="9:24" x14ac:dyDescent="0.3">
      <c r="I721"/>
      <c r="J721"/>
      <c r="K721"/>
      <c r="L721"/>
      <c r="M721"/>
      <c r="N721"/>
      <c r="O721"/>
      <c r="P721"/>
      <c r="Q721"/>
      <c r="R721" s="11"/>
      <c r="S721" s="11"/>
      <c r="T721" s="11"/>
      <c r="U721" s="11"/>
      <c r="V721" s="11"/>
      <c r="W721"/>
      <c r="X721"/>
    </row>
    <row r="722" spans="9:24" x14ac:dyDescent="0.3">
      <c r="I722"/>
      <c r="J722"/>
      <c r="K722"/>
      <c r="L722"/>
      <c r="M722"/>
      <c r="N722"/>
      <c r="O722"/>
      <c r="P722"/>
      <c r="Q722"/>
      <c r="R722" s="11"/>
      <c r="S722" s="11"/>
      <c r="T722" s="11"/>
      <c r="U722" s="11"/>
      <c r="V722" s="11"/>
      <c r="W722"/>
      <c r="X722"/>
    </row>
    <row r="723" spans="9:24" x14ac:dyDescent="0.3">
      <c r="I723"/>
      <c r="J723"/>
      <c r="K723"/>
      <c r="L723"/>
      <c r="M723"/>
      <c r="N723"/>
      <c r="O723"/>
      <c r="P723"/>
      <c r="Q723"/>
      <c r="R723" s="11"/>
      <c r="S723" s="11"/>
      <c r="T723" s="11"/>
      <c r="U723" s="11"/>
      <c r="V723" s="11"/>
      <c r="W723"/>
      <c r="X723"/>
    </row>
    <row r="724" spans="9:24" x14ac:dyDescent="0.3">
      <c r="I724"/>
      <c r="J724"/>
      <c r="K724"/>
      <c r="L724"/>
      <c r="M724"/>
      <c r="N724"/>
      <c r="O724"/>
      <c r="P724"/>
      <c r="Q724"/>
      <c r="R724" s="11"/>
      <c r="S724" s="11"/>
      <c r="T724" s="11"/>
      <c r="U724" s="11"/>
      <c r="V724" s="11"/>
      <c r="W724"/>
      <c r="X724"/>
    </row>
    <row r="725" spans="9:24" x14ac:dyDescent="0.3">
      <c r="I725"/>
      <c r="J725"/>
      <c r="K725"/>
      <c r="L725"/>
      <c r="M725"/>
      <c r="N725"/>
      <c r="O725"/>
      <c r="P725"/>
      <c r="Q725"/>
      <c r="R725" s="11"/>
      <c r="S725" s="11"/>
      <c r="T725" s="11"/>
      <c r="U725" s="11"/>
      <c r="V725" s="11"/>
      <c r="W725"/>
      <c r="X725"/>
    </row>
    <row r="726" spans="9:24" x14ac:dyDescent="0.3">
      <c r="I726"/>
      <c r="J726"/>
      <c r="K726"/>
      <c r="L726"/>
      <c r="M726"/>
      <c r="N726"/>
      <c r="O726"/>
      <c r="P726"/>
      <c r="Q726"/>
      <c r="R726" s="11"/>
      <c r="S726" s="11"/>
      <c r="T726" s="11"/>
      <c r="U726" s="11"/>
      <c r="V726" s="11"/>
      <c r="W726"/>
      <c r="X726"/>
    </row>
    <row r="727" spans="9:24" x14ac:dyDescent="0.3">
      <c r="I727"/>
      <c r="J727"/>
      <c r="K727"/>
      <c r="L727"/>
      <c r="M727"/>
      <c r="N727"/>
      <c r="O727"/>
      <c r="P727"/>
      <c r="Q727"/>
      <c r="R727" s="11"/>
      <c r="S727" s="11"/>
      <c r="T727" s="11"/>
      <c r="U727" s="11"/>
      <c r="V727" s="11"/>
      <c r="W727"/>
      <c r="X727"/>
    </row>
    <row r="728" spans="9:24" x14ac:dyDescent="0.3">
      <c r="I728"/>
      <c r="J728"/>
      <c r="K728"/>
      <c r="L728"/>
      <c r="M728"/>
      <c r="N728"/>
      <c r="O728"/>
      <c r="P728"/>
      <c r="Q728"/>
      <c r="R728" s="11"/>
      <c r="S728" s="11"/>
      <c r="T728" s="11"/>
      <c r="U728" s="11"/>
      <c r="V728" s="11"/>
      <c r="W728"/>
      <c r="X728"/>
    </row>
    <row r="729" spans="9:24" x14ac:dyDescent="0.3">
      <c r="I729"/>
      <c r="J729"/>
      <c r="K729"/>
      <c r="L729"/>
      <c r="M729"/>
      <c r="N729"/>
      <c r="O729"/>
      <c r="P729"/>
      <c r="Q729"/>
      <c r="R729" s="11"/>
      <c r="S729" s="11"/>
      <c r="T729" s="11"/>
      <c r="U729" s="11"/>
      <c r="V729" s="11"/>
      <c r="W729"/>
      <c r="X729"/>
    </row>
    <row r="730" spans="9:24" x14ac:dyDescent="0.3">
      <c r="I730"/>
      <c r="J730"/>
      <c r="K730"/>
      <c r="L730"/>
      <c r="M730"/>
      <c r="N730"/>
      <c r="O730"/>
      <c r="P730"/>
      <c r="Q730"/>
      <c r="R730" s="11"/>
      <c r="S730" s="11"/>
      <c r="T730" s="11"/>
      <c r="U730" s="11"/>
      <c r="V730" s="11"/>
      <c r="W730"/>
      <c r="X730"/>
    </row>
    <row r="731" spans="9:24" x14ac:dyDescent="0.3">
      <c r="I731"/>
      <c r="J731"/>
      <c r="K731"/>
      <c r="L731"/>
      <c r="M731"/>
      <c r="N731"/>
      <c r="O731"/>
      <c r="P731"/>
      <c r="Q731"/>
      <c r="R731" s="11"/>
      <c r="S731" s="11"/>
      <c r="T731" s="11"/>
      <c r="U731" s="11"/>
      <c r="V731" s="11"/>
      <c r="W731"/>
      <c r="X731"/>
    </row>
    <row r="732" spans="9:24" x14ac:dyDescent="0.3">
      <c r="I732"/>
      <c r="J732"/>
      <c r="K732"/>
      <c r="L732"/>
      <c r="M732"/>
      <c r="N732"/>
      <c r="O732"/>
      <c r="P732"/>
      <c r="Q732"/>
      <c r="R732" s="11"/>
      <c r="S732" s="11"/>
      <c r="T732" s="11"/>
      <c r="U732" s="11"/>
      <c r="V732" s="11"/>
      <c r="W732"/>
      <c r="X732"/>
    </row>
    <row r="733" spans="9:24" x14ac:dyDescent="0.3">
      <c r="I733"/>
      <c r="J733"/>
      <c r="K733"/>
      <c r="L733"/>
      <c r="M733"/>
      <c r="N733"/>
      <c r="O733"/>
      <c r="P733"/>
      <c r="Q733"/>
      <c r="R733" s="11"/>
      <c r="S733" s="11"/>
      <c r="T733" s="11"/>
      <c r="U733" s="11"/>
      <c r="V733" s="11"/>
      <c r="W733"/>
      <c r="X733"/>
    </row>
    <row r="734" spans="9:24" x14ac:dyDescent="0.3">
      <c r="I734"/>
      <c r="J734"/>
      <c r="K734"/>
      <c r="L734"/>
      <c r="M734"/>
      <c r="N734"/>
      <c r="O734"/>
      <c r="P734"/>
      <c r="Q734"/>
      <c r="R734" s="11"/>
      <c r="S734" s="11"/>
      <c r="T734" s="11"/>
      <c r="U734" s="11"/>
      <c r="V734" s="11"/>
      <c r="W734"/>
      <c r="X734"/>
    </row>
    <row r="735" spans="9:24" x14ac:dyDescent="0.3">
      <c r="I735"/>
      <c r="J735"/>
      <c r="K735"/>
      <c r="L735"/>
      <c r="M735"/>
      <c r="N735"/>
      <c r="O735"/>
      <c r="P735"/>
      <c r="Q735"/>
      <c r="R735" s="11"/>
      <c r="S735" s="11"/>
      <c r="T735" s="11"/>
      <c r="U735" s="11"/>
      <c r="V735" s="11"/>
      <c r="W735"/>
      <c r="X735"/>
    </row>
    <row r="736" spans="9:24" x14ac:dyDescent="0.3">
      <c r="I736"/>
      <c r="J736"/>
      <c r="K736"/>
      <c r="L736"/>
      <c r="M736"/>
      <c r="N736"/>
      <c r="O736"/>
      <c r="P736"/>
      <c r="Q736"/>
      <c r="R736" s="11"/>
      <c r="S736" s="11"/>
      <c r="T736" s="11"/>
      <c r="U736" s="11"/>
      <c r="V736" s="11"/>
      <c r="W736"/>
      <c r="X736"/>
    </row>
    <row r="737" spans="9:24" x14ac:dyDescent="0.3">
      <c r="I737"/>
      <c r="J737"/>
      <c r="K737"/>
      <c r="L737"/>
      <c r="M737"/>
      <c r="N737"/>
      <c r="O737"/>
      <c r="P737"/>
      <c r="Q737"/>
      <c r="R737" s="11"/>
      <c r="S737" s="11"/>
      <c r="T737" s="11"/>
      <c r="U737" s="11"/>
      <c r="V737" s="11"/>
      <c r="W737"/>
      <c r="X737"/>
    </row>
    <row r="738" spans="9:24" x14ac:dyDescent="0.3">
      <c r="I738"/>
      <c r="J738"/>
      <c r="K738"/>
      <c r="L738"/>
      <c r="M738"/>
      <c r="N738"/>
      <c r="O738"/>
      <c r="P738"/>
      <c r="Q738"/>
      <c r="R738" s="11"/>
      <c r="S738" s="11"/>
      <c r="T738" s="11"/>
      <c r="U738" s="11"/>
      <c r="V738" s="11"/>
      <c r="W738"/>
      <c r="X738"/>
    </row>
    <row r="739" spans="9:24" x14ac:dyDescent="0.3">
      <c r="I739"/>
      <c r="J739"/>
      <c r="K739"/>
      <c r="L739"/>
      <c r="M739"/>
      <c r="N739"/>
      <c r="O739"/>
      <c r="P739"/>
      <c r="Q739"/>
      <c r="R739" s="11"/>
      <c r="S739" s="11"/>
      <c r="T739" s="11"/>
      <c r="U739" s="11"/>
      <c r="V739" s="11"/>
      <c r="W739"/>
      <c r="X739"/>
    </row>
    <row r="740" spans="9:24" x14ac:dyDescent="0.3">
      <c r="I740"/>
      <c r="J740"/>
      <c r="K740"/>
      <c r="L740"/>
      <c r="M740"/>
      <c r="N740"/>
      <c r="O740"/>
      <c r="P740"/>
      <c r="Q740"/>
      <c r="R740" s="11"/>
      <c r="S740" s="11"/>
      <c r="T740" s="11"/>
      <c r="U740" s="11"/>
      <c r="V740" s="11"/>
      <c r="W740"/>
      <c r="X740"/>
    </row>
    <row r="741" spans="9:24" x14ac:dyDescent="0.3">
      <c r="I741"/>
      <c r="J741"/>
      <c r="K741"/>
      <c r="L741"/>
      <c r="M741"/>
      <c r="N741"/>
      <c r="O741"/>
      <c r="P741"/>
      <c r="Q741"/>
      <c r="R741" s="11"/>
      <c r="S741" s="11"/>
      <c r="T741" s="11"/>
      <c r="U741" s="11"/>
      <c r="V741" s="11"/>
      <c r="W741"/>
      <c r="X741"/>
    </row>
    <row r="742" spans="9:24" x14ac:dyDescent="0.3">
      <c r="I742"/>
      <c r="J742"/>
      <c r="K742"/>
      <c r="L742"/>
      <c r="M742"/>
      <c r="N742"/>
      <c r="O742"/>
      <c r="P742"/>
      <c r="Q742"/>
      <c r="R742" s="11"/>
      <c r="S742" s="11"/>
      <c r="T742" s="11"/>
      <c r="U742" s="11"/>
      <c r="V742" s="11"/>
      <c r="W742"/>
      <c r="X742"/>
    </row>
    <row r="743" spans="9:24" x14ac:dyDescent="0.3">
      <c r="I743"/>
      <c r="J743"/>
      <c r="K743"/>
      <c r="L743"/>
      <c r="M743"/>
      <c r="N743"/>
      <c r="O743"/>
      <c r="P743"/>
      <c r="Q743"/>
      <c r="R743" s="11"/>
      <c r="S743" s="11"/>
      <c r="T743" s="11"/>
      <c r="U743" s="11"/>
      <c r="V743" s="11"/>
      <c r="W743"/>
      <c r="X743"/>
    </row>
    <row r="744" spans="9:24" x14ac:dyDescent="0.3">
      <c r="I744"/>
      <c r="J744"/>
      <c r="K744"/>
      <c r="L744"/>
      <c r="M744"/>
      <c r="N744"/>
      <c r="O744"/>
      <c r="P744"/>
      <c r="Q744"/>
      <c r="R744" s="11"/>
      <c r="S744" s="11"/>
      <c r="T744" s="11"/>
      <c r="U744" s="11"/>
      <c r="V744" s="11"/>
      <c r="W744"/>
      <c r="X744"/>
    </row>
    <row r="745" spans="9:24" x14ac:dyDescent="0.3">
      <c r="I745"/>
      <c r="J745"/>
      <c r="K745"/>
      <c r="L745"/>
      <c r="M745"/>
      <c r="N745"/>
      <c r="O745"/>
      <c r="P745"/>
      <c r="Q745"/>
      <c r="R745" s="11"/>
      <c r="S745" s="11"/>
      <c r="T745" s="11"/>
      <c r="U745" s="11"/>
      <c r="V745" s="11"/>
      <c r="W745"/>
      <c r="X745"/>
    </row>
    <row r="746" spans="9:24" x14ac:dyDescent="0.3">
      <c r="I746"/>
      <c r="J746"/>
      <c r="K746"/>
      <c r="L746"/>
      <c r="M746"/>
      <c r="N746"/>
      <c r="O746"/>
      <c r="P746"/>
      <c r="Q746"/>
      <c r="R746" s="11"/>
      <c r="S746" s="11"/>
      <c r="T746" s="11"/>
      <c r="U746" s="11"/>
      <c r="V746" s="11"/>
      <c r="W746"/>
      <c r="X746"/>
    </row>
    <row r="747" spans="9:24" x14ac:dyDescent="0.3">
      <c r="I747"/>
      <c r="J747"/>
      <c r="K747"/>
      <c r="L747"/>
      <c r="M747"/>
      <c r="N747"/>
      <c r="O747"/>
      <c r="P747"/>
      <c r="Q747"/>
      <c r="R747" s="11"/>
      <c r="S747" s="11"/>
      <c r="T747" s="11"/>
      <c r="U747" s="11"/>
      <c r="V747" s="11"/>
      <c r="W747"/>
      <c r="X747"/>
    </row>
    <row r="748" spans="9:24" x14ac:dyDescent="0.3">
      <c r="I748"/>
      <c r="J748"/>
      <c r="K748"/>
      <c r="L748"/>
      <c r="M748"/>
      <c r="N748"/>
      <c r="O748"/>
      <c r="P748"/>
      <c r="Q748"/>
      <c r="R748" s="11"/>
      <c r="S748" s="11"/>
      <c r="T748" s="11"/>
      <c r="U748" s="11"/>
      <c r="V748" s="11"/>
      <c r="W748"/>
      <c r="X748"/>
    </row>
    <row r="749" spans="9:24" x14ac:dyDescent="0.3">
      <c r="I749"/>
      <c r="J749"/>
      <c r="K749"/>
      <c r="L749"/>
      <c r="M749"/>
      <c r="N749"/>
      <c r="O749"/>
      <c r="P749"/>
      <c r="Q749"/>
      <c r="R749" s="11"/>
      <c r="S749" s="11"/>
      <c r="T749" s="11"/>
      <c r="U749" s="11"/>
      <c r="V749" s="11"/>
      <c r="W749"/>
      <c r="X749"/>
    </row>
    <row r="750" spans="9:24" x14ac:dyDescent="0.3">
      <c r="I750"/>
      <c r="J750"/>
      <c r="K750"/>
      <c r="L750"/>
      <c r="M750"/>
      <c r="N750"/>
      <c r="O750"/>
      <c r="P750"/>
      <c r="Q750"/>
      <c r="R750" s="11"/>
      <c r="S750" s="11"/>
      <c r="T750" s="11"/>
      <c r="U750" s="11"/>
      <c r="V750" s="11"/>
      <c r="W750"/>
      <c r="X750"/>
    </row>
    <row r="751" spans="9:24" x14ac:dyDescent="0.3">
      <c r="I751"/>
      <c r="J751"/>
      <c r="K751"/>
      <c r="L751"/>
      <c r="M751"/>
      <c r="N751"/>
      <c r="O751"/>
      <c r="P751"/>
      <c r="Q751"/>
      <c r="R751" s="11"/>
      <c r="S751" s="11"/>
      <c r="T751" s="11"/>
      <c r="U751" s="11"/>
      <c r="V751" s="11"/>
      <c r="W751"/>
      <c r="X751"/>
    </row>
    <row r="752" spans="9:24" x14ac:dyDescent="0.3">
      <c r="I752"/>
      <c r="J752"/>
      <c r="K752"/>
      <c r="L752"/>
      <c r="M752"/>
      <c r="N752"/>
      <c r="O752"/>
      <c r="P752"/>
      <c r="Q752"/>
      <c r="R752" s="11"/>
      <c r="S752" s="11"/>
      <c r="T752" s="11"/>
      <c r="U752" s="11"/>
      <c r="V752" s="11"/>
      <c r="W752"/>
      <c r="X752"/>
    </row>
    <row r="753" spans="9:24" x14ac:dyDescent="0.3">
      <c r="I753"/>
      <c r="J753"/>
      <c r="K753"/>
      <c r="L753"/>
      <c r="M753"/>
      <c r="N753"/>
      <c r="O753"/>
      <c r="P753"/>
      <c r="Q753"/>
      <c r="R753" s="11"/>
      <c r="S753" s="11"/>
      <c r="T753" s="11"/>
      <c r="U753" s="11"/>
      <c r="V753" s="11"/>
      <c r="W753"/>
      <c r="X753"/>
    </row>
    <row r="754" spans="9:24" x14ac:dyDescent="0.3">
      <c r="I754"/>
      <c r="J754"/>
      <c r="K754"/>
      <c r="L754"/>
      <c r="M754"/>
      <c r="N754"/>
      <c r="O754"/>
      <c r="P754"/>
      <c r="Q754"/>
      <c r="R754" s="11"/>
      <c r="S754" s="11"/>
      <c r="T754" s="11"/>
      <c r="U754" s="11"/>
      <c r="V754" s="11"/>
      <c r="W754"/>
      <c r="X754"/>
    </row>
    <row r="755" spans="9:24" x14ac:dyDescent="0.3">
      <c r="I755"/>
      <c r="J755"/>
      <c r="K755"/>
      <c r="L755"/>
      <c r="M755"/>
      <c r="N755"/>
      <c r="O755"/>
      <c r="P755"/>
      <c r="Q755"/>
      <c r="R755" s="11"/>
      <c r="S755" s="11"/>
      <c r="T755" s="11"/>
      <c r="U755" s="11"/>
      <c r="V755" s="11"/>
      <c r="W755"/>
      <c r="X755"/>
    </row>
    <row r="756" spans="9:24" x14ac:dyDescent="0.3">
      <c r="I756"/>
      <c r="J756"/>
      <c r="K756"/>
      <c r="L756"/>
      <c r="M756"/>
      <c r="N756"/>
      <c r="O756"/>
      <c r="P756"/>
      <c r="Q756"/>
      <c r="R756" s="11"/>
      <c r="S756" s="11"/>
      <c r="T756" s="11"/>
      <c r="U756" s="11"/>
      <c r="V756" s="11"/>
      <c r="W756"/>
      <c r="X756"/>
    </row>
    <row r="757" spans="9:24" x14ac:dyDescent="0.3">
      <c r="I757"/>
      <c r="J757"/>
      <c r="K757"/>
      <c r="L757"/>
      <c r="M757"/>
      <c r="N757"/>
      <c r="O757"/>
      <c r="P757"/>
      <c r="Q757"/>
      <c r="R757" s="11"/>
      <c r="S757" s="11"/>
      <c r="T757" s="11"/>
      <c r="U757" s="11"/>
      <c r="V757" s="11"/>
      <c r="W757"/>
      <c r="X757"/>
    </row>
    <row r="758" spans="9:24" x14ac:dyDescent="0.3">
      <c r="I758"/>
      <c r="J758"/>
      <c r="K758"/>
      <c r="L758"/>
      <c r="M758"/>
      <c r="N758"/>
      <c r="O758"/>
      <c r="P758"/>
      <c r="Q758"/>
      <c r="R758" s="11"/>
      <c r="S758" s="11"/>
      <c r="T758" s="11"/>
      <c r="U758" s="11"/>
      <c r="V758" s="11"/>
      <c r="W758"/>
      <c r="X758"/>
    </row>
    <row r="759" spans="9:24" x14ac:dyDescent="0.3">
      <c r="I759"/>
      <c r="J759"/>
      <c r="K759"/>
      <c r="L759"/>
      <c r="M759"/>
      <c r="N759"/>
      <c r="O759"/>
      <c r="P759"/>
      <c r="Q759"/>
      <c r="R759" s="11"/>
      <c r="S759" s="11"/>
      <c r="T759" s="11"/>
      <c r="U759" s="11"/>
      <c r="V759" s="11"/>
      <c r="W759"/>
      <c r="X759"/>
    </row>
    <row r="760" spans="9:24" x14ac:dyDescent="0.3">
      <c r="I760"/>
      <c r="J760"/>
      <c r="K760"/>
      <c r="L760"/>
      <c r="M760"/>
      <c r="N760"/>
      <c r="O760"/>
      <c r="P760"/>
      <c r="Q760"/>
      <c r="R760" s="11"/>
      <c r="S760" s="11"/>
      <c r="T760" s="11"/>
      <c r="U760" s="11"/>
      <c r="V760" s="11"/>
      <c r="W760"/>
      <c r="X760"/>
    </row>
    <row r="761" spans="9:24" x14ac:dyDescent="0.3">
      <c r="I761"/>
      <c r="J761"/>
      <c r="K761"/>
      <c r="L761"/>
      <c r="M761"/>
      <c r="N761"/>
      <c r="O761"/>
      <c r="P761"/>
      <c r="Q761"/>
      <c r="R761" s="11"/>
      <c r="S761" s="11"/>
      <c r="T761" s="11"/>
      <c r="U761" s="11"/>
      <c r="V761" s="11"/>
      <c r="W761"/>
      <c r="X761"/>
    </row>
    <row r="762" spans="9:24" x14ac:dyDescent="0.3">
      <c r="I762"/>
      <c r="J762"/>
      <c r="K762"/>
      <c r="L762"/>
      <c r="M762"/>
      <c r="N762"/>
      <c r="O762"/>
      <c r="P762"/>
      <c r="Q762"/>
      <c r="R762" s="11"/>
      <c r="S762" s="11"/>
      <c r="T762" s="11"/>
      <c r="U762" s="11"/>
      <c r="V762" s="11"/>
      <c r="W762"/>
      <c r="X762"/>
    </row>
    <row r="763" spans="9:24" x14ac:dyDescent="0.3">
      <c r="I763"/>
      <c r="J763"/>
      <c r="K763"/>
      <c r="L763"/>
      <c r="M763"/>
      <c r="N763"/>
      <c r="O763"/>
      <c r="P763"/>
      <c r="Q763"/>
      <c r="R763" s="11"/>
      <c r="S763" s="11"/>
      <c r="T763" s="11"/>
      <c r="U763" s="11"/>
      <c r="V763" s="11"/>
      <c r="W763"/>
      <c r="X763"/>
    </row>
    <row r="764" spans="9:24" x14ac:dyDescent="0.3">
      <c r="I764"/>
      <c r="J764"/>
      <c r="K764"/>
      <c r="L764"/>
      <c r="M764"/>
      <c r="N764"/>
      <c r="O764"/>
      <c r="P764"/>
      <c r="Q764"/>
      <c r="R764" s="11"/>
      <c r="S764" s="11"/>
      <c r="T764" s="11"/>
      <c r="U764" s="11"/>
      <c r="V764" s="11"/>
      <c r="W764"/>
      <c r="X764"/>
    </row>
    <row r="765" spans="9:24" x14ac:dyDescent="0.3">
      <c r="I765"/>
      <c r="J765"/>
      <c r="K765"/>
      <c r="L765"/>
      <c r="M765"/>
      <c r="N765"/>
      <c r="O765"/>
      <c r="P765"/>
      <c r="Q765"/>
      <c r="R765" s="11"/>
      <c r="S765" s="11"/>
      <c r="T765" s="11"/>
      <c r="U765" s="11"/>
      <c r="V765" s="11"/>
      <c r="W765"/>
      <c r="X765"/>
    </row>
    <row r="766" spans="9:24" x14ac:dyDescent="0.3">
      <c r="I766"/>
      <c r="J766"/>
      <c r="K766"/>
      <c r="L766"/>
      <c r="M766"/>
      <c r="N766"/>
      <c r="O766"/>
      <c r="P766"/>
      <c r="Q766"/>
      <c r="R766" s="11"/>
      <c r="S766" s="11"/>
      <c r="T766" s="11"/>
      <c r="U766" s="11"/>
      <c r="V766" s="11"/>
      <c r="W766"/>
      <c r="X766"/>
    </row>
    <row r="767" spans="9:24" x14ac:dyDescent="0.3">
      <c r="I767"/>
      <c r="J767"/>
      <c r="K767"/>
      <c r="L767"/>
      <c r="M767"/>
      <c r="N767"/>
      <c r="O767"/>
      <c r="P767"/>
      <c r="Q767"/>
      <c r="R767" s="11"/>
      <c r="S767" s="11"/>
      <c r="T767" s="11"/>
      <c r="U767" s="11"/>
      <c r="V767" s="11"/>
      <c r="W767"/>
      <c r="X767"/>
    </row>
    <row r="768" spans="9:24" x14ac:dyDescent="0.3">
      <c r="I768"/>
      <c r="J768"/>
      <c r="K768"/>
      <c r="L768"/>
      <c r="M768"/>
      <c r="N768"/>
      <c r="O768"/>
      <c r="P768"/>
      <c r="Q768"/>
      <c r="R768" s="11"/>
      <c r="S768" s="11"/>
      <c r="T768" s="11"/>
      <c r="U768" s="11"/>
      <c r="V768" s="11"/>
      <c r="W768"/>
      <c r="X768"/>
    </row>
    <row r="769" spans="9:24" x14ac:dyDescent="0.3">
      <c r="I769"/>
      <c r="J769"/>
      <c r="K769"/>
      <c r="L769"/>
      <c r="M769"/>
      <c r="N769"/>
      <c r="O769"/>
      <c r="P769"/>
      <c r="Q769"/>
      <c r="R769" s="11"/>
      <c r="S769" s="11"/>
      <c r="T769" s="11"/>
      <c r="U769" s="11"/>
      <c r="V769" s="11"/>
      <c r="W769"/>
      <c r="X769"/>
    </row>
    <row r="770" spans="9:24" x14ac:dyDescent="0.3">
      <c r="I770"/>
      <c r="J770"/>
      <c r="K770"/>
      <c r="L770"/>
      <c r="M770"/>
      <c r="N770"/>
      <c r="O770"/>
      <c r="P770"/>
      <c r="Q770"/>
      <c r="R770" s="11"/>
      <c r="S770" s="11"/>
      <c r="T770" s="11"/>
      <c r="U770" s="11"/>
      <c r="V770" s="11"/>
      <c r="W770"/>
      <c r="X770"/>
    </row>
    <row r="771" spans="9:24" x14ac:dyDescent="0.3">
      <c r="I771"/>
      <c r="J771"/>
      <c r="K771"/>
      <c r="L771"/>
      <c r="M771"/>
      <c r="N771"/>
      <c r="O771"/>
      <c r="P771"/>
      <c r="Q771"/>
      <c r="R771" s="11"/>
      <c r="S771" s="11"/>
      <c r="T771" s="11"/>
      <c r="U771" s="11"/>
      <c r="V771" s="11"/>
      <c r="W771"/>
      <c r="X771"/>
    </row>
    <row r="772" spans="9:24" x14ac:dyDescent="0.3">
      <c r="I772"/>
      <c r="J772"/>
      <c r="K772"/>
      <c r="L772"/>
      <c r="M772"/>
      <c r="N772"/>
      <c r="O772"/>
      <c r="P772"/>
      <c r="Q772"/>
      <c r="R772" s="11"/>
      <c r="S772" s="11"/>
      <c r="T772" s="11"/>
      <c r="U772" s="11"/>
      <c r="V772" s="11"/>
      <c r="W772"/>
      <c r="X772"/>
    </row>
    <row r="773" spans="9:24" x14ac:dyDescent="0.3">
      <c r="I773"/>
      <c r="J773"/>
      <c r="K773"/>
      <c r="L773"/>
      <c r="M773"/>
      <c r="N773"/>
      <c r="O773"/>
      <c r="P773"/>
      <c r="Q773"/>
      <c r="R773" s="11"/>
      <c r="S773" s="11"/>
      <c r="T773" s="11"/>
      <c r="U773" s="11"/>
      <c r="V773" s="11"/>
      <c r="W773"/>
      <c r="X773"/>
    </row>
    <row r="774" spans="9:24" x14ac:dyDescent="0.3">
      <c r="I774"/>
      <c r="J774"/>
      <c r="K774"/>
      <c r="L774"/>
      <c r="M774"/>
      <c r="N774"/>
      <c r="O774"/>
      <c r="P774"/>
      <c r="Q774"/>
      <c r="R774" s="11"/>
      <c r="S774" s="11"/>
      <c r="T774" s="11"/>
      <c r="U774" s="11"/>
      <c r="V774" s="11"/>
      <c r="W774"/>
      <c r="X774"/>
    </row>
    <row r="775" spans="9:24" x14ac:dyDescent="0.3">
      <c r="I775"/>
      <c r="J775"/>
      <c r="K775"/>
      <c r="L775"/>
      <c r="M775"/>
      <c r="N775"/>
      <c r="O775"/>
      <c r="P775"/>
      <c r="Q775"/>
      <c r="R775" s="11"/>
      <c r="S775" s="11"/>
      <c r="T775" s="11"/>
      <c r="U775" s="11"/>
      <c r="V775" s="11"/>
      <c r="W775"/>
      <c r="X775"/>
    </row>
    <row r="776" spans="9:24" x14ac:dyDescent="0.3">
      <c r="I776"/>
      <c r="J776"/>
      <c r="K776"/>
      <c r="L776"/>
      <c r="M776"/>
      <c r="N776"/>
      <c r="O776"/>
      <c r="P776"/>
      <c r="Q776"/>
      <c r="R776" s="11"/>
      <c r="S776" s="11"/>
      <c r="T776" s="11"/>
      <c r="U776" s="11"/>
      <c r="V776" s="11"/>
      <c r="W776"/>
      <c r="X776"/>
    </row>
    <row r="777" spans="9:24" x14ac:dyDescent="0.3">
      <c r="I777"/>
      <c r="J777"/>
      <c r="K777"/>
      <c r="L777"/>
      <c r="M777"/>
      <c r="N777"/>
      <c r="O777"/>
      <c r="P777"/>
      <c r="Q777"/>
      <c r="R777" s="11"/>
      <c r="S777" s="11"/>
      <c r="T777" s="11"/>
      <c r="U777" s="11"/>
      <c r="V777" s="11"/>
      <c r="W777"/>
      <c r="X777"/>
    </row>
    <row r="778" spans="9:24" x14ac:dyDescent="0.3">
      <c r="I778"/>
      <c r="J778"/>
      <c r="K778"/>
      <c r="L778"/>
      <c r="M778"/>
      <c r="N778"/>
      <c r="O778"/>
      <c r="P778"/>
      <c r="Q778"/>
      <c r="R778" s="11"/>
      <c r="S778" s="11"/>
      <c r="T778" s="11"/>
      <c r="U778" s="11"/>
      <c r="V778" s="11"/>
      <c r="W778"/>
      <c r="X778"/>
    </row>
    <row r="779" spans="9:24" x14ac:dyDescent="0.3">
      <c r="I779"/>
      <c r="J779"/>
      <c r="K779"/>
      <c r="L779"/>
      <c r="M779"/>
      <c r="N779"/>
      <c r="O779"/>
      <c r="P779"/>
      <c r="Q779"/>
      <c r="R779" s="11"/>
      <c r="S779" s="11"/>
      <c r="T779" s="11"/>
      <c r="U779" s="11"/>
      <c r="V779" s="11"/>
      <c r="W779"/>
      <c r="X779"/>
    </row>
    <row r="780" spans="9:24" x14ac:dyDescent="0.3">
      <c r="I780"/>
      <c r="J780"/>
      <c r="K780"/>
      <c r="L780"/>
      <c r="M780"/>
      <c r="N780"/>
      <c r="O780"/>
      <c r="P780"/>
      <c r="Q780"/>
      <c r="R780" s="11"/>
      <c r="S780" s="11"/>
      <c r="T780" s="11"/>
      <c r="U780" s="11"/>
      <c r="V780" s="11"/>
      <c r="W780"/>
      <c r="X780"/>
    </row>
    <row r="781" spans="9:24" x14ac:dyDescent="0.3">
      <c r="I781"/>
      <c r="J781"/>
      <c r="K781"/>
      <c r="L781"/>
      <c r="M781"/>
      <c r="N781"/>
      <c r="O781"/>
      <c r="P781"/>
      <c r="Q781"/>
      <c r="R781" s="11"/>
      <c r="S781" s="11"/>
      <c r="T781" s="11"/>
      <c r="U781" s="11"/>
      <c r="V781" s="11"/>
      <c r="W781"/>
      <c r="X781"/>
    </row>
    <row r="782" spans="9:24" x14ac:dyDescent="0.3">
      <c r="I782"/>
      <c r="J782"/>
      <c r="K782"/>
      <c r="L782"/>
      <c r="M782"/>
      <c r="N782"/>
      <c r="O782"/>
      <c r="P782"/>
      <c r="Q782"/>
      <c r="R782" s="11"/>
      <c r="S782" s="11"/>
      <c r="T782" s="11"/>
      <c r="U782" s="11"/>
      <c r="V782" s="11"/>
      <c r="W782"/>
      <c r="X782"/>
    </row>
    <row r="783" spans="9:24" x14ac:dyDescent="0.3">
      <c r="I783"/>
      <c r="J783"/>
      <c r="K783"/>
      <c r="L783"/>
      <c r="M783"/>
      <c r="N783"/>
      <c r="O783"/>
      <c r="P783"/>
      <c r="Q783"/>
      <c r="R783" s="11"/>
      <c r="S783" s="11"/>
      <c r="T783" s="11"/>
      <c r="U783" s="11"/>
      <c r="V783" s="11"/>
      <c r="W783"/>
      <c r="X783"/>
    </row>
    <row r="784" spans="9:24" x14ac:dyDescent="0.3">
      <c r="I784"/>
      <c r="J784"/>
      <c r="K784"/>
      <c r="L784"/>
      <c r="M784"/>
      <c r="N784"/>
      <c r="O784"/>
      <c r="P784"/>
      <c r="Q784"/>
      <c r="R784" s="11"/>
      <c r="S784" s="11"/>
      <c r="T784" s="11"/>
      <c r="U784" s="11"/>
      <c r="V784" s="11"/>
      <c r="W784"/>
      <c r="X784"/>
    </row>
    <row r="785" spans="9:24" x14ac:dyDescent="0.3">
      <c r="I785"/>
      <c r="J785"/>
      <c r="K785"/>
      <c r="L785"/>
      <c r="M785"/>
      <c r="N785"/>
      <c r="O785"/>
      <c r="P785"/>
      <c r="Q785"/>
      <c r="R785" s="11"/>
      <c r="S785" s="11"/>
      <c r="T785" s="11"/>
      <c r="U785" s="11"/>
      <c r="V785" s="11"/>
      <c r="W785"/>
      <c r="X785"/>
    </row>
    <row r="786" spans="9:24" x14ac:dyDescent="0.3">
      <c r="I786"/>
      <c r="J786"/>
      <c r="K786"/>
      <c r="L786"/>
      <c r="M786"/>
      <c r="N786"/>
      <c r="O786"/>
      <c r="P786"/>
      <c r="Q786"/>
      <c r="R786" s="11"/>
      <c r="S786" s="11"/>
      <c r="T786" s="11"/>
      <c r="U786" s="11"/>
      <c r="V786" s="11"/>
      <c r="W786"/>
      <c r="X786"/>
    </row>
    <row r="787" spans="9:24" x14ac:dyDescent="0.3">
      <c r="I787"/>
      <c r="J787"/>
      <c r="K787"/>
      <c r="L787"/>
      <c r="M787"/>
      <c r="N787"/>
      <c r="O787"/>
      <c r="P787"/>
      <c r="Q787"/>
      <c r="R787" s="11"/>
      <c r="S787" s="11"/>
      <c r="T787" s="11"/>
      <c r="U787" s="11"/>
      <c r="V787" s="11"/>
      <c r="W787"/>
      <c r="X787"/>
    </row>
    <row r="788" spans="9:24" x14ac:dyDescent="0.3">
      <c r="I788"/>
      <c r="J788"/>
      <c r="K788"/>
      <c r="L788"/>
      <c r="M788"/>
      <c r="N788"/>
      <c r="O788"/>
      <c r="P788"/>
      <c r="Q788"/>
      <c r="R788" s="11"/>
      <c r="S788" s="11"/>
      <c r="T788" s="11"/>
      <c r="U788" s="11"/>
      <c r="V788" s="11"/>
      <c r="W788"/>
      <c r="X788"/>
    </row>
    <row r="789" spans="9:24" x14ac:dyDescent="0.3">
      <c r="I789"/>
      <c r="J789"/>
      <c r="K789"/>
      <c r="L789"/>
      <c r="M789"/>
      <c r="N789"/>
      <c r="O789"/>
      <c r="P789"/>
      <c r="Q789"/>
      <c r="R789" s="11"/>
      <c r="S789" s="11"/>
      <c r="T789" s="11"/>
      <c r="U789" s="11"/>
      <c r="V789" s="11"/>
      <c r="W789"/>
      <c r="X789"/>
    </row>
    <row r="790" spans="9:24" x14ac:dyDescent="0.3">
      <c r="I790"/>
      <c r="J790"/>
      <c r="K790"/>
      <c r="L790"/>
      <c r="M790"/>
      <c r="N790"/>
      <c r="O790"/>
      <c r="P790"/>
      <c r="Q790"/>
      <c r="R790" s="11"/>
      <c r="S790" s="11"/>
      <c r="T790" s="11"/>
      <c r="U790" s="11"/>
      <c r="V790" s="11"/>
      <c r="W790"/>
      <c r="X790"/>
    </row>
    <row r="791" spans="9:24" x14ac:dyDescent="0.3">
      <c r="I791"/>
      <c r="J791"/>
      <c r="K791"/>
      <c r="L791"/>
      <c r="M791"/>
      <c r="N791"/>
      <c r="O791"/>
      <c r="P791"/>
      <c r="Q791"/>
      <c r="R791" s="11"/>
      <c r="S791" s="11"/>
      <c r="T791" s="11"/>
      <c r="U791" s="11"/>
      <c r="V791" s="11"/>
      <c r="W791"/>
      <c r="X791"/>
    </row>
    <row r="792" spans="9:24" x14ac:dyDescent="0.3">
      <c r="I792"/>
      <c r="J792"/>
      <c r="K792"/>
      <c r="L792"/>
      <c r="M792"/>
      <c r="N792"/>
      <c r="O792"/>
      <c r="P792"/>
      <c r="Q792"/>
      <c r="R792" s="11"/>
      <c r="S792" s="11"/>
      <c r="T792" s="11"/>
      <c r="U792" s="11"/>
      <c r="V792" s="11"/>
      <c r="W792"/>
      <c r="X792"/>
    </row>
    <row r="793" spans="9:24" x14ac:dyDescent="0.3">
      <c r="I793"/>
      <c r="J793"/>
      <c r="K793"/>
      <c r="L793"/>
      <c r="M793"/>
      <c r="N793"/>
      <c r="O793"/>
      <c r="P793"/>
      <c r="Q793"/>
      <c r="R793" s="11"/>
      <c r="S793" s="11"/>
      <c r="T793" s="11"/>
      <c r="U793" s="11"/>
      <c r="V793" s="11"/>
      <c r="W793"/>
      <c r="X793"/>
    </row>
    <row r="794" spans="9:24" x14ac:dyDescent="0.3">
      <c r="I794"/>
      <c r="J794"/>
      <c r="K794"/>
      <c r="L794"/>
      <c r="M794"/>
      <c r="N794"/>
      <c r="O794"/>
      <c r="P794"/>
      <c r="Q794"/>
      <c r="R794" s="11"/>
      <c r="S794" s="11"/>
      <c r="T794" s="11"/>
      <c r="U794" s="11"/>
      <c r="V794" s="11"/>
      <c r="W794"/>
      <c r="X794"/>
    </row>
    <row r="795" spans="9:24" x14ac:dyDescent="0.3">
      <c r="I795"/>
      <c r="J795"/>
      <c r="K795"/>
      <c r="L795"/>
      <c r="M795"/>
      <c r="N795"/>
      <c r="O795"/>
      <c r="P795"/>
      <c r="Q795"/>
      <c r="R795" s="11"/>
      <c r="S795" s="11"/>
      <c r="T795" s="11"/>
      <c r="U795" s="11"/>
      <c r="V795" s="11"/>
      <c r="W795"/>
      <c r="X795"/>
    </row>
    <row r="796" spans="9:24" x14ac:dyDescent="0.3">
      <c r="I796"/>
      <c r="J796"/>
      <c r="K796"/>
      <c r="L796"/>
      <c r="M796"/>
      <c r="N796"/>
      <c r="O796"/>
      <c r="P796"/>
      <c r="Q796"/>
      <c r="R796" s="11"/>
      <c r="S796" s="11"/>
      <c r="T796" s="11"/>
      <c r="U796" s="11"/>
      <c r="V796" s="11"/>
      <c r="W796"/>
      <c r="X796"/>
    </row>
    <row r="797" spans="9:24" x14ac:dyDescent="0.3">
      <c r="I797"/>
      <c r="J797"/>
      <c r="K797"/>
      <c r="L797"/>
      <c r="M797"/>
      <c r="N797"/>
      <c r="O797"/>
      <c r="P797"/>
      <c r="Q797"/>
      <c r="R797" s="11"/>
      <c r="S797" s="11"/>
      <c r="T797" s="11"/>
      <c r="U797" s="11"/>
      <c r="V797" s="11"/>
      <c r="W797"/>
      <c r="X797"/>
    </row>
    <row r="798" spans="9:24" x14ac:dyDescent="0.3">
      <c r="I798"/>
      <c r="J798"/>
      <c r="K798"/>
      <c r="L798"/>
      <c r="M798"/>
      <c r="N798"/>
      <c r="O798"/>
      <c r="P798"/>
      <c r="Q798"/>
      <c r="R798" s="11"/>
      <c r="S798" s="11"/>
      <c r="T798" s="11"/>
      <c r="U798" s="11"/>
      <c r="V798" s="11"/>
      <c r="W798"/>
      <c r="X798"/>
    </row>
    <row r="799" spans="9:24" x14ac:dyDescent="0.3">
      <c r="I799"/>
      <c r="J799"/>
      <c r="K799"/>
      <c r="L799"/>
      <c r="M799"/>
      <c r="N799"/>
      <c r="O799"/>
      <c r="P799"/>
      <c r="Q799"/>
      <c r="R799" s="11"/>
      <c r="S799" s="11"/>
      <c r="T799" s="11"/>
      <c r="U799" s="11"/>
      <c r="V799" s="11"/>
      <c r="W799"/>
      <c r="X799"/>
    </row>
    <row r="800" spans="9:24" x14ac:dyDescent="0.3">
      <c r="I800"/>
      <c r="J800"/>
      <c r="K800"/>
      <c r="L800"/>
      <c r="M800"/>
      <c r="N800"/>
      <c r="O800"/>
      <c r="P800"/>
      <c r="Q800"/>
      <c r="R800" s="11"/>
      <c r="S800" s="11"/>
      <c r="T800" s="11"/>
      <c r="U800" s="11"/>
      <c r="V800" s="11"/>
      <c r="W800"/>
      <c r="X800"/>
    </row>
    <row r="801" spans="9:24" x14ac:dyDescent="0.3">
      <c r="I801"/>
      <c r="J801"/>
      <c r="K801"/>
      <c r="L801"/>
      <c r="M801"/>
      <c r="N801"/>
      <c r="O801"/>
      <c r="P801"/>
      <c r="Q801"/>
      <c r="R801" s="11"/>
      <c r="S801" s="11"/>
      <c r="T801" s="11"/>
      <c r="U801" s="11"/>
      <c r="V801" s="11"/>
      <c r="W801"/>
      <c r="X801"/>
    </row>
    <row r="802" spans="9:24" x14ac:dyDescent="0.3">
      <c r="I802"/>
      <c r="J802"/>
      <c r="K802"/>
      <c r="L802"/>
      <c r="M802"/>
      <c r="N802"/>
      <c r="O802"/>
      <c r="P802"/>
      <c r="Q802"/>
      <c r="R802" s="11"/>
      <c r="S802" s="11"/>
      <c r="T802" s="11"/>
      <c r="U802" s="11"/>
      <c r="V802" s="11"/>
      <c r="W802"/>
      <c r="X802"/>
    </row>
    <row r="803" spans="9:24" x14ac:dyDescent="0.3">
      <c r="I803"/>
      <c r="J803"/>
      <c r="K803"/>
      <c r="L803"/>
      <c r="M803"/>
      <c r="N803"/>
      <c r="O803"/>
      <c r="P803"/>
      <c r="Q803"/>
      <c r="R803" s="11"/>
      <c r="S803" s="11"/>
      <c r="T803" s="11"/>
      <c r="U803" s="11"/>
      <c r="V803" s="11"/>
      <c r="W803"/>
      <c r="X803"/>
    </row>
    <row r="804" spans="9:24" x14ac:dyDescent="0.3">
      <c r="I804"/>
      <c r="J804"/>
      <c r="K804"/>
      <c r="L804"/>
      <c r="M804"/>
      <c r="N804"/>
      <c r="O804"/>
      <c r="P804"/>
      <c r="Q804"/>
      <c r="R804" s="11"/>
      <c r="S804" s="11"/>
      <c r="T804" s="11"/>
      <c r="U804" s="11"/>
      <c r="V804" s="11"/>
      <c r="W804"/>
      <c r="X804"/>
    </row>
    <row r="805" spans="9:24" x14ac:dyDescent="0.3">
      <c r="I805"/>
      <c r="J805"/>
      <c r="K805"/>
      <c r="L805"/>
      <c r="M805"/>
      <c r="N805"/>
      <c r="O805"/>
      <c r="P805"/>
      <c r="Q805"/>
      <c r="R805" s="11"/>
      <c r="S805" s="11"/>
      <c r="T805" s="11"/>
      <c r="U805" s="11"/>
      <c r="V805" s="11"/>
      <c r="W805"/>
      <c r="X805"/>
    </row>
    <row r="806" spans="9:24" x14ac:dyDescent="0.3">
      <c r="I806"/>
      <c r="J806"/>
      <c r="K806"/>
      <c r="L806"/>
      <c r="M806"/>
      <c r="N806"/>
      <c r="O806"/>
      <c r="P806"/>
      <c r="Q806"/>
      <c r="R806" s="11"/>
      <c r="S806" s="11"/>
      <c r="T806" s="11"/>
      <c r="U806" s="11"/>
      <c r="V806" s="11"/>
      <c r="W806"/>
      <c r="X806"/>
    </row>
    <row r="807" spans="9:24" x14ac:dyDescent="0.3">
      <c r="I807"/>
      <c r="J807"/>
      <c r="K807"/>
      <c r="L807"/>
      <c r="M807"/>
      <c r="N807"/>
      <c r="O807"/>
      <c r="P807"/>
      <c r="Q807"/>
      <c r="R807" s="11"/>
      <c r="S807" s="11"/>
      <c r="T807" s="11"/>
      <c r="U807" s="11"/>
      <c r="V807" s="11"/>
      <c r="W807"/>
      <c r="X807"/>
    </row>
    <row r="808" spans="9:24" x14ac:dyDescent="0.3">
      <c r="I808"/>
      <c r="J808"/>
      <c r="K808"/>
      <c r="L808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/>
      <c r="X808"/>
    </row>
    <row r="809" spans="9:24" x14ac:dyDescent="0.3">
      <c r="I809"/>
      <c r="J809"/>
      <c r="K809"/>
      <c r="L809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/>
      <c r="X809"/>
    </row>
    <row r="810" spans="9:24" x14ac:dyDescent="0.3">
      <c r="I810"/>
      <c r="J810"/>
      <c r="K810"/>
      <c r="L810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/>
      <c r="X810"/>
    </row>
    <row r="811" spans="9:24" x14ac:dyDescent="0.3">
      <c r="I811"/>
      <c r="J811"/>
      <c r="K811"/>
      <c r="L8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/>
      <c r="X811"/>
    </row>
    <row r="812" spans="9:24" x14ac:dyDescent="0.3">
      <c r="I812"/>
      <c r="J812"/>
      <c r="K812"/>
      <c r="L812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/>
      <c r="X812"/>
    </row>
    <row r="813" spans="9:24" x14ac:dyDescent="0.3">
      <c r="I813"/>
      <c r="J813"/>
      <c r="K813"/>
      <c r="L813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/>
      <c r="X813"/>
    </row>
    <row r="814" spans="9:24" x14ac:dyDescent="0.3">
      <c r="I814"/>
      <c r="J814"/>
      <c r="K814"/>
      <c r="L814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/>
      <c r="X814"/>
    </row>
    <row r="815" spans="9:24" x14ac:dyDescent="0.3">
      <c r="I815"/>
      <c r="J815"/>
      <c r="K815"/>
      <c r="L815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/>
      <c r="X815"/>
    </row>
    <row r="816" spans="9:24" x14ac:dyDescent="0.3">
      <c r="I816"/>
      <c r="J816"/>
      <c r="K816"/>
      <c r="L816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/>
      <c r="X816"/>
    </row>
    <row r="817" spans="9:24" x14ac:dyDescent="0.3">
      <c r="I817"/>
      <c r="J817"/>
      <c r="K817"/>
      <c r="L817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/>
      <c r="X817"/>
    </row>
    <row r="818" spans="9:24" x14ac:dyDescent="0.3">
      <c r="I818"/>
      <c r="J818"/>
      <c r="K818"/>
      <c r="L818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/>
      <c r="X818"/>
    </row>
    <row r="819" spans="9:24" x14ac:dyDescent="0.3">
      <c r="I819"/>
      <c r="J819"/>
      <c r="K819"/>
      <c r="L819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/>
      <c r="X819"/>
    </row>
    <row r="820" spans="9:24" x14ac:dyDescent="0.3">
      <c r="I820"/>
      <c r="J820"/>
      <c r="K820"/>
      <c r="L820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/>
      <c r="X820"/>
    </row>
    <row r="821" spans="9:24" x14ac:dyDescent="0.3">
      <c r="I821"/>
      <c r="J821"/>
      <c r="K821"/>
      <c r="L82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/>
      <c r="X821"/>
    </row>
    <row r="822" spans="9:24" x14ac:dyDescent="0.3">
      <c r="I822"/>
      <c r="J822"/>
      <c r="K822"/>
      <c r="L822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/>
      <c r="X822"/>
    </row>
    <row r="823" spans="9:24" x14ac:dyDescent="0.3">
      <c r="I823"/>
      <c r="J823"/>
      <c r="K823"/>
      <c r="L823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/>
      <c r="X823"/>
    </row>
    <row r="824" spans="9:24" x14ac:dyDescent="0.3">
      <c r="I824"/>
      <c r="J824"/>
      <c r="K824"/>
      <c r="L824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/>
      <c r="X824"/>
    </row>
    <row r="825" spans="9:24" x14ac:dyDescent="0.3">
      <c r="I825"/>
      <c r="J825"/>
      <c r="K825"/>
      <c r="L825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/>
      <c r="X825"/>
    </row>
    <row r="826" spans="9:24" x14ac:dyDescent="0.3">
      <c r="I826"/>
      <c r="J826"/>
      <c r="K826"/>
      <c r="L826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/>
      <c r="X826"/>
    </row>
    <row r="827" spans="9:24" x14ac:dyDescent="0.3">
      <c r="I827"/>
      <c r="J827"/>
      <c r="K827"/>
      <c r="L827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/>
      <c r="X827"/>
    </row>
    <row r="828" spans="9:24" x14ac:dyDescent="0.3">
      <c r="I828"/>
      <c r="J828"/>
      <c r="K828"/>
      <c r="L828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/>
      <c r="X828"/>
    </row>
    <row r="829" spans="9:24" x14ac:dyDescent="0.3">
      <c r="I829"/>
      <c r="J829"/>
      <c r="K829"/>
      <c r="L829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/>
      <c r="X829"/>
    </row>
    <row r="830" spans="9:24" x14ac:dyDescent="0.3">
      <c r="I830"/>
      <c r="J830"/>
      <c r="K830"/>
      <c r="L830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/>
      <c r="X830"/>
    </row>
    <row r="831" spans="9:24" x14ac:dyDescent="0.3">
      <c r="I831"/>
      <c r="J831"/>
      <c r="K831"/>
      <c r="L83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/>
      <c r="X831"/>
    </row>
    <row r="832" spans="9:24" x14ac:dyDescent="0.3">
      <c r="I832"/>
      <c r="J832"/>
      <c r="K832"/>
      <c r="L832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/>
      <c r="X832"/>
    </row>
    <row r="833" spans="9:24" x14ac:dyDescent="0.3">
      <c r="I833"/>
      <c r="J833"/>
      <c r="K833"/>
      <c r="L833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/>
      <c r="X833"/>
    </row>
    <row r="834" spans="9:24" x14ac:dyDescent="0.3">
      <c r="I834"/>
      <c r="J834"/>
      <c r="K834"/>
      <c r="L834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/>
      <c r="X834"/>
    </row>
    <row r="835" spans="9:24" x14ac:dyDescent="0.3">
      <c r="I835"/>
      <c r="J835"/>
      <c r="K835"/>
      <c r="L835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/>
      <c r="X835"/>
    </row>
    <row r="836" spans="9:24" x14ac:dyDescent="0.3">
      <c r="I836"/>
      <c r="J836"/>
      <c r="K836"/>
      <c r="L836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/>
      <c r="X836"/>
    </row>
    <row r="837" spans="9:24" x14ac:dyDescent="0.3">
      <c r="I837"/>
      <c r="J837"/>
      <c r="K837"/>
      <c r="L837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/>
      <c r="X837"/>
    </row>
    <row r="838" spans="9:24" x14ac:dyDescent="0.3">
      <c r="I838"/>
      <c r="J838"/>
      <c r="K838"/>
      <c r="L838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/>
      <c r="X838"/>
    </row>
    <row r="839" spans="9:24" x14ac:dyDescent="0.3">
      <c r="I839"/>
      <c r="J839"/>
      <c r="K839"/>
      <c r="L839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/>
      <c r="X839"/>
    </row>
    <row r="840" spans="9:24" x14ac:dyDescent="0.3">
      <c r="I840"/>
      <c r="J840"/>
      <c r="K840"/>
      <c r="L840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/>
      <c r="X840"/>
    </row>
    <row r="841" spans="9:24" x14ac:dyDescent="0.3">
      <c r="I841"/>
      <c r="J841"/>
      <c r="K841"/>
      <c r="L84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/>
      <c r="X841"/>
    </row>
    <row r="842" spans="9:24" x14ac:dyDescent="0.3">
      <c r="I842"/>
      <c r="J842"/>
      <c r="K842"/>
      <c r="L842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/>
      <c r="X842"/>
    </row>
    <row r="843" spans="9:24" x14ac:dyDescent="0.3">
      <c r="I843"/>
      <c r="J843"/>
      <c r="K843"/>
      <c r="L843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/>
      <c r="X843"/>
    </row>
    <row r="844" spans="9:24" x14ac:dyDescent="0.3">
      <c r="I844"/>
      <c r="J844"/>
      <c r="K844"/>
      <c r="L844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/>
      <c r="X844"/>
    </row>
    <row r="845" spans="9:24" x14ac:dyDescent="0.3">
      <c r="I845"/>
      <c r="J845"/>
      <c r="K845"/>
      <c r="L845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/>
      <c r="X845"/>
    </row>
    <row r="846" spans="9:24" x14ac:dyDescent="0.3">
      <c r="I846"/>
      <c r="J846"/>
      <c r="K846"/>
      <c r="L846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/>
      <c r="X846"/>
    </row>
    <row r="847" spans="9:24" x14ac:dyDescent="0.3">
      <c r="I847"/>
      <c r="J847"/>
      <c r="K847"/>
      <c r="L847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/>
      <c r="X847"/>
    </row>
    <row r="848" spans="9:24" x14ac:dyDescent="0.3">
      <c r="I848"/>
      <c r="J848"/>
      <c r="K848"/>
      <c r="L848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/>
      <c r="X848"/>
    </row>
    <row r="849" spans="9:24" x14ac:dyDescent="0.3">
      <c r="I849"/>
      <c r="J849"/>
      <c r="K849"/>
      <c r="L849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/>
      <c r="X849"/>
    </row>
    <row r="850" spans="9:24" x14ac:dyDescent="0.3">
      <c r="I850"/>
      <c r="J850"/>
      <c r="K850"/>
      <c r="L850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/>
      <c r="X850"/>
    </row>
    <row r="851" spans="9:24" x14ac:dyDescent="0.3">
      <c r="I851"/>
      <c r="J851"/>
      <c r="K851"/>
      <c r="L85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/>
      <c r="X851"/>
    </row>
    <row r="852" spans="9:24" x14ac:dyDescent="0.3">
      <c r="I852"/>
      <c r="J852"/>
      <c r="K852"/>
      <c r="L852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/>
      <c r="X852"/>
    </row>
    <row r="853" spans="9:24" x14ac:dyDescent="0.3">
      <c r="I853"/>
      <c r="J853"/>
      <c r="K853"/>
      <c r="L853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/>
      <c r="X853"/>
    </row>
    <row r="854" spans="9:24" x14ac:dyDescent="0.3">
      <c r="I854"/>
      <c r="J854"/>
      <c r="K854"/>
      <c r="L854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/>
      <c r="X854"/>
    </row>
    <row r="855" spans="9:24" x14ac:dyDescent="0.3">
      <c r="I855"/>
      <c r="J855"/>
      <c r="K855"/>
      <c r="L855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/>
      <c r="X855"/>
    </row>
    <row r="856" spans="9:24" x14ac:dyDescent="0.3">
      <c r="I856"/>
      <c r="J856"/>
      <c r="K856"/>
      <c r="L856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/>
      <c r="X856"/>
    </row>
    <row r="857" spans="9:24" x14ac:dyDescent="0.3">
      <c r="I857"/>
      <c r="J857"/>
      <c r="K857"/>
      <c r="L857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/>
      <c r="X857"/>
    </row>
    <row r="858" spans="9:24" x14ac:dyDescent="0.3">
      <c r="I858"/>
      <c r="J858"/>
      <c r="K858"/>
      <c r="L858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/>
      <c r="X858"/>
    </row>
    <row r="859" spans="9:24" x14ac:dyDescent="0.3">
      <c r="I859"/>
      <c r="J859"/>
      <c r="K859"/>
      <c r="L859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/>
      <c r="X859"/>
    </row>
    <row r="860" spans="9:24" x14ac:dyDescent="0.3">
      <c r="I860"/>
      <c r="J860"/>
      <c r="K860"/>
      <c r="L860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/>
      <c r="X860"/>
    </row>
    <row r="861" spans="9:24" x14ac:dyDescent="0.3">
      <c r="I861"/>
      <c r="J861"/>
      <c r="K861"/>
      <c r="L86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/>
      <c r="X861"/>
    </row>
    <row r="862" spans="9:24" x14ac:dyDescent="0.3">
      <c r="I862"/>
      <c r="J862"/>
      <c r="K862"/>
      <c r="L862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/>
      <c r="X862"/>
    </row>
    <row r="863" spans="9:24" x14ac:dyDescent="0.3">
      <c r="I863"/>
      <c r="J863"/>
      <c r="K863"/>
      <c r="L863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/>
      <c r="X863"/>
    </row>
    <row r="864" spans="9:24" x14ac:dyDescent="0.3">
      <c r="I864"/>
      <c r="J864"/>
      <c r="K864"/>
      <c r="L864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/>
      <c r="X864"/>
    </row>
    <row r="865" spans="9:24" x14ac:dyDescent="0.3">
      <c r="I865"/>
      <c r="J865"/>
      <c r="K865"/>
      <c r="L865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/>
      <c r="X865"/>
    </row>
    <row r="866" spans="9:24" x14ac:dyDescent="0.3">
      <c r="I866"/>
      <c r="J866"/>
      <c r="K866"/>
      <c r="L866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/>
      <c r="X866"/>
    </row>
    <row r="867" spans="9:24" x14ac:dyDescent="0.3">
      <c r="I867"/>
      <c r="J867"/>
      <c r="K867"/>
      <c r="L867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/>
      <c r="X867"/>
    </row>
    <row r="868" spans="9:24" x14ac:dyDescent="0.3">
      <c r="I868"/>
      <c r="J868"/>
      <c r="K868"/>
      <c r="L868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/>
      <c r="X868"/>
    </row>
    <row r="869" spans="9:24" x14ac:dyDescent="0.3">
      <c r="I869"/>
      <c r="J869"/>
      <c r="K869"/>
      <c r="L869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/>
      <c r="X869"/>
    </row>
    <row r="870" spans="9:24" x14ac:dyDescent="0.3">
      <c r="I870"/>
      <c r="J870"/>
      <c r="K870"/>
      <c r="L870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/>
      <c r="X870"/>
    </row>
    <row r="871" spans="9:24" x14ac:dyDescent="0.3">
      <c r="I871"/>
      <c r="J871"/>
      <c r="K871"/>
      <c r="L87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/>
      <c r="X871"/>
    </row>
    <row r="872" spans="9:24" x14ac:dyDescent="0.3">
      <c r="I872"/>
      <c r="J872"/>
      <c r="K872"/>
      <c r="L872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/>
      <c r="X872"/>
    </row>
    <row r="873" spans="9:24" x14ac:dyDescent="0.3">
      <c r="I873"/>
      <c r="J873"/>
      <c r="K873"/>
      <c r="L873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/>
      <c r="X873"/>
    </row>
    <row r="874" spans="9:24" x14ac:dyDescent="0.3">
      <c r="I874"/>
      <c r="J874"/>
      <c r="K874"/>
      <c r="L874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/>
      <c r="X874"/>
    </row>
    <row r="875" spans="9:24" x14ac:dyDescent="0.3">
      <c r="I875"/>
      <c r="J875"/>
      <c r="K875"/>
      <c r="L875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/>
      <c r="X875"/>
    </row>
    <row r="876" spans="9:24" x14ac:dyDescent="0.3">
      <c r="I876"/>
      <c r="J876"/>
      <c r="K876"/>
      <c r="L876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/>
      <c r="X876"/>
    </row>
    <row r="877" spans="9:24" x14ac:dyDescent="0.3">
      <c r="I877"/>
      <c r="J877"/>
      <c r="K877"/>
      <c r="L877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/>
      <c r="X877"/>
    </row>
    <row r="878" spans="9:24" x14ac:dyDescent="0.3">
      <c r="I878"/>
      <c r="J878"/>
      <c r="K878"/>
      <c r="L878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/>
      <c r="X878"/>
    </row>
    <row r="879" spans="9:24" x14ac:dyDescent="0.3">
      <c r="I879"/>
      <c r="J879"/>
      <c r="K879"/>
      <c r="L879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/>
      <c r="X879"/>
    </row>
    <row r="880" spans="9:24" x14ac:dyDescent="0.3">
      <c r="I880"/>
      <c r="J880"/>
      <c r="K880"/>
      <c r="L880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/>
      <c r="X880"/>
    </row>
    <row r="881" spans="9:24" x14ac:dyDescent="0.3">
      <c r="I881"/>
      <c r="J881"/>
      <c r="K881"/>
      <c r="L88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/>
      <c r="X881"/>
    </row>
    <row r="882" spans="9:24" x14ac:dyDescent="0.3">
      <c r="I882"/>
      <c r="J882"/>
      <c r="K882"/>
      <c r="L882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/>
      <c r="X882"/>
    </row>
    <row r="883" spans="9:24" x14ac:dyDescent="0.3">
      <c r="I883"/>
      <c r="J883"/>
      <c r="K883"/>
      <c r="L883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/>
      <c r="X883"/>
    </row>
    <row r="884" spans="9:24" x14ac:dyDescent="0.3">
      <c r="I884"/>
      <c r="J884"/>
      <c r="K884"/>
      <c r="L884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/>
      <c r="X884"/>
    </row>
    <row r="885" spans="9:24" x14ac:dyDescent="0.3">
      <c r="I885"/>
      <c r="J885"/>
      <c r="K885"/>
      <c r="L885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/>
      <c r="X885"/>
    </row>
    <row r="886" spans="9:24" x14ac:dyDescent="0.3">
      <c r="I886"/>
      <c r="J886"/>
      <c r="K886"/>
      <c r="L886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/>
      <c r="X886"/>
    </row>
    <row r="887" spans="9:24" x14ac:dyDescent="0.3">
      <c r="I887"/>
      <c r="J887"/>
      <c r="K887"/>
      <c r="L887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/>
      <c r="X887"/>
    </row>
    <row r="888" spans="9:24" x14ac:dyDescent="0.3">
      <c r="I888"/>
      <c r="J888"/>
      <c r="K888"/>
      <c r="L888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/>
      <c r="X888"/>
    </row>
    <row r="889" spans="9:24" x14ac:dyDescent="0.3">
      <c r="I889"/>
      <c r="J889"/>
      <c r="K889"/>
      <c r="L889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/>
      <c r="X889"/>
    </row>
    <row r="890" spans="9:24" x14ac:dyDescent="0.3">
      <c r="I890"/>
      <c r="J890"/>
      <c r="K890"/>
      <c r="L890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/>
      <c r="X890"/>
    </row>
    <row r="891" spans="9:24" x14ac:dyDescent="0.3">
      <c r="I891"/>
      <c r="J891"/>
      <c r="K891"/>
      <c r="L89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/>
      <c r="X891"/>
    </row>
    <row r="892" spans="9:24" x14ac:dyDescent="0.3">
      <c r="I892"/>
      <c r="J892"/>
      <c r="K892"/>
      <c r="L892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/>
      <c r="X892"/>
    </row>
    <row r="893" spans="9:24" x14ac:dyDescent="0.3">
      <c r="I893"/>
      <c r="J893"/>
      <c r="K893"/>
      <c r="L893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/>
      <c r="X893"/>
    </row>
    <row r="894" spans="9:24" x14ac:dyDescent="0.3">
      <c r="I894"/>
      <c r="J894"/>
      <c r="K894"/>
      <c r="L894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/>
      <c r="X894"/>
    </row>
    <row r="895" spans="9:24" x14ac:dyDescent="0.3">
      <c r="I895"/>
      <c r="J895"/>
      <c r="K895"/>
      <c r="L895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/>
      <c r="X895"/>
    </row>
    <row r="896" spans="9:24" x14ac:dyDescent="0.3">
      <c r="I896"/>
      <c r="J896"/>
      <c r="K896"/>
      <c r="L896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/>
      <c r="X896"/>
    </row>
    <row r="897" spans="9:24" x14ac:dyDescent="0.3">
      <c r="I897"/>
      <c r="J897"/>
      <c r="K897"/>
      <c r="L897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/>
      <c r="X897"/>
    </row>
    <row r="898" spans="9:24" x14ac:dyDescent="0.3">
      <c r="I898"/>
      <c r="J898"/>
      <c r="K898"/>
      <c r="L898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/>
      <c r="X898"/>
    </row>
    <row r="899" spans="9:24" x14ac:dyDescent="0.3">
      <c r="I899"/>
      <c r="J899"/>
      <c r="K899"/>
      <c r="L899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/>
      <c r="X899"/>
    </row>
    <row r="900" spans="9:24" x14ac:dyDescent="0.3">
      <c r="I900"/>
      <c r="J900"/>
      <c r="K900"/>
      <c r="L900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/>
      <c r="X900"/>
    </row>
    <row r="901" spans="9:24" x14ac:dyDescent="0.3">
      <c r="I901"/>
      <c r="J901"/>
      <c r="K901"/>
      <c r="L90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/>
      <c r="X901"/>
    </row>
    <row r="902" spans="9:24" x14ac:dyDescent="0.3">
      <c r="I902"/>
      <c r="J902"/>
      <c r="K902"/>
      <c r="L902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/>
      <c r="X902"/>
    </row>
    <row r="903" spans="9:24" x14ac:dyDescent="0.3">
      <c r="I903"/>
      <c r="J903"/>
      <c r="K903"/>
      <c r="L903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/>
      <c r="X903"/>
    </row>
    <row r="904" spans="9:24" x14ac:dyDescent="0.3">
      <c r="I904"/>
      <c r="J904"/>
      <c r="K904"/>
      <c r="L904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/>
      <c r="X904"/>
    </row>
    <row r="905" spans="9:24" x14ac:dyDescent="0.3">
      <c r="I905"/>
      <c r="J905"/>
      <c r="K905"/>
      <c r="L905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/>
      <c r="X905"/>
    </row>
    <row r="906" spans="9:24" x14ac:dyDescent="0.3">
      <c r="I906"/>
      <c r="J906"/>
      <c r="K906"/>
      <c r="L906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/>
      <c r="X906"/>
    </row>
    <row r="907" spans="9:24" x14ac:dyDescent="0.3">
      <c r="I907"/>
      <c r="J907"/>
      <c r="K907"/>
      <c r="L907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/>
      <c r="X907"/>
    </row>
    <row r="908" spans="9:24" x14ac:dyDescent="0.3">
      <c r="I908"/>
      <c r="J908"/>
      <c r="K908"/>
      <c r="L908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/>
      <c r="X908"/>
    </row>
    <row r="909" spans="9:24" x14ac:dyDescent="0.3">
      <c r="I909"/>
      <c r="J909"/>
      <c r="K909"/>
      <c r="L909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/>
      <c r="X909"/>
    </row>
    <row r="910" spans="9:24" x14ac:dyDescent="0.3">
      <c r="I910"/>
      <c r="J910"/>
      <c r="K910"/>
      <c r="L910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/>
      <c r="X910"/>
    </row>
    <row r="911" spans="9:24" x14ac:dyDescent="0.3">
      <c r="I911"/>
      <c r="J911"/>
      <c r="K911"/>
      <c r="L9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/>
      <c r="X911"/>
    </row>
    <row r="912" spans="9:24" x14ac:dyDescent="0.3">
      <c r="I912"/>
      <c r="J912"/>
      <c r="K912"/>
      <c r="L912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/>
      <c r="X912"/>
    </row>
    <row r="913" spans="9:24" x14ac:dyDescent="0.3">
      <c r="I913"/>
      <c r="J913"/>
      <c r="K913"/>
      <c r="L913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/>
      <c r="X913"/>
    </row>
    <row r="914" spans="9:24" x14ac:dyDescent="0.3">
      <c r="I914"/>
      <c r="J914"/>
      <c r="K914"/>
      <c r="L914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/>
      <c r="X914"/>
    </row>
    <row r="915" spans="9:24" x14ac:dyDescent="0.3">
      <c r="I915"/>
      <c r="J915"/>
      <c r="K915"/>
      <c r="L915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/>
      <c r="X915"/>
    </row>
    <row r="916" spans="9:24" x14ac:dyDescent="0.3">
      <c r="I916"/>
      <c r="J916"/>
      <c r="K916"/>
      <c r="L916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/>
      <c r="X916"/>
    </row>
    <row r="917" spans="9:24" x14ac:dyDescent="0.3">
      <c r="I917"/>
      <c r="J917"/>
      <c r="K917"/>
      <c r="L917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/>
      <c r="X917"/>
    </row>
    <row r="918" spans="9:24" x14ac:dyDescent="0.3">
      <c r="I918"/>
      <c r="J918"/>
      <c r="K918"/>
      <c r="L918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/>
      <c r="X918"/>
    </row>
    <row r="919" spans="9:24" x14ac:dyDescent="0.3">
      <c r="I919"/>
      <c r="J919"/>
      <c r="K919"/>
      <c r="L919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/>
      <c r="X919"/>
    </row>
    <row r="920" spans="9:24" x14ac:dyDescent="0.3">
      <c r="I920"/>
      <c r="J920"/>
      <c r="K920"/>
      <c r="L920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/>
      <c r="X920"/>
    </row>
    <row r="921" spans="9:24" x14ac:dyDescent="0.3">
      <c r="I921"/>
      <c r="J921"/>
      <c r="K921"/>
      <c r="L92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/>
      <c r="X921"/>
    </row>
    <row r="922" spans="9:24" x14ac:dyDescent="0.3">
      <c r="I922"/>
      <c r="J922"/>
      <c r="K922"/>
      <c r="L922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/>
      <c r="X922"/>
    </row>
    <row r="923" spans="9:24" x14ac:dyDescent="0.3">
      <c r="I923"/>
      <c r="J923"/>
      <c r="K923"/>
      <c r="L923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/>
      <c r="X923"/>
    </row>
    <row r="924" spans="9:24" x14ac:dyDescent="0.3">
      <c r="I924"/>
      <c r="J924"/>
      <c r="K924"/>
      <c r="L924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/>
      <c r="X924"/>
    </row>
    <row r="925" spans="9:24" x14ac:dyDescent="0.3">
      <c r="I925"/>
      <c r="J925"/>
      <c r="K925"/>
      <c r="L925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/>
      <c r="X925"/>
    </row>
    <row r="926" spans="9:24" x14ac:dyDescent="0.3">
      <c r="I926"/>
      <c r="J926"/>
      <c r="K926"/>
      <c r="L926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/>
      <c r="X926"/>
    </row>
    <row r="927" spans="9:24" x14ac:dyDescent="0.3">
      <c r="I927"/>
      <c r="J927"/>
      <c r="K927"/>
      <c r="L927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/>
      <c r="X927"/>
    </row>
    <row r="928" spans="9:24" x14ac:dyDescent="0.3">
      <c r="I928"/>
      <c r="J928"/>
      <c r="K928"/>
      <c r="L928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/>
      <c r="X928"/>
    </row>
    <row r="929" spans="9:24" x14ac:dyDescent="0.3">
      <c r="I929"/>
      <c r="J929"/>
      <c r="K929"/>
      <c r="L929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/>
      <c r="X929"/>
    </row>
    <row r="930" spans="9:24" x14ac:dyDescent="0.3">
      <c r="I930"/>
      <c r="J930"/>
      <c r="K930"/>
      <c r="L930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/>
      <c r="X930"/>
    </row>
    <row r="931" spans="9:24" x14ac:dyDescent="0.3">
      <c r="I931"/>
      <c r="J931"/>
      <c r="K931"/>
      <c r="L93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/>
      <c r="X931"/>
    </row>
    <row r="932" spans="9:24" x14ac:dyDescent="0.3">
      <c r="I932"/>
      <c r="J932"/>
      <c r="K932"/>
      <c r="L932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/>
      <c r="X932"/>
    </row>
    <row r="933" spans="9:24" x14ac:dyDescent="0.3">
      <c r="I933"/>
      <c r="J933"/>
      <c r="K933"/>
      <c r="L933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/>
      <c r="X933"/>
    </row>
    <row r="934" spans="9:24" x14ac:dyDescent="0.3">
      <c r="I934"/>
      <c r="J934"/>
      <c r="K934"/>
      <c r="L934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/>
      <c r="X934"/>
    </row>
    <row r="935" spans="9:24" x14ac:dyDescent="0.3">
      <c r="I935"/>
      <c r="J935"/>
      <c r="K935"/>
      <c r="L935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/>
      <c r="X935"/>
    </row>
    <row r="936" spans="9:24" x14ac:dyDescent="0.3">
      <c r="I936"/>
      <c r="J936"/>
      <c r="K936"/>
      <c r="L936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/>
      <c r="X936"/>
    </row>
    <row r="937" spans="9:24" x14ac:dyDescent="0.3">
      <c r="I937"/>
      <c r="J937"/>
      <c r="K937"/>
      <c r="L937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/>
      <c r="X937"/>
    </row>
    <row r="938" spans="9:24" x14ac:dyDescent="0.3">
      <c r="I938"/>
      <c r="J938"/>
      <c r="K938"/>
      <c r="L938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/>
      <c r="X938"/>
    </row>
    <row r="939" spans="9:24" x14ac:dyDescent="0.3">
      <c r="I939"/>
      <c r="J939"/>
      <c r="K939"/>
      <c r="L939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/>
      <c r="X939"/>
    </row>
    <row r="940" spans="9:24" x14ac:dyDescent="0.3">
      <c r="I940"/>
      <c r="J940"/>
      <c r="K940"/>
      <c r="L940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/>
      <c r="X940"/>
    </row>
    <row r="941" spans="9:24" x14ac:dyDescent="0.3">
      <c r="I941"/>
      <c r="J941"/>
      <c r="K941"/>
      <c r="L94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/>
      <c r="X941"/>
    </row>
    <row r="942" spans="9:24" x14ac:dyDescent="0.3">
      <c r="I942"/>
      <c r="J942"/>
      <c r="K942"/>
      <c r="L942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/>
      <c r="X942"/>
    </row>
    <row r="943" spans="9:24" x14ac:dyDescent="0.3">
      <c r="I943"/>
      <c r="J943"/>
      <c r="K943"/>
      <c r="L943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/>
      <c r="X943"/>
    </row>
    <row r="944" spans="9:24" x14ac:dyDescent="0.3">
      <c r="I944"/>
      <c r="J944"/>
      <c r="K944"/>
      <c r="L944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/>
      <c r="X944"/>
    </row>
    <row r="945" spans="9:24" x14ac:dyDescent="0.3">
      <c r="I945"/>
      <c r="J945"/>
      <c r="K945"/>
      <c r="L945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/>
      <c r="X945"/>
    </row>
    <row r="946" spans="9:24" x14ac:dyDescent="0.3">
      <c r="I946"/>
      <c r="J946"/>
      <c r="K946"/>
      <c r="L946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/>
      <c r="X946"/>
    </row>
    <row r="947" spans="9:24" x14ac:dyDescent="0.3">
      <c r="I947"/>
      <c r="J947"/>
      <c r="K947"/>
      <c r="L947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/>
      <c r="X947"/>
    </row>
    <row r="948" spans="9:24" x14ac:dyDescent="0.3">
      <c r="I948"/>
      <c r="J948"/>
      <c r="K948"/>
      <c r="L948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/>
      <c r="X948"/>
    </row>
    <row r="949" spans="9:24" x14ac:dyDescent="0.3">
      <c r="I949"/>
      <c r="J949"/>
      <c r="K949"/>
      <c r="L949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/>
      <c r="X949"/>
    </row>
    <row r="950" spans="9:24" x14ac:dyDescent="0.3">
      <c r="I950"/>
      <c r="J950"/>
      <c r="K950"/>
      <c r="L950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/>
      <c r="X950"/>
    </row>
    <row r="951" spans="9:24" x14ac:dyDescent="0.3">
      <c r="I951"/>
      <c r="J951"/>
      <c r="K951"/>
      <c r="L95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/>
      <c r="X951"/>
    </row>
    <row r="952" spans="9:24" x14ac:dyDescent="0.3">
      <c r="I952"/>
      <c r="J952"/>
      <c r="K952"/>
      <c r="L952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/>
      <c r="X952"/>
    </row>
    <row r="953" spans="9:24" x14ac:dyDescent="0.3">
      <c r="I953"/>
      <c r="J953"/>
      <c r="K953"/>
      <c r="L953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/>
      <c r="X953"/>
    </row>
    <row r="954" spans="9:24" x14ac:dyDescent="0.3">
      <c r="I954"/>
      <c r="J954"/>
      <c r="K954"/>
      <c r="L954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/>
      <c r="X954"/>
    </row>
    <row r="955" spans="9:24" x14ac:dyDescent="0.3">
      <c r="I955"/>
      <c r="J955"/>
      <c r="K955"/>
      <c r="L955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/>
      <c r="X955"/>
    </row>
    <row r="956" spans="9:24" x14ac:dyDescent="0.3">
      <c r="I956"/>
      <c r="J956"/>
      <c r="K956"/>
      <c r="L956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/>
      <c r="X956"/>
    </row>
    <row r="957" spans="9:24" x14ac:dyDescent="0.3">
      <c r="I957"/>
      <c r="J957"/>
      <c r="K957"/>
      <c r="L957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/>
      <c r="X957"/>
    </row>
    <row r="958" spans="9:24" x14ac:dyDescent="0.3">
      <c r="I958"/>
      <c r="J958"/>
      <c r="K958"/>
      <c r="L958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/>
      <c r="X958"/>
    </row>
    <row r="959" spans="9:24" x14ac:dyDescent="0.3">
      <c r="I959"/>
      <c r="J959"/>
      <c r="K959"/>
      <c r="L959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/>
      <c r="X959"/>
    </row>
    <row r="960" spans="9:24" x14ac:dyDescent="0.3">
      <c r="I960"/>
      <c r="J960"/>
      <c r="K960"/>
      <c r="L960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/>
      <c r="X960"/>
    </row>
    <row r="961" spans="9:24" x14ac:dyDescent="0.3">
      <c r="I961"/>
      <c r="J961"/>
      <c r="K961"/>
      <c r="L96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/>
      <c r="X961"/>
    </row>
    <row r="962" spans="9:24" x14ac:dyDescent="0.3">
      <c r="I962"/>
      <c r="J962"/>
      <c r="K962"/>
      <c r="L962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/>
      <c r="X962"/>
    </row>
    <row r="963" spans="9:24" x14ac:dyDescent="0.3">
      <c r="I963"/>
      <c r="J963"/>
      <c r="K963"/>
      <c r="L963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/>
      <c r="X963"/>
    </row>
    <row r="964" spans="9:24" x14ac:dyDescent="0.3">
      <c r="I964"/>
      <c r="J964"/>
      <c r="K964"/>
      <c r="L964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/>
      <c r="X964"/>
    </row>
    <row r="965" spans="9:24" x14ac:dyDescent="0.3">
      <c r="I965"/>
      <c r="J965"/>
      <c r="K965"/>
      <c r="L965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/>
      <c r="X965"/>
    </row>
    <row r="966" spans="9:24" x14ac:dyDescent="0.3">
      <c r="I966"/>
      <c r="J966"/>
      <c r="K966"/>
      <c r="L966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/>
      <c r="X966"/>
    </row>
    <row r="967" spans="9:24" x14ac:dyDescent="0.3">
      <c r="I967"/>
      <c r="J967"/>
      <c r="K967"/>
      <c r="L967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/>
      <c r="X967"/>
    </row>
    <row r="968" spans="9:24" x14ac:dyDescent="0.3">
      <c r="I968"/>
      <c r="J968"/>
      <c r="K968"/>
      <c r="L968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/>
      <c r="X968"/>
    </row>
    <row r="969" spans="9:24" x14ac:dyDescent="0.3">
      <c r="I969"/>
      <c r="J969"/>
      <c r="K969"/>
      <c r="L969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/>
      <c r="X969"/>
    </row>
    <row r="970" spans="9:24" x14ac:dyDescent="0.3">
      <c r="I970"/>
      <c r="J970"/>
      <c r="K970"/>
      <c r="L970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/>
      <c r="X970"/>
    </row>
    <row r="971" spans="9:24" x14ac:dyDescent="0.3">
      <c r="I971"/>
      <c r="J971"/>
      <c r="K971"/>
      <c r="L97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/>
      <c r="X971"/>
    </row>
    <row r="972" spans="9:24" x14ac:dyDescent="0.3">
      <c r="I972"/>
      <c r="J972"/>
      <c r="K972"/>
      <c r="L972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/>
      <c r="X972"/>
    </row>
    <row r="973" spans="9:24" x14ac:dyDescent="0.3">
      <c r="I973"/>
      <c r="J973"/>
      <c r="K973"/>
      <c r="L973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/>
      <c r="X973"/>
    </row>
    <row r="974" spans="9:24" x14ac:dyDescent="0.3">
      <c r="I974"/>
      <c r="J974"/>
      <c r="K974"/>
      <c r="L974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/>
      <c r="X974"/>
    </row>
    <row r="975" spans="9:24" x14ac:dyDescent="0.3">
      <c r="I975"/>
      <c r="J975"/>
      <c r="K975"/>
      <c r="L975"/>
      <c r="M975" s="11"/>
      <c r="N975" s="11"/>
      <c r="O975" s="11"/>
      <c r="P975" s="11"/>
      <c r="Q975" s="11"/>
      <c r="R975" s="11"/>
      <c r="S975" s="11"/>
      <c r="T975" s="11"/>
      <c r="U975" s="11"/>
    </row>
    <row r="976" spans="9:24" x14ac:dyDescent="0.3">
      <c r="I976"/>
      <c r="J976"/>
      <c r="K976"/>
      <c r="L976"/>
      <c r="M976" s="11"/>
      <c r="N976" s="11"/>
      <c r="O976" s="11"/>
      <c r="P976" s="11"/>
      <c r="Q976" s="11"/>
      <c r="R976" s="11"/>
      <c r="S976" s="11"/>
      <c r="T976" s="11"/>
      <c r="U976" s="11"/>
    </row>
    <row r="977" spans="9:21" x14ac:dyDescent="0.3">
      <c r="I977"/>
      <c r="J977"/>
      <c r="K977"/>
      <c r="L977"/>
      <c r="M977" s="11"/>
      <c r="N977" s="11"/>
      <c r="O977" s="11"/>
      <c r="P977" s="11"/>
      <c r="Q977" s="11"/>
      <c r="R977" s="11"/>
      <c r="S977" s="11"/>
      <c r="T977" s="11"/>
      <c r="U977" s="11"/>
    </row>
    <row r="978" spans="9:21" x14ac:dyDescent="0.3">
      <c r="I978"/>
      <c r="J978"/>
      <c r="K978"/>
      <c r="L978"/>
      <c r="M978" s="11"/>
      <c r="N978" s="11"/>
      <c r="O978" s="11"/>
      <c r="P978" s="11"/>
      <c r="Q978" s="11"/>
      <c r="R978" s="11"/>
      <c r="S978" s="11"/>
      <c r="T978" s="11"/>
      <c r="U978" s="11"/>
    </row>
    <row r="979" spans="9:21" x14ac:dyDescent="0.3">
      <c r="I979"/>
      <c r="J979"/>
      <c r="K979"/>
      <c r="L979"/>
      <c r="M979" s="11"/>
      <c r="N979" s="11"/>
      <c r="O979" s="11"/>
      <c r="P979" s="11"/>
    </row>
    <row r="980" spans="9:21" x14ac:dyDescent="0.3">
      <c r="I980"/>
      <c r="J980"/>
      <c r="K980"/>
      <c r="L980"/>
    </row>
    <row r="981" spans="9:21" x14ac:dyDescent="0.3">
      <c r="I981"/>
      <c r="J981"/>
      <c r="K981"/>
      <c r="L981"/>
    </row>
    <row r="982" spans="9:21" x14ac:dyDescent="0.3">
      <c r="I982"/>
      <c r="J982"/>
      <c r="K982"/>
      <c r="L982"/>
    </row>
    <row r="983" spans="9:21" x14ac:dyDescent="0.3">
      <c r="I983"/>
      <c r="J983"/>
      <c r="K983"/>
      <c r="L983"/>
    </row>
    <row r="984" spans="9:21" x14ac:dyDescent="0.3">
      <c r="I984"/>
      <c r="J984"/>
      <c r="K984"/>
      <c r="L984"/>
    </row>
    <row r="985" spans="9:21" x14ac:dyDescent="0.3">
      <c r="I985"/>
      <c r="J985"/>
      <c r="K985"/>
      <c r="L985"/>
    </row>
    <row r="986" spans="9:21" x14ac:dyDescent="0.3">
      <c r="I986"/>
      <c r="J986"/>
      <c r="K986"/>
      <c r="L986"/>
    </row>
    <row r="987" spans="9:21" x14ac:dyDescent="0.3">
      <c r="I987"/>
      <c r="J987"/>
      <c r="K987"/>
      <c r="L987"/>
    </row>
    <row r="988" spans="9:21" x14ac:dyDescent="0.3">
      <c r="I988"/>
      <c r="J988"/>
      <c r="K988"/>
      <c r="L988"/>
    </row>
    <row r="989" spans="9:21" x14ac:dyDescent="0.3">
      <c r="I989"/>
      <c r="J989"/>
      <c r="K989"/>
      <c r="L989"/>
    </row>
    <row r="990" spans="9:21" x14ac:dyDescent="0.3">
      <c r="I990"/>
      <c r="J990"/>
      <c r="K990"/>
      <c r="L990"/>
    </row>
    <row r="991" spans="9:21" x14ac:dyDescent="0.3">
      <c r="I991"/>
      <c r="J991"/>
      <c r="K991"/>
      <c r="L991"/>
    </row>
    <row r="992" spans="9:21" x14ac:dyDescent="0.3">
      <c r="I992"/>
      <c r="J992"/>
      <c r="K992"/>
      <c r="L992"/>
    </row>
    <row r="993" spans="9:12" x14ac:dyDescent="0.3">
      <c r="I993"/>
      <c r="J993"/>
      <c r="K993"/>
      <c r="L993"/>
    </row>
    <row r="994" spans="9:12" x14ac:dyDescent="0.3">
      <c r="I994"/>
      <c r="J994"/>
      <c r="K994"/>
      <c r="L994"/>
    </row>
    <row r="995" spans="9:12" x14ac:dyDescent="0.3">
      <c r="I995"/>
      <c r="J995"/>
      <c r="K995"/>
      <c r="L995"/>
    </row>
    <row r="996" spans="9:12" x14ac:dyDescent="0.3">
      <c r="I996"/>
      <c r="J996"/>
      <c r="K996"/>
      <c r="L996"/>
    </row>
    <row r="997" spans="9:12" x14ac:dyDescent="0.3">
      <c r="I997"/>
      <c r="J997"/>
      <c r="K997"/>
      <c r="L997"/>
    </row>
    <row r="998" spans="9:12" x14ac:dyDescent="0.3">
      <c r="I998"/>
      <c r="J998"/>
      <c r="K998"/>
      <c r="L998"/>
    </row>
    <row r="999" spans="9:12" x14ac:dyDescent="0.3">
      <c r="I999"/>
      <c r="J999"/>
      <c r="K999"/>
      <c r="L999"/>
    </row>
    <row r="1000" spans="9:12" x14ac:dyDescent="0.3">
      <c r="I1000"/>
      <c r="J1000"/>
      <c r="K1000"/>
      <c r="L1000"/>
    </row>
    <row r="1001" spans="9:12" x14ac:dyDescent="0.3">
      <c r="I1001"/>
      <c r="J1001"/>
      <c r="K1001"/>
      <c r="L1001"/>
    </row>
    <row r="1002" spans="9:12" x14ac:dyDescent="0.3">
      <c r="I1002"/>
      <c r="J1002"/>
      <c r="K1002"/>
      <c r="L1002"/>
    </row>
    <row r="1003" spans="9:12" x14ac:dyDescent="0.3">
      <c r="I1003"/>
      <c r="J1003"/>
      <c r="K1003"/>
      <c r="L1003"/>
    </row>
    <row r="1004" spans="9:12" x14ac:dyDescent="0.3">
      <c r="I1004"/>
      <c r="J1004"/>
      <c r="K1004"/>
      <c r="L1004"/>
    </row>
    <row r="1005" spans="9:12" x14ac:dyDescent="0.3">
      <c r="I1005"/>
      <c r="J1005"/>
      <c r="K1005"/>
      <c r="L1005"/>
    </row>
    <row r="1006" spans="9:12" x14ac:dyDescent="0.3">
      <c r="I1006"/>
      <c r="J1006"/>
      <c r="K1006"/>
      <c r="L1006"/>
    </row>
    <row r="1007" spans="9:12" x14ac:dyDescent="0.3">
      <c r="I1007"/>
      <c r="J1007"/>
      <c r="K1007"/>
      <c r="L1007"/>
    </row>
    <row r="1008" spans="9:12" x14ac:dyDescent="0.3">
      <c r="I1008"/>
      <c r="J1008"/>
      <c r="K1008"/>
      <c r="L1008"/>
    </row>
    <row r="1009" spans="9:12" x14ac:dyDescent="0.3">
      <c r="I1009"/>
      <c r="J1009"/>
      <c r="K1009"/>
      <c r="L1009"/>
    </row>
    <row r="1010" spans="9:12" x14ac:dyDescent="0.3">
      <c r="I1010"/>
      <c r="J1010"/>
      <c r="K1010"/>
      <c r="L1010"/>
    </row>
    <row r="1011" spans="9:12" x14ac:dyDescent="0.3">
      <c r="I1011"/>
      <c r="J1011"/>
      <c r="K1011"/>
      <c r="L1011"/>
    </row>
    <row r="1012" spans="9:12" x14ac:dyDescent="0.3">
      <c r="I1012"/>
      <c r="J1012"/>
      <c r="K1012"/>
      <c r="L1012"/>
    </row>
    <row r="1013" spans="9:12" x14ac:dyDescent="0.3">
      <c r="I1013"/>
      <c r="J1013"/>
      <c r="K1013"/>
      <c r="L1013"/>
    </row>
    <row r="1014" spans="9:12" x14ac:dyDescent="0.3">
      <c r="I1014"/>
      <c r="J1014"/>
      <c r="K1014"/>
      <c r="L1014"/>
    </row>
    <row r="1015" spans="9:12" x14ac:dyDescent="0.3">
      <c r="I1015"/>
      <c r="J1015"/>
      <c r="K1015"/>
      <c r="L1015"/>
    </row>
    <row r="1016" spans="9:12" x14ac:dyDescent="0.3">
      <c r="I1016"/>
      <c r="J1016"/>
      <c r="K1016"/>
      <c r="L1016"/>
    </row>
    <row r="1017" spans="9:12" x14ac:dyDescent="0.3">
      <c r="I1017"/>
      <c r="J1017"/>
      <c r="K1017"/>
      <c r="L1017"/>
    </row>
    <row r="1018" spans="9:12" x14ac:dyDescent="0.3">
      <c r="I1018"/>
      <c r="J1018"/>
      <c r="K1018"/>
      <c r="L1018"/>
    </row>
    <row r="1019" spans="9:12" x14ac:dyDescent="0.3">
      <c r="I1019"/>
      <c r="J1019"/>
      <c r="K1019"/>
      <c r="L1019"/>
    </row>
    <row r="1020" spans="9:12" x14ac:dyDescent="0.3">
      <c r="I1020"/>
      <c r="J1020"/>
      <c r="K1020"/>
      <c r="L1020"/>
    </row>
    <row r="1021" spans="9:12" x14ac:dyDescent="0.3">
      <c r="I1021"/>
      <c r="J1021"/>
      <c r="K1021"/>
      <c r="L1021"/>
    </row>
    <row r="1022" spans="9:12" x14ac:dyDescent="0.3">
      <c r="I1022"/>
      <c r="J1022"/>
      <c r="K1022"/>
      <c r="L1022"/>
    </row>
    <row r="1023" spans="9:12" x14ac:dyDescent="0.3">
      <c r="I1023"/>
      <c r="J1023"/>
      <c r="K1023"/>
      <c r="L1023"/>
    </row>
    <row r="1024" spans="9:12" x14ac:dyDescent="0.3">
      <c r="I1024"/>
      <c r="J1024"/>
      <c r="K1024"/>
      <c r="L1024"/>
    </row>
    <row r="1025" spans="9:12" x14ac:dyDescent="0.3">
      <c r="I1025"/>
      <c r="J1025"/>
      <c r="K1025"/>
      <c r="L1025"/>
    </row>
    <row r="1026" spans="9:12" x14ac:dyDescent="0.3">
      <c r="I1026"/>
      <c r="J1026"/>
      <c r="K1026"/>
      <c r="L1026"/>
    </row>
    <row r="1027" spans="9:12" x14ac:dyDescent="0.3">
      <c r="I1027"/>
      <c r="J1027"/>
      <c r="K1027"/>
      <c r="L1027"/>
    </row>
    <row r="1028" spans="9:12" x14ac:dyDescent="0.3">
      <c r="I1028"/>
      <c r="J1028"/>
      <c r="K1028"/>
      <c r="L1028"/>
    </row>
    <row r="1029" spans="9:12" x14ac:dyDescent="0.3">
      <c r="I1029"/>
      <c r="J1029"/>
      <c r="K1029"/>
      <c r="L1029"/>
    </row>
    <row r="1030" spans="9:12" x14ac:dyDescent="0.3">
      <c r="I1030"/>
      <c r="J1030"/>
      <c r="K1030"/>
      <c r="L1030"/>
    </row>
    <row r="1031" spans="9:12" x14ac:dyDescent="0.3">
      <c r="I1031"/>
      <c r="J1031"/>
      <c r="K1031"/>
      <c r="L1031"/>
    </row>
    <row r="1032" spans="9:12" x14ac:dyDescent="0.3">
      <c r="I1032"/>
      <c r="J1032"/>
      <c r="K1032"/>
      <c r="L1032"/>
    </row>
    <row r="1033" spans="9:12" x14ac:dyDescent="0.3">
      <c r="I1033"/>
      <c r="J1033"/>
      <c r="K1033"/>
      <c r="L1033"/>
    </row>
    <row r="1034" spans="9:12" x14ac:dyDescent="0.3">
      <c r="I1034"/>
      <c r="J1034"/>
      <c r="K1034"/>
      <c r="L1034"/>
    </row>
    <row r="1035" spans="9:12" x14ac:dyDescent="0.3">
      <c r="I1035"/>
      <c r="J1035"/>
      <c r="K1035"/>
      <c r="L1035"/>
    </row>
    <row r="1036" spans="9:12" x14ac:dyDescent="0.3">
      <c r="I1036"/>
      <c r="J1036"/>
      <c r="K1036"/>
      <c r="L1036"/>
    </row>
    <row r="1037" spans="9:12" x14ac:dyDescent="0.3">
      <c r="I1037"/>
      <c r="J1037"/>
      <c r="K1037"/>
      <c r="L1037"/>
    </row>
    <row r="1038" spans="9:12" x14ac:dyDescent="0.3">
      <c r="I1038"/>
      <c r="J1038"/>
      <c r="K1038"/>
      <c r="L1038"/>
    </row>
    <row r="1039" spans="9:12" x14ac:dyDescent="0.3">
      <c r="I1039"/>
      <c r="J1039"/>
      <c r="K1039"/>
      <c r="L1039"/>
    </row>
    <row r="1040" spans="9:12" x14ac:dyDescent="0.3">
      <c r="I1040"/>
      <c r="J1040"/>
      <c r="K1040"/>
      <c r="L1040"/>
    </row>
    <row r="1041" spans="9:12" x14ac:dyDescent="0.3">
      <c r="I1041"/>
      <c r="J1041"/>
      <c r="K1041"/>
      <c r="L1041"/>
    </row>
    <row r="1042" spans="9:12" x14ac:dyDescent="0.3">
      <c r="I1042"/>
      <c r="J1042"/>
      <c r="K1042"/>
      <c r="L1042"/>
    </row>
    <row r="1043" spans="9:12" x14ac:dyDescent="0.3">
      <c r="I1043"/>
      <c r="J1043"/>
      <c r="K1043"/>
      <c r="L1043"/>
    </row>
    <row r="1044" spans="9:12" x14ac:dyDescent="0.3">
      <c r="I1044"/>
      <c r="J1044"/>
      <c r="K1044"/>
      <c r="L1044"/>
    </row>
    <row r="1045" spans="9:12" x14ac:dyDescent="0.3">
      <c r="I1045"/>
      <c r="J1045"/>
      <c r="K1045"/>
      <c r="L1045"/>
    </row>
    <row r="1046" spans="9:12" x14ac:dyDescent="0.3">
      <c r="I1046"/>
      <c r="J1046"/>
      <c r="K1046"/>
      <c r="L1046"/>
    </row>
    <row r="1047" spans="9:12" x14ac:dyDescent="0.3">
      <c r="I1047"/>
      <c r="J1047"/>
      <c r="K1047"/>
      <c r="L1047"/>
    </row>
    <row r="1048" spans="9:12" x14ac:dyDescent="0.3">
      <c r="I1048"/>
      <c r="J1048"/>
      <c r="K1048"/>
      <c r="L1048"/>
    </row>
    <row r="1049" spans="9:12" x14ac:dyDescent="0.3">
      <c r="I1049"/>
      <c r="J1049"/>
      <c r="K1049"/>
      <c r="L1049"/>
    </row>
    <row r="1050" spans="9:12" x14ac:dyDescent="0.3">
      <c r="I1050"/>
      <c r="J1050"/>
      <c r="K1050"/>
      <c r="L1050"/>
    </row>
    <row r="1051" spans="9:12" x14ac:dyDescent="0.3">
      <c r="I1051"/>
      <c r="J1051"/>
      <c r="K1051"/>
      <c r="L1051"/>
    </row>
    <row r="1052" spans="9:12" x14ac:dyDescent="0.3">
      <c r="I1052"/>
      <c r="J1052"/>
      <c r="K1052"/>
      <c r="L1052"/>
    </row>
    <row r="1053" spans="9:12" x14ac:dyDescent="0.3">
      <c r="I1053"/>
      <c r="J1053"/>
      <c r="K1053"/>
      <c r="L1053"/>
    </row>
    <row r="1054" spans="9:12" x14ac:dyDescent="0.3">
      <c r="I1054"/>
      <c r="J1054"/>
      <c r="K1054"/>
      <c r="L1054"/>
    </row>
    <row r="1055" spans="9:12" x14ac:dyDescent="0.3">
      <c r="I1055"/>
      <c r="J1055"/>
      <c r="K1055"/>
      <c r="L1055"/>
    </row>
    <row r="1056" spans="9:12" x14ac:dyDescent="0.3">
      <c r="I1056"/>
      <c r="J1056"/>
      <c r="K1056"/>
      <c r="L1056"/>
    </row>
    <row r="1057" spans="9:12" x14ac:dyDescent="0.3">
      <c r="I1057"/>
      <c r="J1057"/>
      <c r="K1057"/>
      <c r="L1057"/>
    </row>
    <row r="1058" spans="9:12" x14ac:dyDescent="0.3">
      <c r="I1058"/>
      <c r="J1058"/>
      <c r="K1058"/>
      <c r="L1058"/>
    </row>
    <row r="1059" spans="9:12" x14ac:dyDescent="0.3">
      <c r="I1059"/>
      <c r="J1059"/>
      <c r="K1059"/>
      <c r="L1059"/>
    </row>
    <row r="1060" spans="9:12" x14ac:dyDescent="0.3">
      <c r="I1060"/>
      <c r="J1060"/>
      <c r="K1060"/>
      <c r="L1060"/>
    </row>
    <row r="1061" spans="9:12" x14ac:dyDescent="0.3">
      <c r="I1061"/>
      <c r="J1061"/>
      <c r="K1061"/>
      <c r="L1061"/>
    </row>
    <row r="1062" spans="9:12" x14ac:dyDescent="0.3">
      <c r="I1062"/>
      <c r="J1062"/>
      <c r="K1062"/>
      <c r="L1062"/>
    </row>
    <row r="1063" spans="9:12" x14ac:dyDescent="0.3">
      <c r="I1063"/>
      <c r="J1063"/>
      <c r="K1063"/>
      <c r="L1063"/>
    </row>
    <row r="1064" spans="9:12" x14ac:dyDescent="0.3">
      <c r="I1064"/>
      <c r="J1064"/>
      <c r="K1064"/>
      <c r="L1064"/>
    </row>
    <row r="1065" spans="9:12" x14ac:dyDescent="0.3">
      <c r="I1065"/>
      <c r="J1065"/>
      <c r="K1065"/>
      <c r="L1065"/>
    </row>
    <row r="1066" spans="9:12" x14ac:dyDescent="0.3">
      <c r="I1066"/>
      <c r="J1066"/>
      <c r="K1066"/>
      <c r="L1066"/>
    </row>
    <row r="1067" spans="9:12" x14ac:dyDescent="0.3">
      <c r="I1067"/>
      <c r="J1067"/>
      <c r="K1067"/>
      <c r="L1067"/>
    </row>
    <row r="1068" spans="9:12" x14ac:dyDescent="0.3">
      <c r="I1068"/>
      <c r="J1068"/>
      <c r="K1068"/>
      <c r="L1068"/>
    </row>
    <row r="1069" spans="9:12" x14ac:dyDescent="0.3">
      <c r="I1069"/>
      <c r="J1069"/>
      <c r="K1069"/>
      <c r="L1069"/>
    </row>
    <row r="1070" spans="9:12" x14ac:dyDescent="0.3">
      <c r="I1070"/>
      <c r="J1070"/>
      <c r="K1070"/>
      <c r="L1070"/>
    </row>
    <row r="1071" spans="9:12" x14ac:dyDescent="0.3">
      <c r="I1071"/>
      <c r="J1071"/>
      <c r="K1071"/>
      <c r="L1071"/>
    </row>
    <row r="1072" spans="9:12" x14ac:dyDescent="0.3">
      <c r="I1072"/>
      <c r="J1072"/>
      <c r="K1072"/>
      <c r="L1072"/>
    </row>
    <row r="1073" spans="9:12" x14ac:dyDescent="0.3">
      <c r="I1073"/>
      <c r="J1073"/>
      <c r="K1073"/>
      <c r="L1073"/>
    </row>
    <row r="1074" spans="9:12" x14ac:dyDescent="0.3">
      <c r="I1074"/>
      <c r="J1074"/>
      <c r="K1074"/>
      <c r="L1074"/>
    </row>
    <row r="1075" spans="9:12" x14ac:dyDescent="0.3">
      <c r="I1075"/>
      <c r="J1075"/>
      <c r="K1075"/>
      <c r="L1075"/>
    </row>
    <row r="1076" spans="9:12" x14ac:dyDescent="0.3">
      <c r="I1076"/>
      <c r="J1076"/>
      <c r="K1076"/>
      <c r="L1076"/>
    </row>
    <row r="1077" spans="9:12" x14ac:dyDescent="0.3">
      <c r="I1077"/>
      <c r="J1077"/>
      <c r="K1077"/>
      <c r="L1077"/>
    </row>
    <row r="1078" spans="9:12" x14ac:dyDescent="0.3">
      <c r="I1078"/>
      <c r="J1078"/>
      <c r="K1078"/>
      <c r="L1078"/>
    </row>
    <row r="1079" spans="9:12" x14ac:dyDescent="0.3">
      <c r="I1079"/>
      <c r="J1079"/>
      <c r="K1079"/>
      <c r="L1079"/>
    </row>
    <row r="1080" spans="9:12" x14ac:dyDescent="0.3">
      <c r="I1080"/>
      <c r="J1080"/>
      <c r="K1080"/>
      <c r="L1080"/>
    </row>
    <row r="1081" spans="9:12" x14ac:dyDescent="0.3">
      <c r="I1081"/>
      <c r="J1081"/>
      <c r="K1081"/>
      <c r="L1081"/>
    </row>
    <row r="1082" spans="9:12" x14ac:dyDescent="0.3">
      <c r="I1082"/>
      <c r="J1082"/>
      <c r="K1082"/>
      <c r="L1082"/>
    </row>
    <row r="1083" spans="9:12" x14ac:dyDescent="0.3">
      <c r="I1083"/>
      <c r="J1083"/>
      <c r="K1083"/>
      <c r="L1083"/>
    </row>
    <row r="1084" spans="9:12" x14ac:dyDescent="0.3">
      <c r="I1084"/>
      <c r="J1084"/>
      <c r="K1084"/>
      <c r="L1084"/>
    </row>
    <row r="1085" spans="9:12" x14ac:dyDescent="0.3">
      <c r="I1085"/>
      <c r="J1085"/>
      <c r="K1085"/>
      <c r="L1085"/>
    </row>
    <row r="1086" spans="9:12" x14ac:dyDescent="0.3">
      <c r="I1086"/>
      <c r="J1086"/>
      <c r="K1086"/>
      <c r="L1086"/>
    </row>
    <row r="1087" spans="9:12" x14ac:dyDescent="0.3">
      <c r="I1087"/>
      <c r="J1087"/>
      <c r="K1087"/>
      <c r="L1087"/>
    </row>
    <row r="1088" spans="9:12" x14ac:dyDescent="0.3">
      <c r="I1088"/>
      <c r="J1088"/>
      <c r="K1088"/>
      <c r="L1088"/>
    </row>
    <row r="1089" spans="9:12" x14ac:dyDescent="0.3">
      <c r="I1089"/>
      <c r="J1089"/>
      <c r="K1089"/>
      <c r="L1089"/>
    </row>
    <row r="1090" spans="9:12" x14ac:dyDescent="0.3">
      <c r="I1090"/>
      <c r="J1090"/>
      <c r="K1090"/>
      <c r="L1090"/>
    </row>
    <row r="1091" spans="9:12" x14ac:dyDescent="0.3">
      <c r="I1091"/>
      <c r="J1091"/>
      <c r="K1091"/>
      <c r="L1091"/>
    </row>
    <row r="1092" spans="9:12" x14ac:dyDescent="0.3">
      <c r="I1092"/>
      <c r="J1092"/>
      <c r="K1092"/>
      <c r="L1092"/>
    </row>
    <row r="1093" spans="9:12" x14ac:dyDescent="0.3">
      <c r="I1093"/>
      <c r="J1093"/>
      <c r="K1093"/>
      <c r="L1093"/>
    </row>
    <row r="1094" spans="9:12" x14ac:dyDescent="0.3">
      <c r="I1094"/>
      <c r="J1094"/>
      <c r="K1094"/>
      <c r="L1094"/>
    </row>
    <row r="1095" spans="9:12" x14ac:dyDescent="0.3">
      <c r="I1095"/>
      <c r="J1095"/>
      <c r="K1095"/>
      <c r="L1095"/>
    </row>
    <row r="1096" spans="9:12" x14ac:dyDescent="0.3">
      <c r="I1096"/>
      <c r="J1096"/>
      <c r="K1096"/>
      <c r="L1096"/>
    </row>
    <row r="1097" spans="9:12" x14ac:dyDescent="0.3">
      <c r="I1097"/>
      <c r="J1097"/>
      <c r="K1097"/>
      <c r="L1097"/>
    </row>
    <row r="1098" spans="9:12" x14ac:dyDescent="0.3">
      <c r="I1098"/>
      <c r="J1098"/>
      <c r="K1098"/>
      <c r="L1098"/>
    </row>
    <row r="1099" spans="9:12" x14ac:dyDescent="0.3">
      <c r="I1099"/>
      <c r="J1099"/>
      <c r="K1099"/>
      <c r="L1099"/>
    </row>
    <row r="1100" spans="9:12" x14ac:dyDescent="0.3">
      <c r="I1100"/>
      <c r="J1100"/>
      <c r="K1100"/>
      <c r="L1100"/>
    </row>
    <row r="1101" spans="9:12" x14ac:dyDescent="0.3">
      <c r="I1101"/>
      <c r="J1101"/>
      <c r="K1101"/>
      <c r="L1101"/>
    </row>
    <row r="1102" spans="9:12" x14ac:dyDescent="0.3">
      <c r="I1102"/>
      <c r="J1102"/>
      <c r="K1102"/>
      <c r="L1102"/>
    </row>
    <row r="1103" spans="9:12" x14ac:dyDescent="0.3">
      <c r="I1103"/>
      <c r="J1103"/>
      <c r="K1103"/>
      <c r="L1103"/>
    </row>
    <row r="1104" spans="9:12" x14ac:dyDescent="0.3">
      <c r="I1104"/>
      <c r="J1104"/>
      <c r="K1104"/>
      <c r="L1104"/>
    </row>
    <row r="1105" spans="9:12" x14ac:dyDescent="0.3">
      <c r="I1105"/>
      <c r="J1105"/>
      <c r="K1105"/>
      <c r="L1105"/>
    </row>
    <row r="1106" spans="9:12" x14ac:dyDescent="0.3">
      <c r="I1106"/>
      <c r="J1106"/>
      <c r="K1106"/>
      <c r="L1106"/>
    </row>
    <row r="1107" spans="9:12" x14ac:dyDescent="0.3">
      <c r="I1107"/>
      <c r="J1107"/>
      <c r="K1107"/>
      <c r="L1107"/>
    </row>
    <row r="1108" spans="9:12" x14ac:dyDescent="0.3">
      <c r="I1108"/>
      <c r="J1108"/>
      <c r="K1108"/>
      <c r="L1108"/>
    </row>
    <row r="1109" spans="9:12" x14ac:dyDescent="0.3">
      <c r="I1109"/>
      <c r="J1109"/>
      <c r="K1109"/>
      <c r="L1109"/>
    </row>
    <row r="1110" spans="9:12" x14ac:dyDescent="0.3">
      <c r="I1110"/>
      <c r="J1110"/>
      <c r="K1110"/>
      <c r="L1110"/>
    </row>
    <row r="1111" spans="9:12" x14ac:dyDescent="0.3">
      <c r="I1111"/>
      <c r="J1111"/>
      <c r="K1111"/>
      <c r="L1111"/>
    </row>
    <row r="1112" spans="9:12" x14ac:dyDescent="0.3">
      <c r="I1112"/>
      <c r="J1112"/>
      <c r="K1112"/>
      <c r="L1112"/>
    </row>
    <row r="1113" spans="9:12" x14ac:dyDescent="0.3">
      <c r="I1113"/>
      <c r="J1113"/>
      <c r="K1113"/>
      <c r="L1113"/>
    </row>
    <row r="1114" spans="9:12" x14ac:dyDescent="0.3">
      <c r="I1114"/>
      <c r="J1114"/>
      <c r="K1114"/>
      <c r="L1114"/>
    </row>
    <row r="1115" spans="9:12" x14ac:dyDescent="0.3">
      <c r="I1115"/>
      <c r="J1115"/>
      <c r="K1115"/>
      <c r="L1115"/>
    </row>
    <row r="1116" spans="9:12" x14ac:dyDescent="0.3">
      <c r="I1116"/>
      <c r="J1116"/>
      <c r="K1116"/>
      <c r="L1116"/>
    </row>
    <row r="1117" spans="9:12" x14ac:dyDescent="0.3">
      <c r="I1117"/>
      <c r="J1117"/>
      <c r="K1117"/>
      <c r="L1117"/>
    </row>
    <row r="1118" spans="9:12" x14ac:dyDescent="0.3">
      <c r="I1118"/>
      <c r="J1118"/>
      <c r="K1118"/>
      <c r="L1118"/>
    </row>
    <row r="1119" spans="9:12" x14ac:dyDescent="0.3">
      <c r="I1119"/>
      <c r="J1119"/>
      <c r="K1119"/>
      <c r="L1119"/>
    </row>
    <row r="1120" spans="9:12" x14ac:dyDescent="0.3">
      <c r="I1120"/>
      <c r="J1120"/>
      <c r="K1120"/>
      <c r="L1120"/>
    </row>
    <row r="1121" spans="9:12" x14ac:dyDescent="0.3">
      <c r="I1121"/>
      <c r="J1121"/>
      <c r="K1121"/>
      <c r="L1121"/>
    </row>
    <row r="1122" spans="9:12" x14ac:dyDescent="0.3">
      <c r="I1122"/>
      <c r="J1122"/>
      <c r="K1122"/>
      <c r="L1122"/>
    </row>
    <row r="1123" spans="9:12" x14ac:dyDescent="0.3">
      <c r="I1123"/>
      <c r="J1123"/>
      <c r="K1123"/>
      <c r="L1123"/>
    </row>
    <row r="1124" spans="9:12" x14ac:dyDescent="0.3">
      <c r="I1124"/>
      <c r="J1124"/>
      <c r="K1124"/>
      <c r="L1124"/>
    </row>
    <row r="1125" spans="9:12" x14ac:dyDescent="0.3">
      <c r="I1125"/>
      <c r="J1125"/>
      <c r="K1125"/>
      <c r="L1125"/>
    </row>
    <row r="1126" spans="9:12" x14ac:dyDescent="0.3">
      <c r="I1126"/>
      <c r="J1126"/>
      <c r="K1126"/>
      <c r="L1126"/>
    </row>
    <row r="1127" spans="9:12" x14ac:dyDescent="0.3">
      <c r="I1127"/>
      <c r="J1127"/>
      <c r="K1127"/>
      <c r="L1127"/>
    </row>
    <row r="1128" spans="9:12" x14ac:dyDescent="0.3">
      <c r="I1128"/>
      <c r="J1128"/>
      <c r="K1128"/>
      <c r="L1128"/>
    </row>
    <row r="1129" spans="9:12" x14ac:dyDescent="0.3">
      <c r="I1129"/>
      <c r="J1129"/>
      <c r="K1129"/>
      <c r="L1129"/>
    </row>
    <row r="1130" spans="9:12" x14ac:dyDescent="0.3">
      <c r="I1130"/>
      <c r="J1130"/>
      <c r="K1130"/>
      <c r="L1130"/>
    </row>
    <row r="1131" spans="9:12" x14ac:dyDescent="0.3">
      <c r="I1131"/>
      <c r="J1131"/>
      <c r="K1131"/>
      <c r="L1131"/>
    </row>
    <row r="1132" spans="9:12" x14ac:dyDescent="0.3">
      <c r="I1132"/>
      <c r="J1132"/>
      <c r="K1132"/>
      <c r="L1132"/>
    </row>
    <row r="1133" spans="9:12" x14ac:dyDescent="0.3">
      <c r="I1133"/>
      <c r="J1133"/>
      <c r="K1133"/>
      <c r="L1133"/>
    </row>
    <row r="1134" spans="9:12" x14ac:dyDescent="0.3">
      <c r="I1134"/>
      <c r="J1134"/>
      <c r="K1134"/>
      <c r="L1134"/>
    </row>
    <row r="1135" spans="9:12" x14ac:dyDescent="0.3">
      <c r="I1135"/>
      <c r="J1135"/>
      <c r="K1135"/>
      <c r="L1135"/>
    </row>
    <row r="1136" spans="9:12" x14ac:dyDescent="0.3">
      <c r="I1136"/>
      <c r="J1136"/>
      <c r="K1136"/>
      <c r="L1136"/>
    </row>
    <row r="1137" spans="9:12" x14ac:dyDescent="0.3">
      <c r="I1137"/>
      <c r="J1137"/>
      <c r="K1137"/>
      <c r="L1137"/>
    </row>
    <row r="1138" spans="9:12" x14ac:dyDescent="0.3">
      <c r="I1138"/>
      <c r="J1138"/>
      <c r="K1138"/>
      <c r="L1138"/>
    </row>
    <row r="1139" spans="9:12" x14ac:dyDescent="0.3">
      <c r="I1139"/>
      <c r="J1139"/>
      <c r="K1139"/>
      <c r="L1139"/>
    </row>
    <row r="1140" spans="9:12" x14ac:dyDescent="0.3">
      <c r="I1140"/>
      <c r="J1140"/>
      <c r="K1140"/>
      <c r="L1140"/>
    </row>
    <row r="1141" spans="9:12" x14ac:dyDescent="0.3">
      <c r="I1141"/>
      <c r="J1141"/>
      <c r="K1141"/>
      <c r="L1141"/>
    </row>
    <row r="1142" spans="9:12" x14ac:dyDescent="0.3">
      <c r="I1142"/>
      <c r="J1142"/>
      <c r="K1142"/>
      <c r="L1142"/>
    </row>
    <row r="1143" spans="9:12" x14ac:dyDescent="0.3">
      <c r="I1143"/>
      <c r="J1143"/>
      <c r="K1143"/>
      <c r="L1143"/>
    </row>
    <row r="1144" spans="9:12" x14ac:dyDescent="0.3">
      <c r="I1144"/>
      <c r="J1144"/>
      <c r="K1144"/>
      <c r="L1144"/>
    </row>
    <row r="1145" spans="9:12" x14ac:dyDescent="0.3">
      <c r="I1145"/>
      <c r="J1145"/>
      <c r="K1145"/>
      <c r="L1145"/>
    </row>
    <row r="1146" spans="9:12" x14ac:dyDescent="0.3">
      <c r="I1146"/>
      <c r="J1146"/>
      <c r="K1146"/>
      <c r="L1146"/>
    </row>
    <row r="1147" spans="9:12" x14ac:dyDescent="0.3">
      <c r="I1147"/>
      <c r="J1147"/>
      <c r="K1147"/>
      <c r="L1147"/>
    </row>
    <row r="1148" spans="9:12" x14ac:dyDescent="0.3">
      <c r="I1148"/>
      <c r="J1148"/>
      <c r="K1148"/>
      <c r="L1148"/>
    </row>
    <row r="1149" spans="9:12" x14ac:dyDescent="0.3">
      <c r="I1149"/>
      <c r="J1149"/>
      <c r="K1149"/>
      <c r="L1149"/>
    </row>
    <row r="1150" spans="9:12" x14ac:dyDescent="0.3">
      <c r="I1150"/>
      <c r="J1150"/>
      <c r="K1150"/>
      <c r="L1150"/>
    </row>
    <row r="1151" spans="9:12" x14ac:dyDescent="0.3">
      <c r="I1151"/>
      <c r="J1151"/>
      <c r="K1151"/>
      <c r="L1151"/>
    </row>
    <row r="1152" spans="9:12" x14ac:dyDescent="0.3">
      <c r="I1152"/>
      <c r="J1152"/>
      <c r="K1152"/>
      <c r="L1152"/>
    </row>
    <row r="1153" spans="9:12" x14ac:dyDescent="0.3">
      <c r="I1153"/>
      <c r="J1153"/>
      <c r="K1153"/>
      <c r="L1153"/>
    </row>
    <row r="1154" spans="9:12" x14ac:dyDescent="0.3">
      <c r="I1154"/>
      <c r="J1154"/>
      <c r="K1154"/>
      <c r="L1154"/>
    </row>
    <row r="1155" spans="9:12" x14ac:dyDescent="0.3">
      <c r="I1155"/>
      <c r="J1155"/>
      <c r="K1155"/>
      <c r="L1155"/>
    </row>
    <row r="1156" spans="9:12" x14ac:dyDescent="0.3">
      <c r="I1156"/>
      <c r="J1156"/>
      <c r="K1156"/>
      <c r="L1156"/>
    </row>
    <row r="1157" spans="9:12" x14ac:dyDescent="0.3">
      <c r="I1157"/>
      <c r="J1157"/>
      <c r="K1157"/>
      <c r="L1157"/>
    </row>
    <row r="1158" spans="9:12" x14ac:dyDescent="0.3">
      <c r="I1158"/>
      <c r="J1158"/>
      <c r="K1158"/>
      <c r="L1158"/>
    </row>
    <row r="1159" spans="9:12" x14ac:dyDescent="0.3">
      <c r="I1159"/>
      <c r="J1159"/>
      <c r="K1159"/>
      <c r="L1159"/>
    </row>
    <row r="1160" spans="9:12" x14ac:dyDescent="0.3">
      <c r="I1160"/>
      <c r="J1160"/>
      <c r="K1160"/>
      <c r="L1160"/>
    </row>
    <row r="1161" spans="9:12" x14ac:dyDescent="0.3">
      <c r="I1161"/>
      <c r="J1161"/>
      <c r="K1161"/>
      <c r="L1161"/>
    </row>
    <row r="1162" spans="9:12" x14ac:dyDescent="0.3">
      <c r="I1162"/>
      <c r="J1162"/>
      <c r="K1162"/>
      <c r="L1162"/>
    </row>
    <row r="1163" spans="9:12" x14ac:dyDescent="0.3">
      <c r="I1163"/>
      <c r="J1163"/>
      <c r="K1163"/>
      <c r="L1163"/>
    </row>
    <row r="1164" spans="9:12" x14ac:dyDescent="0.3">
      <c r="I1164"/>
      <c r="J1164"/>
      <c r="K1164"/>
      <c r="L1164"/>
    </row>
    <row r="1165" spans="9:12" x14ac:dyDescent="0.3">
      <c r="I1165"/>
      <c r="J1165"/>
      <c r="K1165"/>
      <c r="L1165"/>
    </row>
    <row r="1166" spans="9:12" x14ac:dyDescent="0.3">
      <c r="I1166"/>
      <c r="J1166"/>
      <c r="K1166"/>
      <c r="L1166"/>
    </row>
    <row r="1167" spans="9:12" x14ac:dyDescent="0.3">
      <c r="I1167"/>
      <c r="J1167"/>
      <c r="K1167"/>
      <c r="L1167"/>
    </row>
    <row r="1168" spans="9:12" x14ac:dyDescent="0.3">
      <c r="I1168"/>
      <c r="J1168"/>
      <c r="K1168"/>
      <c r="L1168"/>
    </row>
    <row r="1169" spans="9:12" x14ac:dyDescent="0.3">
      <c r="I1169"/>
      <c r="J1169"/>
      <c r="K1169"/>
      <c r="L1169"/>
    </row>
    <row r="1170" spans="9:12" x14ac:dyDescent="0.3">
      <c r="I1170"/>
      <c r="J1170"/>
      <c r="K1170"/>
      <c r="L1170"/>
    </row>
    <row r="1171" spans="9:12" x14ac:dyDescent="0.3">
      <c r="I1171"/>
      <c r="J1171"/>
      <c r="K1171"/>
      <c r="L1171"/>
    </row>
    <row r="1172" spans="9:12" x14ac:dyDescent="0.3">
      <c r="I1172"/>
      <c r="J1172"/>
      <c r="K1172"/>
      <c r="L1172"/>
    </row>
    <row r="1173" spans="9:12" x14ac:dyDescent="0.3">
      <c r="I1173"/>
      <c r="J1173"/>
      <c r="K1173"/>
      <c r="L1173"/>
    </row>
    <row r="1174" spans="9:12" x14ac:dyDescent="0.3">
      <c r="I1174"/>
      <c r="J1174"/>
      <c r="K1174"/>
      <c r="L1174"/>
    </row>
    <row r="1175" spans="9:12" x14ac:dyDescent="0.3">
      <c r="I1175"/>
      <c r="J1175"/>
      <c r="K1175"/>
      <c r="L1175"/>
    </row>
    <row r="1176" spans="9:12" x14ac:dyDescent="0.3">
      <c r="I1176"/>
      <c r="J1176"/>
      <c r="K1176"/>
      <c r="L1176"/>
    </row>
    <row r="1177" spans="9:12" x14ac:dyDescent="0.3">
      <c r="I1177"/>
      <c r="J1177"/>
      <c r="K1177"/>
      <c r="L1177"/>
    </row>
    <row r="1178" spans="9:12" x14ac:dyDescent="0.3">
      <c r="I1178"/>
      <c r="J1178"/>
      <c r="K1178"/>
      <c r="L1178"/>
    </row>
    <row r="1179" spans="9:12" x14ac:dyDescent="0.3">
      <c r="I1179"/>
      <c r="J1179"/>
      <c r="K1179"/>
      <c r="L1179"/>
    </row>
    <row r="1180" spans="9:12" x14ac:dyDescent="0.3">
      <c r="I1180"/>
      <c r="J1180"/>
      <c r="K1180"/>
      <c r="L1180"/>
    </row>
    <row r="1181" spans="9:12" x14ac:dyDescent="0.3">
      <c r="I1181"/>
      <c r="J1181"/>
      <c r="K1181"/>
      <c r="L1181"/>
    </row>
    <row r="1182" spans="9:12" x14ac:dyDescent="0.3">
      <c r="I1182"/>
      <c r="J1182"/>
      <c r="K1182"/>
      <c r="L1182"/>
    </row>
    <row r="1183" spans="9:12" x14ac:dyDescent="0.3">
      <c r="I1183"/>
      <c r="J1183"/>
      <c r="K1183"/>
      <c r="L1183"/>
    </row>
    <row r="1184" spans="9:12" x14ac:dyDescent="0.3">
      <c r="I1184"/>
      <c r="J1184"/>
      <c r="K1184"/>
      <c r="L1184"/>
    </row>
    <row r="1185" spans="9:12" x14ac:dyDescent="0.3">
      <c r="I1185"/>
      <c r="J1185"/>
      <c r="K1185"/>
      <c r="L1185"/>
    </row>
    <row r="1186" spans="9:12" x14ac:dyDescent="0.3">
      <c r="I1186"/>
      <c r="J1186"/>
      <c r="K1186"/>
      <c r="L1186"/>
    </row>
    <row r="1187" spans="9:12" x14ac:dyDescent="0.3">
      <c r="I1187"/>
      <c r="J1187"/>
      <c r="K1187"/>
      <c r="L1187"/>
    </row>
    <row r="1188" spans="9:12" x14ac:dyDescent="0.3">
      <c r="I1188"/>
      <c r="J1188"/>
      <c r="K1188"/>
      <c r="L1188"/>
    </row>
    <row r="1189" spans="9:12" x14ac:dyDescent="0.3">
      <c r="I1189"/>
      <c r="J1189"/>
      <c r="K1189"/>
      <c r="L1189"/>
    </row>
    <row r="1190" spans="9:12" x14ac:dyDescent="0.3">
      <c r="I1190"/>
      <c r="J1190"/>
      <c r="K1190"/>
      <c r="L1190"/>
    </row>
    <row r="1191" spans="9:12" x14ac:dyDescent="0.3">
      <c r="I1191"/>
      <c r="J1191"/>
      <c r="K1191"/>
      <c r="L1191"/>
    </row>
    <row r="1192" spans="9:12" x14ac:dyDescent="0.3">
      <c r="I1192"/>
      <c r="J1192"/>
      <c r="K1192"/>
      <c r="L1192"/>
    </row>
    <row r="1193" spans="9:12" x14ac:dyDescent="0.3">
      <c r="I1193"/>
      <c r="J1193"/>
      <c r="K1193"/>
      <c r="L1193"/>
    </row>
    <row r="1194" spans="9:12" x14ac:dyDescent="0.3">
      <c r="I1194"/>
      <c r="J1194"/>
      <c r="K1194"/>
      <c r="L1194"/>
    </row>
    <row r="1195" spans="9:12" x14ac:dyDescent="0.3">
      <c r="I1195"/>
      <c r="J1195"/>
      <c r="K1195"/>
      <c r="L1195"/>
    </row>
    <row r="1196" spans="9:12" x14ac:dyDescent="0.3">
      <c r="I1196"/>
      <c r="J1196"/>
      <c r="K1196"/>
      <c r="L1196"/>
    </row>
    <row r="1197" spans="9:12" x14ac:dyDescent="0.3">
      <c r="I1197"/>
      <c r="J1197"/>
      <c r="K1197"/>
      <c r="L1197"/>
    </row>
    <row r="1198" spans="9:12" x14ac:dyDescent="0.3">
      <c r="I1198"/>
      <c r="J1198"/>
      <c r="K1198"/>
      <c r="L1198"/>
    </row>
    <row r="1199" spans="9:12" x14ac:dyDescent="0.3">
      <c r="I1199"/>
      <c r="J1199"/>
      <c r="K1199"/>
      <c r="L1199"/>
    </row>
    <row r="1200" spans="9:12" x14ac:dyDescent="0.3">
      <c r="I1200"/>
      <c r="J1200"/>
      <c r="K1200"/>
      <c r="L1200"/>
    </row>
    <row r="1201" spans="9:12" x14ac:dyDescent="0.3">
      <c r="I1201"/>
      <c r="J1201"/>
      <c r="K1201"/>
      <c r="L1201"/>
    </row>
    <row r="1202" spans="9:12" x14ac:dyDescent="0.3">
      <c r="I1202"/>
      <c r="J1202"/>
      <c r="K1202"/>
      <c r="L1202"/>
    </row>
    <row r="1203" spans="9:12" x14ac:dyDescent="0.3">
      <c r="I1203"/>
      <c r="J1203"/>
      <c r="K1203"/>
      <c r="L1203"/>
    </row>
    <row r="1204" spans="9:12" x14ac:dyDescent="0.3">
      <c r="I1204"/>
      <c r="J1204"/>
      <c r="K1204"/>
      <c r="L1204"/>
    </row>
    <row r="1205" spans="9:12" x14ac:dyDescent="0.3">
      <c r="I1205"/>
      <c r="J1205"/>
      <c r="K1205"/>
      <c r="L1205"/>
    </row>
    <row r="1206" spans="9:12" x14ac:dyDescent="0.3">
      <c r="I1206"/>
      <c r="J1206"/>
      <c r="K1206"/>
      <c r="L1206"/>
    </row>
    <row r="1207" spans="9:12" x14ac:dyDescent="0.3">
      <c r="I1207"/>
      <c r="J1207"/>
      <c r="K1207"/>
      <c r="L1207"/>
    </row>
    <row r="1208" spans="9:12" x14ac:dyDescent="0.3">
      <c r="I1208"/>
      <c r="J1208"/>
      <c r="K1208"/>
      <c r="L1208"/>
    </row>
    <row r="1209" spans="9:12" x14ac:dyDescent="0.3">
      <c r="I1209"/>
      <c r="J1209"/>
      <c r="K1209"/>
      <c r="L1209"/>
    </row>
    <row r="1210" spans="9:12" x14ac:dyDescent="0.3">
      <c r="I1210"/>
      <c r="J1210"/>
      <c r="K1210"/>
      <c r="L1210"/>
    </row>
    <row r="1211" spans="9:12" x14ac:dyDescent="0.3">
      <c r="I1211"/>
      <c r="J1211"/>
      <c r="K1211"/>
      <c r="L1211"/>
    </row>
    <row r="1212" spans="9:12" x14ac:dyDescent="0.3">
      <c r="I1212"/>
      <c r="J1212"/>
      <c r="K1212"/>
      <c r="L1212"/>
    </row>
    <row r="1213" spans="9:12" x14ac:dyDescent="0.3">
      <c r="I1213"/>
      <c r="J1213"/>
      <c r="K1213"/>
      <c r="L1213"/>
    </row>
    <row r="1214" spans="9:12" x14ac:dyDescent="0.3">
      <c r="I1214"/>
      <c r="J1214"/>
      <c r="K1214"/>
      <c r="L1214"/>
    </row>
    <row r="1215" spans="9:12" x14ac:dyDescent="0.3">
      <c r="I1215"/>
      <c r="J1215"/>
      <c r="K1215"/>
      <c r="L1215"/>
    </row>
    <row r="1216" spans="9:12" x14ac:dyDescent="0.3">
      <c r="I1216"/>
      <c r="J1216"/>
      <c r="K1216"/>
      <c r="L1216"/>
    </row>
    <row r="1217" spans="9:12" x14ac:dyDescent="0.3">
      <c r="I1217"/>
      <c r="J1217"/>
      <c r="K1217"/>
      <c r="L1217"/>
    </row>
    <row r="1218" spans="9:12" x14ac:dyDescent="0.3">
      <c r="I1218"/>
      <c r="J1218"/>
      <c r="K1218"/>
      <c r="L1218"/>
    </row>
    <row r="1219" spans="9:12" x14ac:dyDescent="0.3">
      <c r="I1219"/>
      <c r="J1219"/>
      <c r="K1219"/>
      <c r="L1219"/>
    </row>
    <row r="1220" spans="9:12" x14ac:dyDescent="0.3">
      <c r="I1220"/>
      <c r="J1220"/>
      <c r="K1220"/>
      <c r="L1220"/>
    </row>
    <row r="1221" spans="9:12" x14ac:dyDescent="0.3">
      <c r="I1221"/>
      <c r="J1221"/>
      <c r="K1221"/>
      <c r="L1221"/>
    </row>
    <row r="1222" spans="9:12" x14ac:dyDescent="0.3">
      <c r="I1222"/>
      <c r="J1222"/>
      <c r="K1222"/>
      <c r="L1222"/>
    </row>
    <row r="1223" spans="9:12" x14ac:dyDescent="0.3">
      <c r="I1223"/>
      <c r="J1223"/>
      <c r="K1223"/>
      <c r="L1223"/>
    </row>
    <row r="1224" spans="9:12" x14ac:dyDescent="0.3">
      <c r="I1224"/>
      <c r="J1224"/>
      <c r="K1224"/>
      <c r="L1224"/>
    </row>
    <row r="1225" spans="9:12" x14ac:dyDescent="0.3">
      <c r="I1225"/>
      <c r="J1225"/>
      <c r="K1225"/>
      <c r="L1225"/>
    </row>
    <row r="1226" spans="9:12" x14ac:dyDescent="0.3">
      <c r="I1226"/>
      <c r="J1226"/>
      <c r="K1226"/>
      <c r="L1226"/>
    </row>
    <row r="1227" spans="9:12" x14ac:dyDescent="0.3">
      <c r="I1227"/>
      <c r="J1227"/>
      <c r="K1227"/>
      <c r="L1227"/>
    </row>
    <row r="1228" spans="9:12" x14ac:dyDescent="0.3">
      <c r="I1228"/>
      <c r="J1228"/>
      <c r="K1228"/>
      <c r="L1228"/>
    </row>
    <row r="1229" spans="9:12" x14ac:dyDescent="0.3">
      <c r="I1229"/>
      <c r="J1229"/>
      <c r="K1229"/>
      <c r="L1229"/>
    </row>
    <row r="1230" spans="9:12" x14ac:dyDescent="0.3">
      <c r="I1230"/>
      <c r="J1230"/>
      <c r="K1230"/>
      <c r="L1230"/>
    </row>
    <row r="1231" spans="9:12" x14ac:dyDescent="0.3">
      <c r="I1231"/>
      <c r="J1231"/>
      <c r="K1231"/>
      <c r="L1231"/>
    </row>
    <row r="1232" spans="9:12" x14ac:dyDescent="0.3">
      <c r="I1232"/>
      <c r="J1232"/>
      <c r="K1232"/>
      <c r="L1232"/>
    </row>
    <row r="1233" spans="9:12" x14ac:dyDescent="0.3">
      <c r="I1233"/>
      <c r="J1233"/>
      <c r="K1233"/>
      <c r="L1233"/>
    </row>
    <row r="1234" spans="9:12" x14ac:dyDescent="0.3">
      <c r="I1234"/>
      <c r="J1234"/>
      <c r="K1234"/>
      <c r="L1234"/>
    </row>
    <row r="1235" spans="9:12" x14ac:dyDescent="0.3">
      <c r="I1235"/>
      <c r="J1235"/>
      <c r="K1235"/>
      <c r="L1235"/>
    </row>
    <row r="1236" spans="9:12" x14ac:dyDescent="0.3">
      <c r="I1236"/>
      <c r="J1236"/>
      <c r="K1236"/>
      <c r="L1236"/>
    </row>
    <row r="1237" spans="9:12" x14ac:dyDescent="0.3">
      <c r="I1237"/>
      <c r="J1237"/>
      <c r="K1237"/>
      <c r="L1237"/>
    </row>
    <row r="1238" spans="9:12" x14ac:dyDescent="0.3">
      <c r="I1238"/>
      <c r="J1238"/>
      <c r="K1238"/>
      <c r="L1238"/>
    </row>
    <row r="1239" spans="9:12" x14ac:dyDescent="0.3">
      <c r="I1239"/>
      <c r="J1239"/>
      <c r="K1239"/>
      <c r="L1239"/>
    </row>
    <row r="1240" spans="9:12" x14ac:dyDescent="0.3">
      <c r="I1240"/>
      <c r="J1240"/>
      <c r="K1240"/>
      <c r="L1240"/>
    </row>
    <row r="1241" spans="9:12" x14ac:dyDescent="0.3">
      <c r="I1241"/>
      <c r="J1241"/>
      <c r="K1241"/>
      <c r="L1241"/>
    </row>
    <row r="1242" spans="9:12" x14ac:dyDescent="0.3">
      <c r="I1242"/>
      <c r="J1242"/>
      <c r="K1242"/>
      <c r="L1242"/>
    </row>
    <row r="1243" spans="9:12" x14ac:dyDescent="0.3">
      <c r="I1243"/>
      <c r="J1243"/>
      <c r="K1243"/>
      <c r="L1243"/>
    </row>
    <row r="1244" spans="9:12" x14ac:dyDescent="0.3">
      <c r="I1244"/>
      <c r="J1244"/>
      <c r="K1244"/>
      <c r="L1244"/>
    </row>
    <row r="1245" spans="9:12" x14ac:dyDescent="0.3">
      <c r="I1245"/>
      <c r="J1245"/>
      <c r="K1245"/>
      <c r="L1245"/>
    </row>
    <row r="1246" spans="9:12" x14ac:dyDescent="0.3">
      <c r="I1246"/>
      <c r="J1246"/>
      <c r="K1246"/>
      <c r="L1246"/>
    </row>
    <row r="1247" spans="9:12" x14ac:dyDescent="0.3">
      <c r="I1247"/>
      <c r="J1247"/>
      <c r="K1247"/>
      <c r="L1247"/>
    </row>
    <row r="1248" spans="9:12" x14ac:dyDescent="0.3">
      <c r="I1248"/>
      <c r="J1248"/>
      <c r="K1248"/>
      <c r="L1248"/>
    </row>
    <row r="1249" spans="9:12" x14ac:dyDescent="0.3">
      <c r="I1249"/>
      <c r="J1249"/>
      <c r="K1249"/>
      <c r="L1249"/>
    </row>
    <row r="1250" spans="9:12" x14ac:dyDescent="0.3">
      <c r="I1250"/>
      <c r="J1250"/>
      <c r="K1250"/>
      <c r="L1250"/>
    </row>
    <row r="1251" spans="9:12" x14ac:dyDescent="0.3">
      <c r="I1251"/>
      <c r="J1251"/>
      <c r="K1251"/>
      <c r="L1251"/>
    </row>
    <row r="1252" spans="9:12" x14ac:dyDescent="0.3">
      <c r="I1252"/>
      <c r="J1252"/>
      <c r="K1252"/>
      <c r="L1252"/>
    </row>
    <row r="1253" spans="9:12" x14ac:dyDescent="0.3">
      <c r="I1253"/>
      <c r="J1253"/>
      <c r="K1253"/>
      <c r="L1253"/>
    </row>
    <row r="1254" spans="9:12" x14ac:dyDescent="0.3">
      <c r="I1254"/>
      <c r="J1254"/>
      <c r="K1254"/>
      <c r="L1254"/>
    </row>
    <row r="1255" spans="9:12" x14ac:dyDescent="0.3">
      <c r="I1255"/>
      <c r="J1255"/>
      <c r="K1255"/>
      <c r="L1255"/>
    </row>
    <row r="1256" spans="9:12" x14ac:dyDescent="0.3">
      <c r="I1256"/>
      <c r="J1256"/>
      <c r="K1256"/>
      <c r="L1256"/>
    </row>
    <row r="1257" spans="9:12" x14ac:dyDescent="0.3">
      <c r="I1257"/>
      <c r="J1257"/>
      <c r="K1257"/>
      <c r="L1257"/>
    </row>
    <row r="1258" spans="9:12" x14ac:dyDescent="0.3">
      <c r="I1258"/>
      <c r="J1258"/>
      <c r="K1258"/>
      <c r="L1258"/>
    </row>
    <row r="1259" spans="9:12" x14ac:dyDescent="0.3">
      <c r="I1259"/>
      <c r="J1259"/>
      <c r="K1259"/>
      <c r="L1259"/>
    </row>
    <row r="1260" spans="9:12" x14ac:dyDescent="0.3">
      <c r="I1260"/>
      <c r="J1260"/>
      <c r="K1260"/>
      <c r="L1260"/>
    </row>
    <row r="1261" spans="9:12" x14ac:dyDescent="0.3">
      <c r="I1261"/>
      <c r="J1261"/>
      <c r="K1261"/>
      <c r="L1261"/>
    </row>
    <row r="1262" spans="9:12" x14ac:dyDescent="0.3">
      <c r="I1262"/>
      <c r="J1262"/>
      <c r="K1262"/>
      <c r="L1262"/>
    </row>
    <row r="1263" spans="9:12" x14ac:dyDescent="0.3">
      <c r="I1263"/>
      <c r="J1263"/>
      <c r="K1263"/>
      <c r="L1263"/>
    </row>
    <row r="1264" spans="9:12" x14ac:dyDescent="0.3">
      <c r="I1264"/>
      <c r="J1264"/>
      <c r="K1264"/>
      <c r="L1264"/>
    </row>
    <row r="1265" spans="9:12" x14ac:dyDescent="0.3">
      <c r="I1265"/>
      <c r="J1265"/>
      <c r="K1265"/>
      <c r="L1265"/>
    </row>
    <row r="1266" spans="9:12" x14ac:dyDescent="0.3">
      <c r="I1266"/>
      <c r="J1266"/>
      <c r="K1266"/>
      <c r="L1266"/>
    </row>
    <row r="1267" spans="9:12" x14ac:dyDescent="0.3">
      <c r="I1267"/>
      <c r="J1267"/>
      <c r="K1267"/>
      <c r="L1267"/>
    </row>
    <row r="1268" spans="9:12" x14ac:dyDescent="0.3">
      <c r="I1268"/>
      <c r="J1268"/>
      <c r="K1268"/>
      <c r="L1268"/>
    </row>
    <row r="1269" spans="9:12" x14ac:dyDescent="0.3">
      <c r="I1269"/>
      <c r="J1269"/>
      <c r="K1269"/>
      <c r="L1269"/>
    </row>
    <row r="1270" spans="9:12" x14ac:dyDescent="0.3">
      <c r="I1270"/>
      <c r="J1270"/>
      <c r="K1270"/>
      <c r="L1270"/>
    </row>
    <row r="1271" spans="9:12" x14ac:dyDescent="0.3">
      <c r="I1271"/>
      <c r="J1271"/>
      <c r="K1271"/>
      <c r="L1271"/>
    </row>
    <row r="1272" spans="9:12" x14ac:dyDescent="0.3">
      <c r="I1272"/>
      <c r="J1272"/>
      <c r="K1272"/>
      <c r="L1272"/>
    </row>
    <row r="1273" spans="9:12" x14ac:dyDescent="0.3">
      <c r="I1273"/>
      <c r="J1273"/>
      <c r="K1273"/>
      <c r="L1273"/>
    </row>
    <row r="1274" spans="9:12" x14ac:dyDescent="0.3">
      <c r="I1274"/>
      <c r="J1274"/>
      <c r="K1274"/>
      <c r="L1274"/>
    </row>
    <row r="1275" spans="9:12" x14ac:dyDescent="0.3">
      <c r="I1275"/>
      <c r="J1275"/>
      <c r="K1275"/>
      <c r="L1275"/>
    </row>
    <row r="1276" spans="9:12" x14ac:dyDescent="0.3">
      <c r="I1276"/>
      <c r="J1276"/>
      <c r="K1276"/>
      <c r="L1276"/>
    </row>
    <row r="1277" spans="9:12" x14ac:dyDescent="0.3">
      <c r="I1277"/>
      <c r="J1277"/>
      <c r="K1277"/>
      <c r="L1277"/>
    </row>
    <row r="1278" spans="9:12" x14ac:dyDescent="0.3">
      <c r="I1278"/>
      <c r="J1278"/>
      <c r="K1278"/>
      <c r="L1278"/>
    </row>
    <row r="1279" spans="9:12" x14ac:dyDescent="0.3">
      <c r="I1279"/>
      <c r="J1279"/>
      <c r="K1279"/>
      <c r="L1279"/>
    </row>
    <row r="1280" spans="9:12" x14ac:dyDescent="0.3">
      <c r="I1280"/>
      <c r="J1280"/>
      <c r="K1280"/>
      <c r="L1280"/>
    </row>
    <row r="1281" spans="9:12" x14ac:dyDescent="0.3">
      <c r="I1281"/>
      <c r="J1281"/>
      <c r="K1281"/>
      <c r="L1281"/>
    </row>
    <row r="1282" spans="9:12" x14ac:dyDescent="0.3">
      <c r="I1282"/>
      <c r="J1282"/>
      <c r="K1282"/>
      <c r="L1282"/>
    </row>
    <row r="1283" spans="9:12" x14ac:dyDescent="0.3">
      <c r="I1283"/>
      <c r="J1283"/>
      <c r="K1283"/>
      <c r="L1283"/>
    </row>
    <row r="1284" spans="9:12" x14ac:dyDescent="0.3">
      <c r="I1284"/>
      <c r="J1284"/>
      <c r="K1284"/>
      <c r="L1284"/>
    </row>
    <row r="1285" spans="9:12" x14ac:dyDescent="0.3">
      <c r="I1285"/>
      <c r="J1285"/>
      <c r="K1285"/>
      <c r="L1285"/>
    </row>
    <row r="1286" spans="9:12" x14ac:dyDescent="0.3">
      <c r="I1286"/>
      <c r="J1286"/>
      <c r="K1286"/>
      <c r="L1286"/>
    </row>
    <row r="1287" spans="9:12" x14ac:dyDescent="0.3">
      <c r="I1287"/>
      <c r="J1287"/>
      <c r="K1287"/>
      <c r="L1287"/>
    </row>
    <row r="1288" spans="9:12" x14ac:dyDescent="0.3">
      <c r="I1288"/>
      <c r="J1288"/>
      <c r="K1288"/>
      <c r="L1288"/>
    </row>
    <row r="1289" spans="9:12" x14ac:dyDescent="0.3">
      <c r="I1289"/>
      <c r="J1289"/>
      <c r="K1289"/>
      <c r="L1289"/>
    </row>
    <row r="1290" spans="9:12" x14ac:dyDescent="0.3">
      <c r="I1290"/>
      <c r="J1290"/>
      <c r="K1290"/>
      <c r="L1290"/>
    </row>
    <row r="1291" spans="9:12" x14ac:dyDescent="0.3">
      <c r="I1291"/>
      <c r="J1291"/>
      <c r="K1291"/>
      <c r="L1291"/>
    </row>
    <row r="1292" spans="9:12" x14ac:dyDescent="0.3">
      <c r="I1292"/>
      <c r="J1292"/>
      <c r="K1292"/>
      <c r="L1292"/>
    </row>
    <row r="1293" spans="9:12" x14ac:dyDescent="0.3">
      <c r="I1293"/>
      <c r="J1293"/>
      <c r="K1293"/>
      <c r="L1293"/>
    </row>
    <row r="1294" spans="9:12" x14ac:dyDescent="0.3">
      <c r="I1294"/>
      <c r="J1294"/>
      <c r="K1294"/>
      <c r="L1294"/>
    </row>
    <row r="1295" spans="9:12" x14ac:dyDescent="0.3">
      <c r="I1295"/>
      <c r="J1295"/>
      <c r="K1295"/>
      <c r="L1295"/>
    </row>
    <row r="1296" spans="9:12" x14ac:dyDescent="0.3">
      <c r="I1296"/>
      <c r="J1296"/>
      <c r="K1296"/>
      <c r="L1296"/>
    </row>
    <row r="1297" spans="9:12" x14ac:dyDescent="0.3">
      <c r="I1297"/>
      <c r="J1297"/>
      <c r="K1297"/>
      <c r="L1297"/>
    </row>
    <row r="1298" spans="9:12" x14ac:dyDescent="0.3">
      <c r="I1298"/>
      <c r="J1298"/>
      <c r="K1298"/>
      <c r="L1298"/>
    </row>
    <row r="1299" spans="9:12" x14ac:dyDescent="0.3">
      <c r="I1299"/>
      <c r="J1299"/>
      <c r="K1299"/>
      <c r="L1299"/>
    </row>
    <row r="1300" spans="9:12" x14ac:dyDescent="0.3">
      <c r="I1300"/>
      <c r="J1300"/>
      <c r="K1300"/>
      <c r="L1300"/>
    </row>
    <row r="1301" spans="9:12" x14ac:dyDescent="0.3">
      <c r="I1301"/>
      <c r="J1301"/>
      <c r="K1301"/>
      <c r="L1301"/>
    </row>
    <row r="1302" spans="9:12" x14ac:dyDescent="0.3">
      <c r="I1302"/>
      <c r="J1302"/>
      <c r="K1302"/>
      <c r="L1302"/>
    </row>
    <row r="1303" spans="9:12" x14ac:dyDescent="0.3">
      <c r="I1303"/>
      <c r="J1303"/>
      <c r="K1303"/>
      <c r="L1303"/>
    </row>
    <row r="1304" spans="9:12" x14ac:dyDescent="0.3">
      <c r="I1304"/>
      <c r="J1304"/>
      <c r="K1304"/>
      <c r="L1304"/>
    </row>
    <row r="1305" spans="9:12" x14ac:dyDescent="0.3">
      <c r="I1305"/>
      <c r="J1305"/>
      <c r="K1305"/>
      <c r="L1305"/>
    </row>
    <row r="1306" spans="9:12" x14ac:dyDescent="0.3">
      <c r="I1306"/>
      <c r="J1306"/>
      <c r="K1306"/>
      <c r="L1306"/>
    </row>
    <row r="1307" spans="9:12" x14ac:dyDescent="0.3">
      <c r="I1307"/>
      <c r="J1307"/>
      <c r="K1307"/>
      <c r="L1307"/>
    </row>
    <row r="1308" spans="9:12" x14ac:dyDescent="0.3">
      <c r="I1308"/>
      <c r="J1308"/>
      <c r="K1308"/>
      <c r="L1308"/>
    </row>
    <row r="1309" spans="9:12" x14ac:dyDescent="0.3">
      <c r="I1309"/>
      <c r="J1309"/>
      <c r="K1309"/>
      <c r="L1309"/>
    </row>
    <row r="1310" spans="9:12" x14ac:dyDescent="0.3">
      <c r="I1310"/>
      <c r="J1310"/>
      <c r="K1310"/>
      <c r="L1310"/>
    </row>
    <row r="1311" spans="9:12" x14ac:dyDescent="0.3">
      <c r="I1311"/>
      <c r="J1311"/>
      <c r="K1311"/>
      <c r="L1311"/>
    </row>
    <row r="1312" spans="9:12" x14ac:dyDescent="0.3">
      <c r="I1312"/>
      <c r="J1312"/>
      <c r="K1312"/>
      <c r="L1312"/>
    </row>
    <row r="1313" spans="9:12" x14ac:dyDescent="0.3">
      <c r="I1313"/>
      <c r="J1313"/>
      <c r="K1313"/>
      <c r="L1313"/>
    </row>
    <row r="1314" spans="9:12" x14ac:dyDescent="0.3">
      <c r="I1314"/>
      <c r="J1314"/>
      <c r="K1314"/>
      <c r="L1314"/>
    </row>
    <row r="1315" spans="9:12" x14ac:dyDescent="0.3">
      <c r="I1315"/>
      <c r="J1315"/>
      <c r="K1315"/>
      <c r="L1315"/>
    </row>
    <row r="1316" spans="9:12" x14ac:dyDescent="0.3">
      <c r="I1316"/>
      <c r="J1316"/>
      <c r="K1316"/>
      <c r="L1316"/>
    </row>
    <row r="1317" spans="9:12" x14ac:dyDescent="0.3">
      <c r="I1317"/>
      <c r="J1317"/>
      <c r="K1317"/>
      <c r="L1317"/>
    </row>
    <row r="1318" spans="9:12" x14ac:dyDescent="0.3">
      <c r="I1318"/>
      <c r="J1318"/>
      <c r="K1318"/>
      <c r="L1318"/>
    </row>
    <row r="1319" spans="9:12" x14ac:dyDescent="0.3">
      <c r="I1319"/>
      <c r="J1319"/>
      <c r="K1319"/>
      <c r="L1319"/>
    </row>
    <row r="1320" spans="9:12" x14ac:dyDescent="0.3">
      <c r="I1320"/>
      <c r="J1320"/>
      <c r="K1320"/>
      <c r="L1320"/>
    </row>
    <row r="1321" spans="9:12" x14ac:dyDescent="0.3">
      <c r="I1321"/>
      <c r="J1321"/>
      <c r="K1321"/>
      <c r="L1321"/>
    </row>
    <row r="1322" spans="9:12" x14ac:dyDescent="0.3">
      <c r="I1322"/>
      <c r="J1322"/>
      <c r="K1322"/>
      <c r="L1322"/>
    </row>
    <row r="1323" spans="9:12" x14ac:dyDescent="0.3">
      <c r="I1323"/>
      <c r="J1323"/>
      <c r="K1323"/>
      <c r="L1323"/>
    </row>
    <row r="1324" spans="9:12" x14ac:dyDescent="0.3">
      <c r="I1324"/>
      <c r="J1324"/>
      <c r="K1324"/>
      <c r="L1324"/>
    </row>
    <row r="1325" spans="9:12" x14ac:dyDescent="0.3">
      <c r="I1325"/>
      <c r="J1325"/>
      <c r="K1325"/>
      <c r="L1325"/>
    </row>
    <row r="1326" spans="9:12" x14ac:dyDescent="0.3">
      <c r="I1326"/>
      <c r="J1326"/>
      <c r="K1326"/>
      <c r="L1326"/>
    </row>
    <row r="1327" spans="9:12" x14ac:dyDescent="0.3">
      <c r="I1327"/>
      <c r="J1327"/>
      <c r="K1327"/>
      <c r="L1327"/>
    </row>
    <row r="1328" spans="9:12" x14ac:dyDescent="0.3">
      <c r="I1328"/>
      <c r="J1328"/>
      <c r="K1328"/>
      <c r="L1328"/>
    </row>
    <row r="1329" spans="9:12" x14ac:dyDescent="0.3">
      <c r="I1329"/>
      <c r="J1329"/>
      <c r="K1329"/>
      <c r="L1329"/>
    </row>
    <row r="1330" spans="9:12" x14ac:dyDescent="0.3">
      <c r="I1330"/>
      <c r="J1330"/>
      <c r="K1330"/>
      <c r="L1330"/>
    </row>
    <row r="1331" spans="9:12" x14ac:dyDescent="0.3">
      <c r="I1331"/>
      <c r="J1331"/>
      <c r="K1331"/>
      <c r="L1331"/>
    </row>
    <row r="1332" spans="9:12" x14ac:dyDescent="0.3">
      <c r="I1332"/>
      <c r="J1332"/>
      <c r="K1332"/>
      <c r="L1332"/>
    </row>
    <row r="1333" spans="9:12" x14ac:dyDescent="0.3">
      <c r="I1333"/>
      <c r="J1333"/>
      <c r="K1333"/>
      <c r="L1333"/>
    </row>
    <row r="1334" spans="9:12" x14ac:dyDescent="0.3">
      <c r="I1334"/>
      <c r="J1334"/>
      <c r="K1334"/>
      <c r="L1334"/>
    </row>
    <row r="1335" spans="9:12" x14ac:dyDescent="0.3">
      <c r="I1335"/>
      <c r="J1335"/>
      <c r="K1335"/>
      <c r="L1335"/>
    </row>
    <row r="1336" spans="9:12" x14ac:dyDescent="0.3">
      <c r="I1336"/>
      <c r="J1336"/>
      <c r="K1336"/>
      <c r="L1336"/>
    </row>
    <row r="1337" spans="9:12" x14ac:dyDescent="0.3">
      <c r="I1337"/>
      <c r="J1337"/>
      <c r="K1337"/>
      <c r="L1337"/>
    </row>
    <row r="1338" spans="9:12" x14ac:dyDescent="0.3">
      <c r="I1338"/>
      <c r="J1338"/>
      <c r="K1338"/>
      <c r="L1338"/>
    </row>
    <row r="1339" spans="9:12" x14ac:dyDescent="0.3">
      <c r="I1339"/>
      <c r="J1339"/>
      <c r="K1339"/>
      <c r="L1339"/>
    </row>
    <row r="1340" spans="9:12" x14ac:dyDescent="0.3">
      <c r="I1340"/>
      <c r="J1340"/>
      <c r="K1340"/>
      <c r="L1340"/>
    </row>
    <row r="1341" spans="9:12" x14ac:dyDescent="0.3">
      <c r="I1341"/>
      <c r="J1341"/>
      <c r="K1341"/>
      <c r="L1341"/>
    </row>
    <row r="1342" spans="9:12" x14ac:dyDescent="0.3">
      <c r="I1342"/>
      <c r="J1342"/>
      <c r="K1342"/>
      <c r="L1342"/>
    </row>
    <row r="1343" spans="9:12" x14ac:dyDescent="0.3">
      <c r="I1343"/>
      <c r="J1343"/>
      <c r="K1343"/>
      <c r="L1343"/>
    </row>
    <row r="1344" spans="9:12" x14ac:dyDescent="0.3">
      <c r="I1344"/>
      <c r="J1344"/>
      <c r="K1344"/>
      <c r="L1344"/>
    </row>
    <row r="1345" spans="9:12" x14ac:dyDescent="0.3">
      <c r="I1345"/>
      <c r="J1345"/>
      <c r="K1345"/>
      <c r="L1345"/>
    </row>
    <row r="1346" spans="9:12" x14ac:dyDescent="0.3">
      <c r="I1346"/>
      <c r="J1346"/>
      <c r="K1346"/>
      <c r="L1346"/>
    </row>
    <row r="1347" spans="9:12" x14ac:dyDescent="0.3">
      <c r="I1347"/>
      <c r="J1347"/>
      <c r="K1347"/>
      <c r="L1347"/>
    </row>
    <row r="1348" spans="9:12" x14ac:dyDescent="0.3">
      <c r="I1348"/>
      <c r="J1348"/>
      <c r="K1348"/>
      <c r="L1348"/>
    </row>
    <row r="1349" spans="9:12" x14ac:dyDescent="0.3">
      <c r="I1349"/>
      <c r="J1349"/>
      <c r="K1349"/>
      <c r="L1349"/>
    </row>
    <row r="1350" spans="9:12" x14ac:dyDescent="0.3">
      <c r="I1350"/>
      <c r="J1350"/>
      <c r="K1350"/>
      <c r="L1350"/>
    </row>
    <row r="1351" spans="9:12" x14ac:dyDescent="0.3">
      <c r="I1351"/>
      <c r="J1351"/>
      <c r="K1351"/>
      <c r="L1351"/>
    </row>
    <row r="1352" spans="9:12" x14ac:dyDescent="0.3">
      <c r="I1352"/>
      <c r="J1352"/>
      <c r="K1352"/>
      <c r="L1352"/>
    </row>
    <row r="1353" spans="9:12" x14ac:dyDescent="0.3">
      <c r="I1353"/>
      <c r="J1353"/>
      <c r="K1353"/>
      <c r="L1353"/>
    </row>
    <row r="1354" spans="9:12" x14ac:dyDescent="0.3">
      <c r="I1354"/>
      <c r="J1354"/>
      <c r="K1354"/>
      <c r="L1354"/>
    </row>
    <row r="1355" spans="9:12" x14ac:dyDescent="0.3">
      <c r="I1355"/>
      <c r="J1355"/>
      <c r="K1355"/>
      <c r="L1355"/>
    </row>
    <row r="1356" spans="9:12" x14ac:dyDescent="0.3">
      <c r="I1356"/>
      <c r="J1356"/>
      <c r="K1356"/>
      <c r="L1356"/>
    </row>
    <row r="1357" spans="9:12" x14ac:dyDescent="0.3">
      <c r="I1357"/>
      <c r="J1357"/>
      <c r="K1357"/>
      <c r="L1357"/>
    </row>
    <row r="1358" spans="9:12" x14ac:dyDescent="0.3">
      <c r="I1358"/>
      <c r="J1358"/>
      <c r="K1358"/>
      <c r="L1358"/>
    </row>
    <row r="1359" spans="9:12" x14ac:dyDescent="0.3">
      <c r="I1359"/>
      <c r="J1359"/>
      <c r="K1359"/>
      <c r="L1359"/>
    </row>
    <row r="1360" spans="9:12" x14ac:dyDescent="0.3">
      <c r="I1360"/>
      <c r="J1360"/>
      <c r="K1360"/>
      <c r="L1360"/>
    </row>
    <row r="1361" spans="9:12" x14ac:dyDescent="0.3">
      <c r="I1361"/>
      <c r="J1361"/>
      <c r="K1361"/>
      <c r="L1361"/>
    </row>
    <row r="1362" spans="9:12" x14ac:dyDescent="0.3">
      <c r="I1362"/>
      <c r="J1362"/>
      <c r="K1362"/>
      <c r="L1362"/>
    </row>
    <row r="1363" spans="9:12" x14ac:dyDescent="0.3">
      <c r="I1363"/>
      <c r="J1363"/>
      <c r="K1363"/>
      <c r="L1363"/>
    </row>
    <row r="1364" spans="9:12" x14ac:dyDescent="0.3">
      <c r="I1364"/>
      <c r="J1364"/>
      <c r="K1364"/>
      <c r="L1364"/>
    </row>
    <row r="1365" spans="9:12" x14ac:dyDescent="0.3">
      <c r="I1365"/>
      <c r="J1365"/>
      <c r="K1365"/>
      <c r="L1365"/>
    </row>
    <row r="1366" spans="9:12" x14ac:dyDescent="0.3">
      <c r="I1366"/>
      <c r="J1366"/>
      <c r="K1366"/>
      <c r="L1366"/>
    </row>
    <row r="1367" spans="9:12" x14ac:dyDescent="0.3">
      <c r="I1367"/>
      <c r="J1367"/>
      <c r="K1367"/>
      <c r="L1367"/>
    </row>
    <row r="1368" spans="9:12" x14ac:dyDescent="0.3">
      <c r="I1368"/>
      <c r="J1368"/>
      <c r="K1368"/>
      <c r="L1368"/>
    </row>
    <row r="1369" spans="9:12" x14ac:dyDescent="0.3">
      <c r="I1369"/>
      <c r="J1369"/>
      <c r="K1369"/>
      <c r="L1369"/>
    </row>
    <row r="1370" spans="9:12" x14ac:dyDescent="0.3">
      <c r="I1370"/>
      <c r="J1370"/>
      <c r="K1370"/>
      <c r="L1370"/>
    </row>
    <row r="1371" spans="9:12" x14ac:dyDescent="0.3">
      <c r="I1371"/>
      <c r="J1371"/>
      <c r="K1371"/>
      <c r="L1371"/>
    </row>
    <row r="1372" spans="9:12" x14ac:dyDescent="0.3">
      <c r="I1372"/>
      <c r="J1372"/>
      <c r="K1372"/>
      <c r="L1372"/>
    </row>
    <row r="1373" spans="9:12" x14ac:dyDescent="0.3">
      <c r="I1373"/>
      <c r="J1373"/>
      <c r="K1373"/>
      <c r="L1373"/>
    </row>
    <row r="1374" spans="9:12" x14ac:dyDescent="0.3">
      <c r="I1374"/>
      <c r="J1374"/>
      <c r="K1374"/>
      <c r="L1374"/>
    </row>
    <row r="1375" spans="9:12" x14ac:dyDescent="0.3">
      <c r="I1375"/>
      <c r="J1375"/>
      <c r="K1375"/>
      <c r="L1375"/>
    </row>
    <row r="1376" spans="9:12" x14ac:dyDescent="0.3">
      <c r="I1376"/>
      <c r="J1376"/>
      <c r="K1376"/>
      <c r="L1376"/>
    </row>
    <row r="1377" spans="9:12" x14ac:dyDescent="0.3">
      <c r="I1377"/>
      <c r="J1377"/>
      <c r="K1377"/>
      <c r="L1377"/>
    </row>
    <row r="1378" spans="9:12" x14ac:dyDescent="0.3">
      <c r="I1378"/>
      <c r="J1378"/>
      <c r="K1378"/>
      <c r="L1378"/>
    </row>
    <row r="1379" spans="9:12" x14ac:dyDescent="0.3">
      <c r="I1379"/>
      <c r="J1379"/>
      <c r="K1379"/>
      <c r="L1379"/>
    </row>
    <row r="1380" spans="9:12" x14ac:dyDescent="0.3">
      <c r="I1380"/>
      <c r="J1380"/>
      <c r="K1380"/>
      <c r="L1380"/>
    </row>
    <row r="1381" spans="9:12" x14ac:dyDescent="0.3">
      <c r="I1381"/>
      <c r="J1381"/>
      <c r="K1381"/>
      <c r="L1381"/>
    </row>
    <row r="1382" spans="9:12" x14ac:dyDescent="0.3">
      <c r="I1382"/>
      <c r="J1382"/>
      <c r="K1382"/>
      <c r="L1382"/>
    </row>
    <row r="1383" spans="9:12" x14ac:dyDescent="0.3">
      <c r="I1383"/>
      <c r="J1383"/>
      <c r="K1383"/>
      <c r="L1383"/>
    </row>
    <row r="1384" spans="9:12" x14ac:dyDescent="0.3">
      <c r="I1384"/>
      <c r="J1384"/>
      <c r="K1384"/>
      <c r="L1384"/>
    </row>
    <row r="1385" spans="9:12" x14ac:dyDescent="0.3">
      <c r="I1385"/>
      <c r="J1385"/>
      <c r="K1385"/>
      <c r="L1385"/>
    </row>
    <row r="1386" spans="9:12" x14ac:dyDescent="0.3">
      <c r="I1386"/>
      <c r="J1386"/>
      <c r="K1386"/>
      <c r="L1386"/>
    </row>
    <row r="1387" spans="9:12" x14ac:dyDescent="0.3">
      <c r="I1387"/>
      <c r="J1387"/>
      <c r="K1387"/>
      <c r="L1387"/>
    </row>
    <row r="1388" spans="9:12" x14ac:dyDescent="0.3">
      <c r="I1388"/>
      <c r="J1388"/>
      <c r="K1388"/>
      <c r="L1388"/>
    </row>
    <row r="1389" spans="9:12" x14ac:dyDescent="0.3">
      <c r="I1389"/>
      <c r="J1389"/>
      <c r="K1389"/>
      <c r="L1389"/>
    </row>
    <row r="1390" spans="9:12" x14ac:dyDescent="0.3">
      <c r="I1390"/>
      <c r="J1390"/>
      <c r="K1390"/>
      <c r="L1390"/>
    </row>
    <row r="1391" spans="9:12" x14ac:dyDescent="0.3">
      <c r="I1391"/>
      <c r="J1391"/>
      <c r="K1391"/>
      <c r="L1391"/>
    </row>
    <row r="1392" spans="9:12" x14ac:dyDescent="0.3">
      <c r="I1392"/>
      <c r="J1392"/>
      <c r="K1392"/>
      <c r="L1392"/>
    </row>
    <row r="1393" spans="9:12" x14ac:dyDescent="0.3">
      <c r="I1393"/>
      <c r="J1393"/>
      <c r="K1393"/>
      <c r="L1393"/>
    </row>
    <row r="1394" spans="9:12" x14ac:dyDescent="0.3">
      <c r="I1394"/>
      <c r="J1394"/>
      <c r="K1394"/>
      <c r="L1394"/>
    </row>
    <row r="1395" spans="9:12" x14ac:dyDescent="0.3">
      <c r="I1395"/>
      <c r="J1395"/>
      <c r="K1395"/>
      <c r="L1395"/>
    </row>
    <row r="1396" spans="9:12" x14ac:dyDescent="0.3">
      <c r="I1396"/>
      <c r="J1396"/>
      <c r="K1396"/>
      <c r="L1396"/>
    </row>
    <row r="1397" spans="9:12" x14ac:dyDescent="0.3">
      <c r="I1397"/>
      <c r="J1397"/>
      <c r="K1397"/>
      <c r="L1397"/>
    </row>
    <row r="1398" spans="9:12" x14ac:dyDescent="0.3">
      <c r="I1398"/>
      <c r="J1398"/>
      <c r="K1398"/>
      <c r="L1398"/>
    </row>
    <row r="1399" spans="9:12" x14ac:dyDescent="0.3">
      <c r="I1399"/>
      <c r="J1399"/>
      <c r="K1399"/>
      <c r="L1399"/>
    </row>
    <row r="1400" spans="9:12" x14ac:dyDescent="0.3">
      <c r="I1400"/>
      <c r="J1400"/>
      <c r="K1400"/>
      <c r="L1400"/>
    </row>
    <row r="1401" spans="9:12" x14ac:dyDescent="0.3">
      <c r="I1401"/>
      <c r="J1401"/>
      <c r="K1401"/>
      <c r="L1401"/>
    </row>
    <row r="1402" spans="9:12" x14ac:dyDescent="0.3">
      <c r="I1402"/>
      <c r="J1402"/>
      <c r="K1402"/>
      <c r="L1402"/>
    </row>
    <row r="1403" spans="9:12" x14ac:dyDescent="0.3">
      <c r="I1403"/>
      <c r="J1403"/>
      <c r="K1403"/>
      <c r="L1403"/>
    </row>
    <row r="1404" spans="9:12" x14ac:dyDescent="0.3">
      <c r="I1404"/>
      <c r="J1404"/>
      <c r="K1404"/>
      <c r="L1404"/>
    </row>
    <row r="1405" spans="9:12" x14ac:dyDescent="0.3">
      <c r="I1405"/>
      <c r="J1405"/>
      <c r="K1405"/>
      <c r="L1405"/>
    </row>
    <row r="1406" spans="9:12" x14ac:dyDescent="0.3">
      <c r="I1406"/>
      <c r="J1406"/>
      <c r="K1406"/>
      <c r="L1406"/>
    </row>
    <row r="1407" spans="9:12" x14ac:dyDescent="0.3">
      <c r="I1407"/>
      <c r="J1407"/>
      <c r="K1407"/>
      <c r="L1407"/>
    </row>
    <row r="1408" spans="9:12" x14ac:dyDescent="0.3">
      <c r="I1408"/>
      <c r="J1408"/>
      <c r="K1408"/>
      <c r="L1408"/>
    </row>
    <row r="1409" spans="9:12" x14ac:dyDescent="0.3">
      <c r="I1409"/>
      <c r="J1409"/>
      <c r="K1409"/>
      <c r="L1409"/>
    </row>
    <row r="1410" spans="9:12" x14ac:dyDescent="0.3">
      <c r="I1410"/>
      <c r="J1410"/>
      <c r="K1410"/>
      <c r="L1410"/>
    </row>
    <row r="1411" spans="9:12" x14ac:dyDescent="0.3">
      <c r="I1411"/>
      <c r="J1411"/>
      <c r="K1411"/>
      <c r="L1411"/>
    </row>
    <row r="1412" spans="9:12" x14ac:dyDescent="0.3">
      <c r="I1412"/>
      <c r="J1412"/>
      <c r="K1412"/>
      <c r="L1412"/>
    </row>
    <row r="1413" spans="9:12" x14ac:dyDescent="0.3">
      <c r="I1413"/>
      <c r="J1413"/>
      <c r="K1413"/>
      <c r="L1413"/>
    </row>
    <row r="1414" spans="9:12" x14ac:dyDescent="0.3">
      <c r="I1414"/>
      <c r="J1414"/>
      <c r="K1414"/>
      <c r="L1414"/>
    </row>
    <row r="1415" spans="9:12" x14ac:dyDescent="0.3">
      <c r="I1415"/>
      <c r="J1415"/>
      <c r="K1415"/>
      <c r="L1415"/>
    </row>
    <row r="1416" spans="9:12" x14ac:dyDescent="0.3">
      <c r="I1416"/>
      <c r="J1416"/>
      <c r="K1416"/>
      <c r="L1416"/>
    </row>
    <row r="1417" spans="9:12" x14ac:dyDescent="0.3">
      <c r="I1417"/>
      <c r="J1417"/>
      <c r="K1417"/>
      <c r="L1417"/>
    </row>
    <row r="1418" spans="9:12" x14ac:dyDescent="0.3">
      <c r="I1418"/>
      <c r="J1418"/>
      <c r="K1418"/>
      <c r="L1418"/>
    </row>
    <row r="1419" spans="9:12" x14ac:dyDescent="0.3">
      <c r="I1419"/>
      <c r="J1419"/>
      <c r="K1419"/>
      <c r="L1419"/>
    </row>
    <row r="1420" spans="9:12" x14ac:dyDescent="0.3">
      <c r="I1420"/>
      <c r="J1420"/>
      <c r="K1420"/>
      <c r="L1420"/>
    </row>
    <row r="1421" spans="9:12" x14ac:dyDescent="0.3">
      <c r="I1421"/>
      <c r="J1421"/>
      <c r="K1421"/>
      <c r="L1421"/>
    </row>
    <row r="1422" spans="9:12" x14ac:dyDescent="0.3">
      <c r="I1422"/>
      <c r="J1422"/>
      <c r="K1422"/>
      <c r="L1422"/>
    </row>
    <row r="1423" spans="9:12" x14ac:dyDescent="0.3">
      <c r="I1423"/>
      <c r="J1423"/>
      <c r="K1423"/>
      <c r="L1423"/>
    </row>
    <row r="1424" spans="9:12" x14ac:dyDescent="0.3">
      <c r="I1424"/>
      <c r="J1424"/>
      <c r="K1424"/>
      <c r="L1424"/>
    </row>
    <row r="1425" spans="9:12" x14ac:dyDescent="0.3">
      <c r="I1425"/>
      <c r="J1425"/>
      <c r="K1425"/>
      <c r="L1425"/>
    </row>
    <row r="1426" spans="9:12" x14ac:dyDescent="0.3">
      <c r="I1426"/>
      <c r="J1426"/>
      <c r="K1426"/>
      <c r="L1426"/>
    </row>
    <row r="1427" spans="9:12" x14ac:dyDescent="0.3">
      <c r="I1427"/>
      <c r="J1427"/>
      <c r="K1427"/>
      <c r="L1427"/>
    </row>
    <row r="1428" spans="9:12" x14ac:dyDescent="0.3">
      <c r="I1428"/>
      <c r="J1428"/>
      <c r="K1428"/>
      <c r="L1428"/>
    </row>
    <row r="1429" spans="9:12" x14ac:dyDescent="0.3">
      <c r="I1429"/>
      <c r="J1429"/>
      <c r="K1429"/>
      <c r="L1429"/>
    </row>
    <row r="1430" spans="9:12" x14ac:dyDescent="0.3">
      <c r="I1430"/>
      <c r="J1430"/>
      <c r="K1430"/>
      <c r="L1430"/>
    </row>
    <row r="1431" spans="9:12" x14ac:dyDescent="0.3">
      <c r="I1431"/>
      <c r="J1431"/>
      <c r="K1431"/>
      <c r="L1431"/>
    </row>
    <row r="1432" spans="9:12" x14ac:dyDescent="0.3">
      <c r="I1432"/>
      <c r="J1432"/>
      <c r="K1432"/>
      <c r="L1432"/>
    </row>
    <row r="1433" spans="9:12" x14ac:dyDescent="0.3">
      <c r="I1433"/>
      <c r="J1433"/>
      <c r="K1433"/>
      <c r="L1433"/>
    </row>
    <row r="1434" spans="9:12" x14ac:dyDescent="0.3">
      <c r="I1434"/>
      <c r="J1434"/>
      <c r="K1434"/>
      <c r="L1434"/>
    </row>
    <row r="1435" spans="9:12" x14ac:dyDescent="0.3">
      <c r="I1435"/>
      <c r="J1435"/>
      <c r="K1435"/>
      <c r="L1435"/>
    </row>
    <row r="1436" spans="9:12" x14ac:dyDescent="0.3">
      <c r="I1436"/>
      <c r="J1436"/>
      <c r="K1436"/>
      <c r="L1436"/>
    </row>
    <row r="1437" spans="9:12" x14ac:dyDescent="0.3">
      <c r="I1437"/>
      <c r="J1437"/>
      <c r="K1437"/>
      <c r="L1437"/>
    </row>
    <row r="1438" spans="9:12" x14ac:dyDescent="0.3">
      <c r="I1438"/>
      <c r="J1438"/>
      <c r="K1438"/>
      <c r="L1438"/>
    </row>
    <row r="1439" spans="9:12" x14ac:dyDescent="0.3">
      <c r="I1439"/>
      <c r="J1439"/>
      <c r="K1439"/>
      <c r="L1439"/>
    </row>
    <row r="1440" spans="9:12" x14ac:dyDescent="0.3">
      <c r="I1440"/>
      <c r="J1440"/>
      <c r="K1440"/>
      <c r="L1440"/>
    </row>
    <row r="1441" spans="9:12" x14ac:dyDescent="0.3">
      <c r="I1441"/>
      <c r="J1441"/>
      <c r="K1441"/>
      <c r="L1441"/>
    </row>
    <row r="1442" spans="9:12" x14ac:dyDescent="0.3">
      <c r="I1442"/>
      <c r="J1442"/>
      <c r="K1442"/>
      <c r="L1442"/>
    </row>
    <row r="1443" spans="9:12" x14ac:dyDescent="0.3">
      <c r="I1443"/>
      <c r="J1443"/>
      <c r="K1443"/>
      <c r="L1443"/>
    </row>
    <row r="1444" spans="9:12" x14ac:dyDescent="0.3">
      <c r="I1444"/>
      <c r="J1444"/>
      <c r="K1444"/>
      <c r="L1444"/>
    </row>
    <row r="1445" spans="9:12" x14ac:dyDescent="0.3">
      <c r="I1445"/>
    </row>
    <row r="1446" spans="9:12" x14ac:dyDescent="0.3">
      <c r="I1446"/>
    </row>
    <row r="1447" spans="9:12" x14ac:dyDescent="0.3">
      <c r="I1447"/>
    </row>
    <row r="1448" spans="9:12" x14ac:dyDescent="0.3">
      <c r="I1448"/>
    </row>
    <row r="1449" spans="9:12" x14ac:dyDescent="0.3">
      <c r="I1449"/>
    </row>
    <row r="1450" spans="9:12" x14ac:dyDescent="0.3">
      <c r="I1450"/>
    </row>
    <row r="1451" spans="9:12" x14ac:dyDescent="0.3">
      <c r="I1451"/>
    </row>
    <row r="1452" spans="9:12" x14ac:dyDescent="0.3">
      <c r="I1452"/>
    </row>
    <row r="1453" spans="9:12" x14ac:dyDescent="0.3">
      <c r="I1453"/>
    </row>
    <row r="1454" spans="9:12" x14ac:dyDescent="0.3">
      <c r="I1454"/>
    </row>
    <row r="1455" spans="9:12" x14ac:dyDescent="0.3">
      <c r="I1455"/>
    </row>
    <row r="1456" spans="9:12" x14ac:dyDescent="0.3">
      <c r="I1456"/>
    </row>
    <row r="1457" spans="9:9" x14ac:dyDescent="0.3">
      <c r="I1457"/>
    </row>
    <row r="1458" spans="9:9" x14ac:dyDescent="0.3">
      <c r="I1458"/>
    </row>
    <row r="1459" spans="9:9" x14ac:dyDescent="0.3">
      <c r="I1459"/>
    </row>
    <row r="1460" spans="9:9" x14ac:dyDescent="0.3">
      <c r="I1460"/>
    </row>
    <row r="1461" spans="9:9" x14ac:dyDescent="0.3">
      <c r="I1461"/>
    </row>
    <row r="1462" spans="9:9" x14ac:dyDescent="0.3">
      <c r="I1462"/>
    </row>
    <row r="1463" spans="9:9" x14ac:dyDescent="0.3">
      <c r="I1463"/>
    </row>
    <row r="1464" spans="9:9" x14ac:dyDescent="0.3">
      <c r="I1464"/>
    </row>
    <row r="1465" spans="9:9" x14ac:dyDescent="0.3">
      <c r="I1465"/>
    </row>
    <row r="1466" spans="9:9" x14ac:dyDescent="0.3">
      <c r="I1466"/>
    </row>
    <row r="1467" spans="9:9" x14ac:dyDescent="0.3">
      <c r="I1467"/>
    </row>
    <row r="1468" spans="9:9" x14ac:dyDescent="0.3">
      <c r="I1468"/>
    </row>
    <row r="1469" spans="9:9" x14ac:dyDescent="0.3">
      <c r="I1469"/>
    </row>
    <row r="1470" spans="9:9" x14ac:dyDescent="0.3">
      <c r="I1470"/>
    </row>
    <row r="1471" spans="9:9" x14ac:dyDescent="0.3">
      <c r="I1471"/>
    </row>
    <row r="1472" spans="9:9" x14ac:dyDescent="0.3">
      <c r="I1472"/>
    </row>
    <row r="1473" spans="9:9" x14ac:dyDescent="0.3">
      <c r="I1473"/>
    </row>
    <row r="1474" spans="9:9" x14ac:dyDescent="0.3">
      <c r="I1474"/>
    </row>
    <row r="1475" spans="9:9" x14ac:dyDescent="0.3">
      <c r="I1475"/>
    </row>
    <row r="1476" spans="9:9" x14ac:dyDescent="0.3">
      <c r="I1476"/>
    </row>
    <row r="1477" spans="9:9" x14ac:dyDescent="0.3">
      <c r="I1477"/>
    </row>
    <row r="1478" spans="9:9" x14ac:dyDescent="0.3">
      <c r="I1478"/>
    </row>
    <row r="1479" spans="9:9" x14ac:dyDescent="0.3">
      <c r="I1479"/>
    </row>
    <row r="1480" spans="9:9" x14ac:dyDescent="0.3">
      <c r="I1480"/>
    </row>
    <row r="1481" spans="9:9" x14ac:dyDescent="0.3">
      <c r="I1481"/>
    </row>
    <row r="1482" spans="9:9" x14ac:dyDescent="0.3">
      <c r="I1482"/>
    </row>
    <row r="1483" spans="9:9" x14ac:dyDescent="0.3">
      <c r="I1483"/>
    </row>
    <row r="1484" spans="9:9" x14ac:dyDescent="0.3">
      <c r="I1484"/>
    </row>
    <row r="1485" spans="9:9" x14ac:dyDescent="0.3">
      <c r="I1485"/>
    </row>
    <row r="1486" spans="9:9" x14ac:dyDescent="0.3">
      <c r="I1486"/>
    </row>
    <row r="1487" spans="9:9" x14ac:dyDescent="0.3">
      <c r="I1487"/>
    </row>
    <row r="1488" spans="9:9" x14ac:dyDescent="0.3">
      <c r="I1488"/>
    </row>
    <row r="1489" spans="9:9" x14ac:dyDescent="0.3">
      <c r="I1489"/>
    </row>
    <row r="1490" spans="9:9" x14ac:dyDescent="0.3">
      <c r="I1490"/>
    </row>
    <row r="1491" spans="9:9" x14ac:dyDescent="0.3">
      <c r="I1491"/>
    </row>
    <row r="1492" spans="9:9" x14ac:dyDescent="0.3">
      <c r="I1492"/>
    </row>
    <row r="1493" spans="9:9" x14ac:dyDescent="0.3">
      <c r="I1493"/>
    </row>
    <row r="1494" spans="9:9" x14ac:dyDescent="0.3">
      <c r="I1494"/>
    </row>
    <row r="1495" spans="9:9" x14ac:dyDescent="0.3">
      <c r="I1495"/>
    </row>
    <row r="1496" spans="9:9" x14ac:dyDescent="0.3">
      <c r="I1496"/>
    </row>
    <row r="1497" spans="9:9" x14ac:dyDescent="0.3">
      <c r="I1497"/>
    </row>
    <row r="1498" spans="9:9" x14ac:dyDescent="0.3">
      <c r="I1498"/>
    </row>
    <row r="1499" spans="9:9" x14ac:dyDescent="0.3">
      <c r="I1499"/>
    </row>
    <row r="1500" spans="9:9" x14ac:dyDescent="0.3">
      <c r="I1500"/>
    </row>
    <row r="1501" spans="9:9" x14ac:dyDescent="0.3">
      <c r="I1501"/>
    </row>
    <row r="1502" spans="9:9" x14ac:dyDescent="0.3">
      <c r="I1502"/>
    </row>
    <row r="1503" spans="9:9" x14ac:dyDescent="0.3">
      <c r="I1503"/>
    </row>
    <row r="1504" spans="9:9" x14ac:dyDescent="0.3">
      <c r="I1504"/>
    </row>
    <row r="1505" spans="9:9" x14ac:dyDescent="0.3">
      <c r="I1505"/>
    </row>
    <row r="1506" spans="9:9" x14ac:dyDescent="0.3">
      <c r="I1506"/>
    </row>
    <row r="1507" spans="9:9" x14ac:dyDescent="0.3">
      <c r="I1507"/>
    </row>
    <row r="1508" spans="9:9" x14ac:dyDescent="0.3">
      <c r="I1508"/>
    </row>
    <row r="1509" spans="9:9" x14ac:dyDescent="0.3">
      <c r="I1509"/>
    </row>
    <row r="1510" spans="9:9" x14ac:dyDescent="0.3">
      <c r="I1510"/>
    </row>
    <row r="1511" spans="9:9" x14ac:dyDescent="0.3">
      <c r="I1511"/>
    </row>
    <row r="1512" spans="9:9" x14ac:dyDescent="0.3">
      <c r="I1512"/>
    </row>
    <row r="1513" spans="9:9" x14ac:dyDescent="0.3">
      <c r="I1513"/>
    </row>
    <row r="1514" spans="9:9" x14ac:dyDescent="0.3">
      <c r="I1514"/>
    </row>
    <row r="1515" spans="9:9" x14ac:dyDescent="0.3">
      <c r="I1515"/>
    </row>
    <row r="1516" spans="9:9" x14ac:dyDescent="0.3">
      <c r="I1516"/>
    </row>
    <row r="1517" spans="9:9" x14ac:dyDescent="0.3">
      <c r="I1517"/>
    </row>
    <row r="1518" spans="9:9" x14ac:dyDescent="0.3">
      <c r="I1518"/>
    </row>
    <row r="1519" spans="9:9" x14ac:dyDescent="0.3">
      <c r="I1519"/>
    </row>
    <row r="1520" spans="9:9" x14ac:dyDescent="0.3">
      <c r="I1520"/>
    </row>
    <row r="1521" spans="9:9" x14ac:dyDescent="0.3">
      <c r="I1521"/>
    </row>
    <row r="1522" spans="9:9" x14ac:dyDescent="0.3">
      <c r="I1522"/>
    </row>
    <row r="1523" spans="9:9" x14ac:dyDescent="0.3">
      <c r="I1523"/>
    </row>
    <row r="1524" spans="9:9" x14ac:dyDescent="0.3">
      <c r="I1524"/>
    </row>
    <row r="1525" spans="9:9" x14ac:dyDescent="0.3">
      <c r="I1525"/>
    </row>
    <row r="1526" spans="9:9" x14ac:dyDescent="0.3">
      <c r="I1526"/>
    </row>
  </sheetData>
  <mergeCells count="8">
    <mergeCell ref="S48:U48"/>
    <mergeCell ref="I55:I63"/>
    <mergeCell ref="I64:K64"/>
    <mergeCell ref="I65:K65"/>
    <mergeCell ref="J55:J58"/>
    <mergeCell ref="J59:K59"/>
    <mergeCell ref="J60:J62"/>
    <mergeCell ref="J63:K63"/>
  </mergeCells>
  <pageMargins left="0.511811024" right="0.511811024" top="0.78740157499999996" bottom="0.78740157499999996" header="0.31496062000000002" footer="0.31496062000000002"/>
  <pageSetup paperSize="9" orientation="portrait" r:id="rId2"/>
  <headerFooter>
    <oddHeader>&amp;C&amp;"Calibri"&amp;10&amp;K000000 Concentrix + Webhelp Classified - Confidential&amp;1#_x000D_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62706-159E-4705-B6B8-C8AF74A2F1B9}">
  <sheetPr codeName="Planilha4"/>
  <dimension ref="A1:AA1526"/>
  <sheetViews>
    <sheetView showGridLines="0" topLeftCell="F31" zoomScale="85" zoomScaleNormal="85" workbookViewId="0">
      <selection activeCell="L66" sqref="L66"/>
    </sheetView>
  </sheetViews>
  <sheetFormatPr defaultRowHeight="14.4" x14ac:dyDescent="0.3"/>
  <cols>
    <col min="1" max="1" width="4.33203125" style="1" customWidth="1"/>
    <col min="2" max="6" width="9.33203125" style="1" customWidth="1"/>
    <col min="7" max="7" width="1.44140625" style="1" customWidth="1"/>
    <col min="8" max="8" width="2.6640625" style="3" customWidth="1"/>
    <col min="9" max="9" width="22" style="1" bestFit="1" customWidth="1"/>
    <col min="10" max="10" width="18.6640625" style="12" bestFit="1" customWidth="1"/>
    <col min="11" max="11" width="12.33203125" style="12" customWidth="1"/>
    <col min="12" max="12" width="18.6640625" style="12" bestFit="1" customWidth="1"/>
    <col min="13" max="13" width="10.33203125" style="12" bestFit="1" customWidth="1"/>
    <col min="14" max="14" width="11.6640625" style="12" bestFit="1" customWidth="1"/>
    <col min="15" max="15" width="9.33203125" style="12" bestFit="1" customWidth="1"/>
    <col min="16" max="16" width="11.6640625" style="12" bestFit="1" customWidth="1"/>
    <col min="17" max="18" width="20.44140625" style="12" bestFit="1" customWidth="1"/>
    <col min="19" max="19" width="10.44140625" style="12" bestFit="1" customWidth="1"/>
    <col min="20" max="20" width="19.6640625" style="12" bestFit="1" customWidth="1"/>
    <col min="21" max="21" width="16.33203125" style="12" bestFit="1" customWidth="1"/>
    <col min="22" max="22" width="14.6640625" style="12" bestFit="1" customWidth="1"/>
    <col min="23" max="23" width="15.6640625" style="1" bestFit="1" customWidth="1"/>
    <col min="24" max="24" width="12.33203125" style="1" customWidth="1"/>
    <col min="25" max="25" width="16.44140625" bestFit="1" customWidth="1"/>
    <col min="26" max="26" width="14.6640625" customWidth="1"/>
    <col min="27" max="27" width="10" bestFit="1" customWidth="1"/>
  </cols>
  <sheetData>
    <row r="1" spans="2:22" x14ac:dyDescent="0.3">
      <c r="H1" s="1"/>
    </row>
    <row r="2" spans="2:22" x14ac:dyDescent="0.3">
      <c r="H2" s="1"/>
    </row>
    <row r="3" spans="2:22" x14ac:dyDescent="0.3">
      <c r="B3" s="8"/>
      <c r="C3" s="7"/>
      <c r="D3" s="8"/>
      <c r="E3" s="7"/>
      <c r="F3" s="8"/>
      <c r="G3" s="7"/>
      <c r="H3" s="9"/>
    </row>
    <row r="4" spans="2:22" x14ac:dyDescent="0.3">
      <c r="B4" s="8"/>
      <c r="C4" s="7"/>
      <c r="D4" s="8"/>
      <c r="E4" s="7"/>
      <c r="F4" s="8"/>
      <c r="G4" s="7"/>
      <c r="H4" s="9"/>
    </row>
    <row r="5" spans="2:22" x14ac:dyDescent="0.3">
      <c r="B5" s="8"/>
      <c r="C5" s="7"/>
      <c r="D5" s="8"/>
      <c r="E5" s="7"/>
      <c r="F5" s="8"/>
      <c r="G5" s="7"/>
      <c r="H5" s="9"/>
    </row>
    <row r="6" spans="2:22" x14ac:dyDescent="0.3">
      <c r="B6" s="8"/>
      <c r="C6" s="7"/>
      <c r="D6" s="8"/>
      <c r="E6" s="7"/>
      <c r="F6" s="8"/>
      <c r="G6" s="7"/>
      <c r="H6" s="9"/>
    </row>
    <row r="7" spans="2:22" x14ac:dyDescent="0.3">
      <c r="B7" s="8"/>
      <c r="C7" s="7"/>
      <c r="D7" s="8"/>
      <c r="E7" s="7"/>
      <c r="F7" s="8"/>
      <c r="G7" s="7"/>
      <c r="H7" s="9"/>
    </row>
    <row r="8" spans="2:22" s="1" customFormat="1" x14ac:dyDescent="0.3">
      <c r="B8" s="8"/>
      <c r="C8" s="7"/>
      <c r="D8" s="8"/>
      <c r="E8" s="7"/>
      <c r="F8" s="8"/>
      <c r="G8" s="7"/>
      <c r="H8" s="9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</row>
    <row r="9" spans="2:22" x14ac:dyDescent="0.3">
      <c r="B9" s="8"/>
      <c r="C9" s="7"/>
      <c r="D9" s="8"/>
      <c r="E9" s="7"/>
      <c r="F9" s="8"/>
      <c r="G9" s="7"/>
      <c r="H9" s="9"/>
    </row>
    <row r="10" spans="2:22" x14ac:dyDescent="0.3">
      <c r="B10" s="8"/>
      <c r="C10" s="7"/>
      <c r="D10" s="8"/>
      <c r="E10" s="7"/>
      <c r="F10" s="8"/>
      <c r="G10" s="7"/>
      <c r="H10" s="9"/>
    </row>
    <row r="11" spans="2:22" x14ac:dyDescent="0.3">
      <c r="B11" s="8"/>
      <c r="C11" s="7"/>
      <c r="D11" s="8"/>
      <c r="E11" s="7"/>
      <c r="F11" s="8"/>
      <c r="G11" s="7"/>
      <c r="H11" s="9"/>
    </row>
    <row r="12" spans="2:22" x14ac:dyDescent="0.3">
      <c r="B12" s="8"/>
      <c r="C12" s="7"/>
      <c r="D12" s="8"/>
      <c r="E12" s="7"/>
      <c r="F12" s="8"/>
      <c r="G12" s="7"/>
      <c r="H12" s="9"/>
    </row>
    <row r="13" spans="2:22" x14ac:dyDescent="0.3">
      <c r="B13" s="8"/>
      <c r="C13" s="7"/>
      <c r="D13" s="8"/>
      <c r="E13" s="7"/>
      <c r="F13" s="8"/>
      <c r="G13" s="7"/>
      <c r="H13" s="9"/>
    </row>
    <row r="14" spans="2:22" x14ac:dyDescent="0.3">
      <c r="B14" s="8"/>
      <c r="C14" s="7"/>
      <c r="D14" s="8"/>
      <c r="E14" s="7"/>
      <c r="F14" s="8"/>
      <c r="G14" s="7"/>
      <c r="H14" s="9"/>
    </row>
    <row r="15" spans="2:22" x14ac:dyDescent="0.3">
      <c r="H15" s="1"/>
    </row>
    <row r="16" spans="2:22" x14ac:dyDescent="0.3">
      <c r="H16" s="1"/>
    </row>
    <row r="17" spans="8:8" x14ac:dyDescent="0.3">
      <c r="H17" s="1"/>
    </row>
    <row r="18" spans="8:8" x14ac:dyDescent="0.3">
      <c r="H18" s="1"/>
    </row>
    <row r="19" spans="8:8" x14ac:dyDescent="0.3">
      <c r="H19" s="1"/>
    </row>
    <row r="20" spans="8:8" x14ac:dyDescent="0.3">
      <c r="H20" s="1"/>
    </row>
    <row r="21" spans="8:8" x14ac:dyDescent="0.3">
      <c r="H21" s="1"/>
    </row>
    <row r="22" spans="8:8" x14ac:dyDescent="0.3">
      <c r="H22" s="1"/>
    </row>
    <row r="23" spans="8:8" x14ac:dyDescent="0.3">
      <c r="H23" s="1"/>
    </row>
    <row r="24" spans="8:8" x14ac:dyDescent="0.3">
      <c r="H24" s="1"/>
    </row>
    <row r="25" spans="8:8" x14ac:dyDescent="0.3">
      <c r="H25" s="1"/>
    </row>
    <row r="26" spans="8:8" x14ac:dyDescent="0.3">
      <c r="H26" s="1"/>
    </row>
    <row r="27" spans="8:8" x14ac:dyDescent="0.3">
      <c r="H27" s="1"/>
    </row>
    <row r="28" spans="8:8" x14ac:dyDescent="0.3">
      <c r="H28" s="1"/>
    </row>
    <row r="29" spans="8:8" x14ac:dyDescent="0.3">
      <c r="H29" s="1"/>
    </row>
    <row r="30" spans="8:8" x14ac:dyDescent="0.3">
      <c r="H30" s="1"/>
    </row>
    <row r="31" spans="8:8" x14ac:dyDescent="0.3">
      <c r="H31" s="1"/>
    </row>
    <row r="32" spans="8:8" x14ac:dyDescent="0.3">
      <c r="H32" s="1"/>
    </row>
    <row r="33" spans="1:24" x14ac:dyDescent="0.3">
      <c r="H33" s="1"/>
    </row>
    <row r="34" spans="1:24" x14ac:dyDescent="0.3">
      <c r="H34" s="1"/>
    </row>
    <row r="35" spans="1:24" x14ac:dyDescent="0.3">
      <c r="H35" s="1"/>
    </row>
    <row r="36" spans="1:24" x14ac:dyDescent="0.3">
      <c r="H36" s="2"/>
      <c r="I36"/>
      <c r="J36"/>
      <c r="K36" s="18"/>
      <c r="L36" s="13"/>
      <c r="M36" s="13"/>
      <c r="N36" s="13"/>
      <c r="O36" s="13"/>
      <c r="P36" s="13"/>
      <c r="Q36" s="13"/>
      <c r="R36" s="13"/>
      <c r="S36" s="13"/>
      <c r="T36" s="14"/>
    </row>
    <row r="37" spans="1:24" x14ac:dyDescent="0.3">
      <c r="I37"/>
      <c r="J37"/>
      <c r="K37" s="19"/>
      <c r="T37" s="15"/>
    </row>
    <row r="38" spans="1:24" x14ac:dyDescent="0.3">
      <c r="I38"/>
      <c r="J38"/>
      <c r="K38" s="19"/>
      <c r="T38" s="15"/>
    </row>
    <row r="39" spans="1:24" x14ac:dyDescent="0.3">
      <c r="I39" s="5" t="s">
        <v>129</v>
      </c>
      <c r="J39" t="s">
        <v>6</v>
      </c>
      <c r="K39" s="19"/>
      <c r="T39" s="15"/>
    </row>
    <row r="40" spans="1:24" x14ac:dyDescent="0.3">
      <c r="I40" s="5" t="s">
        <v>69</v>
      </c>
      <c r="J40" t="s">
        <v>6</v>
      </c>
      <c r="K40" s="19"/>
      <c r="T40" s="15"/>
    </row>
    <row r="41" spans="1:24" x14ac:dyDescent="0.3">
      <c r="I41" s="5" t="s">
        <v>64</v>
      </c>
      <c r="J41" t="s">
        <v>6</v>
      </c>
      <c r="K41" s="19"/>
      <c r="T41" s="15"/>
    </row>
    <row r="42" spans="1:24" x14ac:dyDescent="0.3">
      <c r="I42" s="5" t="s">
        <v>65</v>
      </c>
      <c r="J42" t="s">
        <v>6</v>
      </c>
      <c r="K42" s="19"/>
      <c r="T42" s="15"/>
    </row>
    <row r="43" spans="1:24" x14ac:dyDescent="0.3">
      <c r="I43" s="5" t="s">
        <v>7</v>
      </c>
      <c r="J43" t="s">
        <v>6</v>
      </c>
      <c r="K43" s="19"/>
      <c r="T43" s="15"/>
    </row>
    <row r="44" spans="1:24" x14ac:dyDescent="0.3">
      <c r="I44" s="5" t="s">
        <v>5</v>
      </c>
      <c r="J44" t="s">
        <v>6</v>
      </c>
      <c r="K44" s="19"/>
      <c r="T44" s="15"/>
    </row>
    <row r="45" spans="1:24" x14ac:dyDescent="0.3">
      <c r="I45" s="5" t="s">
        <v>12</v>
      </c>
      <c r="J45" t="s">
        <v>6</v>
      </c>
      <c r="K45" s="19"/>
      <c r="T45" s="16"/>
    </row>
    <row r="46" spans="1:24" x14ac:dyDescent="0.3">
      <c r="I46" s="5" t="s">
        <v>8</v>
      </c>
      <c r="J46" t="s">
        <v>6</v>
      </c>
    </row>
    <row r="47" spans="1:24" x14ac:dyDescent="0.3">
      <c r="I47" s="5" t="s">
        <v>9</v>
      </c>
      <c r="J47" t="s">
        <v>6</v>
      </c>
      <c r="X47"/>
    </row>
    <row r="48" spans="1:24" s="10" customFormat="1" ht="15.6" x14ac:dyDescent="0.3">
      <c r="A48" s="23"/>
      <c r="B48" s="23"/>
      <c r="C48" s="23"/>
      <c r="D48" s="23"/>
      <c r="E48" s="23"/>
      <c r="F48" s="23"/>
      <c r="G48" s="23"/>
      <c r="H48" s="24"/>
      <c r="I48" s="5" t="s">
        <v>11</v>
      </c>
      <c r="J48" t="s">
        <v>6</v>
      </c>
      <c r="M48" s="25"/>
      <c r="N48" s="25"/>
      <c r="O48" s="25"/>
      <c r="S48" s="41" t="s">
        <v>84</v>
      </c>
      <c r="T48" s="41"/>
      <c r="U48" s="41"/>
      <c r="X48"/>
    </row>
    <row r="49" spans="9:27" x14ac:dyDescent="0.3">
      <c r="I49" s="5" t="s">
        <v>70</v>
      </c>
      <c r="J49" t="s">
        <v>6</v>
      </c>
      <c r="X49"/>
    </row>
    <row r="50" spans="9:27" x14ac:dyDescent="0.3">
      <c r="I50" s="17" t="s">
        <v>154</v>
      </c>
      <c r="J50" t="s">
        <v>6</v>
      </c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9:27" x14ac:dyDescent="0.3">
      <c r="I51" s="5" t="s">
        <v>83</v>
      </c>
      <c r="J51" t="s">
        <v>6</v>
      </c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9:27" x14ac:dyDescent="0.3">
      <c r="X52"/>
    </row>
    <row r="53" spans="9:27" x14ac:dyDescent="0.3">
      <c r="I53" s="30"/>
      <c r="J53" s="30"/>
      <c r="K53" s="30"/>
      <c r="L53" s="26" t="s">
        <v>0</v>
      </c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</row>
    <row r="54" spans="9:27" x14ac:dyDescent="0.3">
      <c r="I54" s="31" t="s">
        <v>28</v>
      </c>
      <c r="J54" s="35" t="s">
        <v>10</v>
      </c>
      <c r="K54" s="29" t="s">
        <v>82</v>
      </c>
      <c r="L54" s="28" t="s">
        <v>13</v>
      </c>
      <c r="M54" s="10" t="s">
        <v>80</v>
      </c>
      <c r="N54" s="10" t="s">
        <v>16</v>
      </c>
      <c r="O54" s="10" t="s">
        <v>14</v>
      </c>
      <c r="P54" s="10" t="s">
        <v>15</v>
      </c>
      <c r="Q54" s="10" t="s">
        <v>141</v>
      </c>
      <c r="R54" s="10" t="s">
        <v>142</v>
      </c>
      <c r="S54" s="10" t="s">
        <v>23</v>
      </c>
      <c r="T54" s="10" t="s">
        <v>25</v>
      </c>
      <c r="U54" s="10" t="s">
        <v>17</v>
      </c>
      <c r="V54" s="10" t="s">
        <v>18</v>
      </c>
      <c r="W54" s="10" t="s">
        <v>19</v>
      </c>
      <c r="X54" s="10" t="s">
        <v>20</v>
      </c>
      <c r="Y54" s="10" t="s">
        <v>21</v>
      </c>
      <c r="Z54" s="10" t="s">
        <v>127</v>
      </c>
      <c r="AA54" s="10" t="s">
        <v>128</v>
      </c>
    </row>
    <row r="55" spans="9:27" x14ac:dyDescent="0.3">
      <c r="I55" s="44" t="s">
        <v>4</v>
      </c>
      <c r="J55" s="45"/>
      <c r="K55" s="45"/>
      <c r="L55" s="34"/>
      <c r="M55" s="34"/>
      <c r="N55" s="34"/>
      <c r="O55" s="34"/>
      <c r="P55" s="34"/>
      <c r="Q55" s="34">
        <v>0</v>
      </c>
      <c r="R55" s="34">
        <v>0</v>
      </c>
      <c r="S55" s="34"/>
      <c r="T55" s="34"/>
      <c r="U55" s="34">
        <v>0</v>
      </c>
      <c r="V55" s="34">
        <v>0</v>
      </c>
      <c r="W55" s="34">
        <v>0</v>
      </c>
      <c r="X55" s="34"/>
      <c r="Y55" s="34"/>
      <c r="Z55" s="34">
        <v>0</v>
      </c>
      <c r="AA55" s="34">
        <v>0</v>
      </c>
    </row>
    <row r="56" spans="9:27" x14ac:dyDescent="0.3"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9:27" ht="15" customHeight="1" x14ac:dyDescent="0.3"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9:27" x14ac:dyDescent="0.3"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9:27" ht="15" customHeight="1" x14ac:dyDescent="0.3"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9:27" ht="15" customHeight="1" x14ac:dyDescent="0.3"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9:27" ht="15" customHeight="1" x14ac:dyDescent="0.3"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9:27" ht="15" customHeight="1" x14ac:dyDescent="0.3"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9:27" ht="15" customHeight="1" x14ac:dyDescent="0.3"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9:27" ht="15" customHeight="1" x14ac:dyDescent="0.3"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9:24" x14ac:dyDescent="0.3"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9:24" ht="15" customHeight="1" x14ac:dyDescent="0.3"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9:24" ht="15" customHeight="1" x14ac:dyDescent="0.3"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9:24" ht="15" customHeight="1" x14ac:dyDescent="0.3"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9:24" ht="15" customHeight="1" x14ac:dyDescent="0.3"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9:24" ht="15" customHeight="1" x14ac:dyDescent="0.3"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9:24" ht="15" customHeight="1" x14ac:dyDescent="0.3"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9:24" ht="15" customHeight="1" x14ac:dyDescent="0.3"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9:24" ht="15" customHeight="1" x14ac:dyDescent="0.3"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9:24" ht="15" customHeight="1" x14ac:dyDescent="0.3"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9:24" x14ac:dyDescent="0.3"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9:24" x14ac:dyDescent="0.3"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9:24" x14ac:dyDescent="0.3"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9:24" x14ac:dyDescent="0.3"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9:24" x14ac:dyDescent="0.3"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9:24" x14ac:dyDescent="0.3"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9:24" x14ac:dyDescent="0.3"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9:24" x14ac:dyDescent="0.3"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9:24" x14ac:dyDescent="0.3"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9:24" ht="15" customHeight="1" x14ac:dyDescent="0.3"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9:24" ht="15" customHeight="1" x14ac:dyDescent="0.3"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9:24" x14ac:dyDescent="0.3"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9:24" ht="15" customHeight="1" x14ac:dyDescent="0.3"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9:24" ht="15" customHeight="1" x14ac:dyDescent="0.3"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9:24" ht="15" customHeight="1" x14ac:dyDescent="0.3"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9:24" x14ac:dyDescent="0.3"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9:24" ht="15" customHeight="1" x14ac:dyDescent="0.3"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9:24" ht="15" customHeight="1" x14ac:dyDescent="0.3"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9:24" ht="15" customHeight="1" x14ac:dyDescent="0.3"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9:24" ht="15" customHeight="1" x14ac:dyDescent="0.3"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9:24" ht="15" customHeight="1" x14ac:dyDescent="0.3"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9:24" x14ac:dyDescent="0.3"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9:24" x14ac:dyDescent="0.3"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9:24" x14ac:dyDescent="0.3"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9:24" x14ac:dyDescent="0.3"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9:24" x14ac:dyDescent="0.3"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9:24" x14ac:dyDescent="0.3"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9:24" ht="15" customHeight="1" x14ac:dyDescent="0.3"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9:24" x14ac:dyDescent="0.3"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9:24" ht="15" customHeight="1" x14ac:dyDescent="0.3"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9:24" x14ac:dyDescent="0.3"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9:24" ht="15" customHeight="1" x14ac:dyDescent="0.3"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9:24" ht="15" customHeight="1" x14ac:dyDescent="0.3"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9:24" ht="15" customHeight="1" x14ac:dyDescent="0.3"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9:24" ht="15" customHeight="1" x14ac:dyDescent="0.3"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9:24" ht="15" customHeight="1" x14ac:dyDescent="0.3"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9:24" ht="15" customHeight="1" x14ac:dyDescent="0.3"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9:24" x14ac:dyDescent="0.3"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9:24" ht="15" customHeight="1" x14ac:dyDescent="0.3"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9:24" ht="15" customHeight="1" x14ac:dyDescent="0.3"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9:24" ht="15" customHeight="1" x14ac:dyDescent="0.3"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9:24" ht="15" customHeight="1" x14ac:dyDescent="0.3"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9:24" ht="15" customHeight="1" x14ac:dyDescent="0.3"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9:24" ht="15" customHeight="1" x14ac:dyDescent="0.3"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9:24" ht="15" customHeight="1" x14ac:dyDescent="0.3"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9:24" ht="15" customHeight="1" x14ac:dyDescent="0.3"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9:24" ht="15" customHeight="1" x14ac:dyDescent="0.3"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9:24" ht="15" customHeight="1" x14ac:dyDescent="0.3"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9:24" x14ac:dyDescent="0.3"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9:24" x14ac:dyDescent="0.3"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9:24" x14ac:dyDescent="0.3"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9:24" x14ac:dyDescent="0.3"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9:24" x14ac:dyDescent="0.3"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9:24" x14ac:dyDescent="0.3"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9:24" x14ac:dyDescent="0.3"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9:24" x14ac:dyDescent="0.3"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9:24" x14ac:dyDescent="0.3"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9:24" ht="15" customHeight="1" x14ac:dyDescent="0.3"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9:24" ht="15" customHeight="1" x14ac:dyDescent="0.3"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9:24" x14ac:dyDescent="0.3"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9:24" ht="15" customHeight="1" x14ac:dyDescent="0.3"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9:24" ht="15" customHeight="1" x14ac:dyDescent="0.3"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9:24" ht="15" customHeight="1" x14ac:dyDescent="0.3"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9:24" x14ac:dyDescent="0.3"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9:24" ht="15" customHeight="1" x14ac:dyDescent="0.3"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9:24" ht="15" customHeight="1" x14ac:dyDescent="0.3"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9:24" ht="15" customHeight="1" x14ac:dyDescent="0.3"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9:24" ht="15" customHeight="1" x14ac:dyDescent="0.3"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9:24" ht="15" customHeight="1" x14ac:dyDescent="0.3"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9:24" x14ac:dyDescent="0.3"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9:24" x14ac:dyDescent="0.3"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9:24" x14ac:dyDescent="0.3"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9:24" x14ac:dyDescent="0.3"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9:24" x14ac:dyDescent="0.3"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9:24" x14ac:dyDescent="0.3"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9:24" ht="15" customHeight="1" x14ac:dyDescent="0.3"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9:24" x14ac:dyDescent="0.3"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9:24" ht="15" customHeight="1" x14ac:dyDescent="0.3"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9:24" x14ac:dyDescent="0.3"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9:24" ht="15" customHeight="1" x14ac:dyDescent="0.3"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9:24" ht="15" customHeight="1" x14ac:dyDescent="0.3"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9:24" ht="15" customHeight="1" x14ac:dyDescent="0.3"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9:24" ht="15" customHeight="1" x14ac:dyDescent="0.3"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9:24" ht="15" customHeight="1" x14ac:dyDescent="0.3"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9:24" ht="15" customHeight="1" x14ac:dyDescent="0.3"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9:24" x14ac:dyDescent="0.3"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9:24" ht="15" customHeight="1" x14ac:dyDescent="0.3"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9:24" ht="15" customHeight="1" x14ac:dyDescent="0.3"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9:24" ht="15" customHeight="1" x14ac:dyDescent="0.3"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9:24" ht="15" customHeight="1" x14ac:dyDescent="0.3"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9:24" ht="15" customHeight="1" x14ac:dyDescent="0.3"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9:24" ht="15" customHeight="1" x14ac:dyDescent="0.3"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9:24" ht="15" customHeight="1" x14ac:dyDescent="0.3"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9:24" ht="15" customHeight="1" x14ac:dyDescent="0.3"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9:24" ht="15" customHeight="1" x14ac:dyDescent="0.3"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9:24" ht="15" customHeight="1" x14ac:dyDescent="0.3"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9:24" x14ac:dyDescent="0.3"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9:24" x14ac:dyDescent="0.3"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9:24" x14ac:dyDescent="0.3"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9:24" x14ac:dyDescent="0.3"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9:24" x14ac:dyDescent="0.3"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9:24" x14ac:dyDescent="0.3"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9:24" x14ac:dyDescent="0.3"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9:24" x14ac:dyDescent="0.3"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9:24" x14ac:dyDescent="0.3"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9:24" ht="15" customHeight="1" x14ac:dyDescent="0.3"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9:24" ht="15" customHeight="1" x14ac:dyDescent="0.3"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9:24" x14ac:dyDescent="0.3"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9:24" ht="15" customHeight="1" x14ac:dyDescent="0.3"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9:24" ht="15" customHeight="1" x14ac:dyDescent="0.3"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9:24" ht="15" customHeight="1" x14ac:dyDescent="0.3"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9:24" x14ac:dyDescent="0.3"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9:24" ht="15" customHeight="1" x14ac:dyDescent="0.3"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9:24" ht="15" customHeight="1" x14ac:dyDescent="0.3"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9:24" ht="15" customHeight="1" x14ac:dyDescent="0.3"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9:24" ht="15" customHeight="1" x14ac:dyDescent="0.3"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9:24" ht="15" customHeight="1" x14ac:dyDescent="0.3"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9:24" x14ac:dyDescent="0.3"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9:24" x14ac:dyDescent="0.3"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9:24" x14ac:dyDescent="0.3"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9:24" x14ac:dyDescent="0.3"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9:24" x14ac:dyDescent="0.3"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9:24" x14ac:dyDescent="0.3"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9:24" ht="15" customHeight="1" x14ac:dyDescent="0.3"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9:24" x14ac:dyDescent="0.3"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9:24" ht="15" customHeight="1" x14ac:dyDescent="0.3"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9:24" x14ac:dyDescent="0.3"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9:24" ht="15" customHeight="1" x14ac:dyDescent="0.3"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9:24" ht="15" customHeight="1" x14ac:dyDescent="0.3"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9:24" ht="15" customHeight="1" x14ac:dyDescent="0.3"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9:24" ht="15" customHeight="1" x14ac:dyDescent="0.3"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9:24" ht="15" customHeight="1" x14ac:dyDescent="0.3"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9:24" ht="15" customHeight="1" x14ac:dyDescent="0.3"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9:24" x14ac:dyDescent="0.3"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9:24" ht="15" customHeight="1" x14ac:dyDescent="0.3"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9:24" ht="15" customHeight="1" x14ac:dyDescent="0.3"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9:24" ht="15" customHeight="1" x14ac:dyDescent="0.3"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9:24" ht="15" customHeight="1" x14ac:dyDescent="0.3"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9:24" ht="15" customHeight="1" x14ac:dyDescent="0.3"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9:24" ht="15" customHeight="1" x14ac:dyDescent="0.3"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9:24" ht="15" customHeight="1" x14ac:dyDescent="0.3"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9:24" ht="15" customHeight="1" x14ac:dyDescent="0.3"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9:24" ht="15" customHeight="1" x14ac:dyDescent="0.3"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9:24" ht="15" customHeight="1" x14ac:dyDescent="0.3"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9:24" x14ac:dyDescent="0.3"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9:24" x14ac:dyDescent="0.3"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9:24" x14ac:dyDescent="0.3"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9:24" x14ac:dyDescent="0.3"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9:24" x14ac:dyDescent="0.3"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9:24" x14ac:dyDescent="0.3"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9:24" x14ac:dyDescent="0.3"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9:24" x14ac:dyDescent="0.3"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9:24" x14ac:dyDescent="0.3"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9:24" ht="15" customHeight="1" x14ac:dyDescent="0.3"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9:24" ht="15" customHeight="1" x14ac:dyDescent="0.3"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9:24" x14ac:dyDescent="0.3"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9:24" ht="15" customHeight="1" x14ac:dyDescent="0.3"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9:24" ht="15" customHeight="1" x14ac:dyDescent="0.3"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9:24" ht="15" customHeight="1" x14ac:dyDescent="0.3"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9:24" x14ac:dyDescent="0.3"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9:24" ht="15" customHeight="1" x14ac:dyDescent="0.3"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9:24" ht="15" customHeight="1" x14ac:dyDescent="0.3"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9:24" ht="15" customHeight="1" x14ac:dyDescent="0.3"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9:24" x14ac:dyDescent="0.3"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9:24" ht="15" customHeight="1" x14ac:dyDescent="0.3"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9:24" ht="15" customHeight="1" x14ac:dyDescent="0.3"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9:24" x14ac:dyDescent="0.3"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9:24" x14ac:dyDescent="0.3"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9:24" x14ac:dyDescent="0.3"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9:24" x14ac:dyDescent="0.3"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9:24" x14ac:dyDescent="0.3"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9:24" x14ac:dyDescent="0.3"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9:24" ht="15" customHeight="1" x14ac:dyDescent="0.3"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9:24" x14ac:dyDescent="0.3"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9:24" x14ac:dyDescent="0.3"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9:24" ht="15" customHeight="1" x14ac:dyDescent="0.3"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9:24" x14ac:dyDescent="0.3"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9:24" ht="15" customHeight="1" x14ac:dyDescent="0.3"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9:24" ht="15" customHeight="1" x14ac:dyDescent="0.3"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9:24" ht="15" customHeight="1" x14ac:dyDescent="0.3"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9:24" ht="15" customHeight="1" x14ac:dyDescent="0.3"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9:24" ht="15" customHeight="1" x14ac:dyDescent="0.3"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9:24" ht="15" customHeight="1" x14ac:dyDescent="0.3"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9:24" x14ac:dyDescent="0.3"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9:24" ht="15" customHeight="1" x14ac:dyDescent="0.3"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9:24" ht="15" customHeight="1" x14ac:dyDescent="0.3"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9:24" ht="15" customHeight="1" x14ac:dyDescent="0.3"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9:24" ht="15" customHeight="1" x14ac:dyDescent="0.3"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9:24" ht="15" customHeight="1" x14ac:dyDescent="0.3"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9:24" ht="15" customHeight="1" x14ac:dyDescent="0.3"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9:24" ht="15" customHeight="1" x14ac:dyDescent="0.3"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9:24" ht="15" customHeight="1" x14ac:dyDescent="0.3"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9:24" ht="15" customHeight="1" x14ac:dyDescent="0.3"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9:24" ht="15" customHeight="1" x14ac:dyDescent="0.3"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9:24" x14ac:dyDescent="0.3"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9:24" x14ac:dyDescent="0.3"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9:24" x14ac:dyDescent="0.3"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9:24" x14ac:dyDescent="0.3"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9:24" x14ac:dyDescent="0.3"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9:24" x14ac:dyDescent="0.3"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9:24" x14ac:dyDescent="0.3"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9:24" x14ac:dyDescent="0.3"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9:24" x14ac:dyDescent="0.3"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9:24" ht="15" customHeight="1" x14ac:dyDescent="0.3"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9:24" ht="15" customHeight="1" x14ac:dyDescent="0.3"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9:24" x14ac:dyDescent="0.3"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9:24" ht="15" customHeight="1" x14ac:dyDescent="0.3"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9:24" ht="15" customHeight="1" x14ac:dyDescent="0.3"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9:24" ht="15" customHeight="1" x14ac:dyDescent="0.3"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9:24" ht="15" customHeight="1" x14ac:dyDescent="0.3"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9:24" ht="15" customHeight="1" x14ac:dyDescent="0.3"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9:24" ht="15" customHeight="1" x14ac:dyDescent="0.3"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9:24" x14ac:dyDescent="0.3"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9:24" ht="15" customHeight="1" x14ac:dyDescent="0.3"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9:24" ht="15" customHeight="1" x14ac:dyDescent="0.3"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9:24" x14ac:dyDescent="0.3"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9:24" x14ac:dyDescent="0.3"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9:24" x14ac:dyDescent="0.3"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9:24" x14ac:dyDescent="0.3"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9:24" x14ac:dyDescent="0.3"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9:24" x14ac:dyDescent="0.3"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9:24" ht="15" customHeight="1" x14ac:dyDescent="0.3"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9:24" x14ac:dyDescent="0.3"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9:24" x14ac:dyDescent="0.3"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9:24" ht="15" customHeight="1" x14ac:dyDescent="0.3"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9:24" x14ac:dyDescent="0.3"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9:24" ht="15" customHeight="1" x14ac:dyDescent="0.3"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9:24" ht="15" customHeight="1" x14ac:dyDescent="0.3"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9:24" ht="15" customHeight="1" x14ac:dyDescent="0.3"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9:24" ht="15" customHeight="1" x14ac:dyDescent="0.3"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9:24" ht="15" customHeight="1" x14ac:dyDescent="0.3"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9:24" ht="15" customHeight="1" x14ac:dyDescent="0.3"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9:24" x14ac:dyDescent="0.3"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9:24" ht="15" customHeight="1" x14ac:dyDescent="0.3"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9:24" ht="15" customHeight="1" x14ac:dyDescent="0.3"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9:24" ht="15" customHeight="1" x14ac:dyDescent="0.3"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9:24" ht="15" customHeight="1" x14ac:dyDescent="0.3"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9:24" ht="15" customHeight="1" x14ac:dyDescent="0.3"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9:24" ht="15" customHeight="1" x14ac:dyDescent="0.3"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9:24" ht="15" customHeight="1" x14ac:dyDescent="0.3"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9:24" ht="15" customHeight="1" x14ac:dyDescent="0.3"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9:24" ht="15" customHeight="1" x14ac:dyDescent="0.3"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9:24" x14ac:dyDescent="0.3"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9:24" x14ac:dyDescent="0.3"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9:24" x14ac:dyDescent="0.3"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9:24" x14ac:dyDescent="0.3"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9:24" x14ac:dyDescent="0.3"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9:24" x14ac:dyDescent="0.3"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9:24" x14ac:dyDescent="0.3"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9:24" x14ac:dyDescent="0.3"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9:24" x14ac:dyDescent="0.3"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9:24" ht="15" customHeight="1" x14ac:dyDescent="0.3"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9:24" ht="15" customHeight="1" x14ac:dyDescent="0.3"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9:24" x14ac:dyDescent="0.3"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9:24" ht="15" customHeight="1" x14ac:dyDescent="0.3"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9:24" ht="15" customHeight="1" x14ac:dyDescent="0.3"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9:24" ht="15" customHeight="1" x14ac:dyDescent="0.3"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9:24" ht="15" customHeight="1" x14ac:dyDescent="0.3"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9:24" ht="15" customHeight="1" x14ac:dyDescent="0.3"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9:24" ht="15" customHeight="1" x14ac:dyDescent="0.3"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9:24" x14ac:dyDescent="0.3"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9:24" ht="15" customHeight="1" x14ac:dyDescent="0.3"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9:24" ht="15" customHeight="1" x14ac:dyDescent="0.3"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9:24" x14ac:dyDescent="0.3"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9:24" x14ac:dyDescent="0.3"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9:24" x14ac:dyDescent="0.3"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9:24" x14ac:dyDescent="0.3"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9:24" x14ac:dyDescent="0.3"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9:24" x14ac:dyDescent="0.3"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9:24" ht="15" customHeight="1" x14ac:dyDescent="0.3"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9:24" x14ac:dyDescent="0.3"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9:24" x14ac:dyDescent="0.3"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9:24" ht="15" customHeight="1" x14ac:dyDescent="0.3"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9:24" x14ac:dyDescent="0.3"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9:24" ht="15" customHeight="1" x14ac:dyDescent="0.3"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9:24" ht="15" customHeight="1" x14ac:dyDescent="0.3"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9:24" ht="15" customHeight="1" x14ac:dyDescent="0.3"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9:24" ht="15" customHeight="1" x14ac:dyDescent="0.3"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9:24" ht="15" customHeight="1" x14ac:dyDescent="0.3"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9:24" ht="15" customHeight="1" x14ac:dyDescent="0.3"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9:24" x14ac:dyDescent="0.3"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9:24" ht="15" customHeight="1" x14ac:dyDescent="0.3"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9:24" ht="15" customHeight="1" x14ac:dyDescent="0.3"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9:24" ht="15" customHeight="1" x14ac:dyDescent="0.3"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9:24" ht="15" customHeight="1" x14ac:dyDescent="0.3"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9:24" ht="15" customHeight="1" x14ac:dyDescent="0.3"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9:24" ht="15" customHeight="1" x14ac:dyDescent="0.3"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9:24" ht="15" customHeight="1" x14ac:dyDescent="0.3"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9:24" ht="15" customHeight="1" x14ac:dyDescent="0.3"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9:24" ht="15" customHeight="1" x14ac:dyDescent="0.3"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9:24" x14ac:dyDescent="0.3"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9:24" x14ac:dyDescent="0.3"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9:24" x14ac:dyDescent="0.3"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9:24" x14ac:dyDescent="0.3"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9:24" x14ac:dyDescent="0.3"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9:24" x14ac:dyDescent="0.3"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9:24" x14ac:dyDescent="0.3"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9:24" x14ac:dyDescent="0.3"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9:24" x14ac:dyDescent="0.3"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9:24" ht="15" customHeight="1" x14ac:dyDescent="0.3"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9:24" ht="15" customHeight="1" x14ac:dyDescent="0.3"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9:24" x14ac:dyDescent="0.3"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9:24" ht="15" customHeight="1" x14ac:dyDescent="0.3"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9:24" ht="15" customHeight="1" x14ac:dyDescent="0.3"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9:24" ht="15" customHeight="1" x14ac:dyDescent="0.3"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9:24" ht="15" customHeight="1" x14ac:dyDescent="0.3"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9:24" ht="15" customHeight="1" x14ac:dyDescent="0.3"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9:24" ht="15" customHeight="1" x14ac:dyDescent="0.3"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9:24" x14ac:dyDescent="0.3"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9:24" ht="15" customHeight="1" x14ac:dyDescent="0.3"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9:24" ht="15" customHeight="1" x14ac:dyDescent="0.3"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9:24" x14ac:dyDescent="0.3"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9:24" x14ac:dyDescent="0.3"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9:24" x14ac:dyDescent="0.3"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9:24" x14ac:dyDescent="0.3"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9:24" x14ac:dyDescent="0.3"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9:24" x14ac:dyDescent="0.3"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9:24" ht="15" customHeight="1" x14ac:dyDescent="0.3"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9:24" x14ac:dyDescent="0.3"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9:24" x14ac:dyDescent="0.3"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9:24" ht="15" customHeight="1" x14ac:dyDescent="0.3"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9:24" x14ac:dyDescent="0.3"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9:24" ht="15" customHeight="1" x14ac:dyDescent="0.3"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9:24" ht="15" customHeight="1" x14ac:dyDescent="0.3"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9:24" ht="15" customHeight="1" x14ac:dyDescent="0.3"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9:24" ht="15" customHeight="1" x14ac:dyDescent="0.3"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9:24" ht="15" customHeight="1" x14ac:dyDescent="0.3"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9:24" ht="15" customHeight="1" x14ac:dyDescent="0.3"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9:24" x14ac:dyDescent="0.3"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9:24" ht="15" customHeight="1" x14ac:dyDescent="0.3"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9:24" ht="15" customHeight="1" x14ac:dyDescent="0.3"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9:24" ht="15" customHeight="1" x14ac:dyDescent="0.3"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9:24" ht="15" customHeight="1" x14ac:dyDescent="0.3"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9:24" ht="15" customHeight="1" x14ac:dyDescent="0.3"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9:24" ht="15" customHeight="1" x14ac:dyDescent="0.3"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9:24" ht="15" customHeight="1" x14ac:dyDescent="0.3"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9:24" ht="15" customHeight="1" x14ac:dyDescent="0.3"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9:24" x14ac:dyDescent="0.3"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9:24" x14ac:dyDescent="0.3"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9:24" x14ac:dyDescent="0.3"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9:24" x14ac:dyDescent="0.3"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9:24" x14ac:dyDescent="0.3"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9:24" x14ac:dyDescent="0.3"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9:24" x14ac:dyDescent="0.3"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9:24" x14ac:dyDescent="0.3"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9:24" x14ac:dyDescent="0.3"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9:24" ht="15" customHeight="1" x14ac:dyDescent="0.3"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9:24" ht="15" customHeight="1" x14ac:dyDescent="0.3"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9:24" ht="15" customHeight="1" x14ac:dyDescent="0.3"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9:24" ht="15" customHeight="1" x14ac:dyDescent="0.3"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9:24" ht="15" customHeight="1" x14ac:dyDescent="0.3"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9:24" ht="15" customHeight="1" x14ac:dyDescent="0.3"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9:24" ht="15" customHeight="1" x14ac:dyDescent="0.3"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9:24" ht="15" customHeight="1" x14ac:dyDescent="0.3"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9:24" ht="15" customHeight="1" x14ac:dyDescent="0.3"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9:24" ht="15" customHeight="1" x14ac:dyDescent="0.3"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9:24" x14ac:dyDescent="0.3"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9:24" x14ac:dyDescent="0.3"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9:24" x14ac:dyDescent="0.3"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9:24" x14ac:dyDescent="0.3"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9:24" x14ac:dyDescent="0.3"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9:24" x14ac:dyDescent="0.3"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9:24" x14ac:dyDescent="0.3"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9:24" x14ac:dyDescent="0.3"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9:24" ht="15" customHeight="1" x14ac:dyDescent="0.3"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9:24" ht="15" customHeight="1" x14ac:dyDescent="0.3"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9:24" ht="15" customHeight="1" x14ac:dyDescent="0.3"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9:24" ht="15" customHeight="1" x14ac:dyDescent="0.3"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9:24" ht="15" customHeight="1" x14ac:dyDescent="0.3"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9:24" ht="15" customHeight="1" x14ac:dyDescent="0.3"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9:24" x14ac:dyDescent="0.3"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9:24" ht="15" customHeight="1" x14ac:dyDescent="0.3"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9:24" ht="15" customHeight="1" x14ac:dyDescent="0.3"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9:24" ht="15" customHeight="1" x14ac:dyDescent="0.3"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9:24" ht="15" customHeight="1" x14ac:dyDescent="0.3"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9:24" ht="15" customHeight="1" x14ac:dyDescent="0.3"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9:24" ht="15" customHeight="1" x14ac:dyDescent="0.3"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9:24" ht="15" customHeight="1" x14ac:dyDescent="0.3"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9:24" ht="15" customHeight="1" x14ac:dyDescent="0.3"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9:24" x14ac:dyDescent="0.3"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9:24" x14ac:dyDescent="0.3"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9:24" x14ac:dyDescent="0.3"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9:24" x14ac:dyDescent="0.3"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9:24" x14ac:dyDescent="0.3"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9:24" x14ac:dyDescent="0.3"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9:24" x14ac:dyDescent="0.3"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9:24" x14ac:dyDescent="0.3"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9:24" ht="15" customHeight="1" x14ac:dyDescent="0.3"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9:24" ht="15" customHeight="1" x14ac:dyDescent="0.3"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9:24" ht="15" customHeight="1" x14ac:dyDescent="0.3"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9:24" ht="15" customHeight="1" x14ac:dyDescent="0.3"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9:24" ht="15" customHeight="1" x14ac:dyDescent="0.3"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9:24" ht="15" customHeight="1" x14ac:dyDescent="0.3"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9:24" ht="15" customHeight="1" x14ac:dyDescent="0.3"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9:24" ht="15" customHeight="1" x14ac:dyDescent="0.3"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9:24" ht="15" customHeight="1" x14ac:dyDescent="0.3"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9:24" ht="15" customHeight="1" x14ac:dyDescent="0.3"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9:24" x14ac:dyDescent="0.3"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9:24" x14ac:dyDescent="0.3"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9:24" x14ac:dyDescent="0.3"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9:24" x14ac:dyDescent="0.3"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9:24" x14ac:dyDescent="0.3"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9:24" x14ac:dyDescent="0.3"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9:24" x14ac:dyDescent="0.3"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9:24" x14ac:dyDescent="0.3"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9:24" ht="15" customHeight="1" x14ac:dyDescent="0.3"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9:24" ht="15" customHeight="1" x14ac:dyDescent="0.3"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9:24" ht="15" customHeight="1" x14ac:dyDescent="0.3"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9:24" ht="15" customHeight="1" x14ac:dyDescent="0.3"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9:24" ht="15" customHeight="1" x14ac:dyDescent="0.3"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9:24" ht="15" customHeight="1" x14ac:dyDescent="0.3"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9:24" x14ac:dyDescent="0.3"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9:24" ht="15" customHeight="1" x14ac:dyDescent="0.3"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9:24" ht="15" customHeight="1" x14ac:dyDescent="0.3"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9:24" ht="15" customHeight="1" x14ac:dyDescent="0.3"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9:24" ht="15" customHeight="1" x14ac:dyDescent="0.3"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9:24" ht="15" customHeight="1" x14ac:dyDescent="0.3"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9:24" ht="15" customHeight="1" x14ac:dyDescent="0.3"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9:24" ht="15" customHeight="1" x14ac:dyDescent="0.3"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9:24" ht="15" customHeight="1" x14ac:dyDescent="0.3"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9:24" x14ac:dyDescent="0.3"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9:24" x14ac:dyDescent="0.3"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9:24" x14ac:dyDescent="0.3"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9:24" x14ac:dyDescent="0.3"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9:24" x14ac:dyDescent="0.3"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9:24" x14ac:dyDescent="0.3"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9:24" x14ac:dyDescent="0.3"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9:24" x14ac:dyDescent="0.3"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9:24" ht="15" customHeight="1" x14ac:dyDescent="0.3"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9:24" ht="15" customHeight="1" x14ac:dyDescent="0.3"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9:24" ht="15" customHeight="1" x14ac:dyDescent="0.3"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9:24" ht="15" customHeight="1" x14ac:dyDescent="0.3"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9:24" ht="15" customHeight="1" x14ac:dyDescent="0.3"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9:24" ht="15" customHeight="1" x14ac:dyDescent="0.3"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9:24" ht="15" customHeight="1" x14ac:dyDescent="0.3"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9:24" ht="15" customHeight="1" x14ac:dyDescent="0.3"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9:24" ht="15" customHeight="1" x14ac:dyDescent="0.3"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9:24" x14ac:dyDescent="0.3"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9:24" x14ac:dyDescent="0.3"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9:24" x14ac:dyDescent="0.3"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9:24" x14ac:dyDescent="0.3"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9:24" x14ac:dyDescent="0.3"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9:24" x14ac:dyDescent="0.3"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9:24" x14ac:dyDescent="0.3"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9:24" ht="15" customHeight="1" x14ac:dyDescent="0.3"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9:24" ht="15" customHeight="1" x14ac:dyDescent="0.3"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9:24" ht="15" customHeight="1" x14ac:dyDescent="0.3"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9:24" ht="15" customHeight="1" x14ac:dyDescent="0.3"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9:24" ht="15" customHeight="1" x14ac:dyDescent="0.3"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9:24" ht="15" customHeight="1" x14ac:dyDescent="0.3"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9:24" x14ac:dyDescent="0.3"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9:24" ht="15" customHeight="1" x14ac:dyDescent="0.3"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9:24" ht="15" customHeight="1" x14ac:dyDescent="0.3"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9:24" ht="15" customHeight="1" x14ac:dyDescent="0.3"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9:24" ht="15" customHeight="1" x14ac:dyDescent="0.3"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9:24" ht="15" customHeight="1" x14ac:dyDescent="0.3"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9:24" ht="15" customHeight="1" x14ac:dyDescent="0.3"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9:24" ht="15" customHeight="1" x14ac:dyDescent="0.3"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9:24" ht="15" customHeight="1" x14ac:dyDescent="0.3"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9:24" ht="15" customHeight="1" x14ac:dyDescent="0.3"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9:24" x14ac:dyDescent="0.3"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9:24" x14ac:dyDescent="0.3"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9:24" x14ac:dyDescent="0.3"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9:24" x14ac:dyDescent="0.3"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9:24" x14ac:dyDescent="0.3"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9:24" x14ac:dyDescent="0.3"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9:24" x14ac:dyDescent="0.3"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9:24" x14ac:dyDescent="0.3"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9:24" ht="15" customHeight="1" x14ac:dyDescent="0.3"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9:24" ht="15" customHeight="1" x14ac:dyDescent="0.3"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9:24" ht="15" customHeight="1" x14ac:dyDescent="0.3"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9:24" ht="15" customHeight="1" x14ac:dyDescent="0.3"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9:24" ht="15" customHeight="1" x14ac:dyDescent="0.3"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9:24" ht="15" customHeight="1" x14ac:dyDescent="0.3"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9:24" ht="15" customHeight="1" x14ac:dyDescent="0.3"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9:24" ht="15" customHeight="1" x14ac:dyDescent="0.3"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9:24" x14ac:dyDescent="0.3"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9:24" x14ac:dyDescent="0.3"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9:24" x14ac:dyDescent="0.3"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9:24" x14ac:dyDescent="0.3"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9:24" x14ac:dyDescent="0.3"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9:24" ht="15" customHeight="1" x14ac:dyDescent="0.3"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9:24" ht="15" customHeight="1" x14ac:dyDescent="0.3"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9:24" ht="15" customHeight="1" x14ac:dyDescent="0.3"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9:24" ht="15" customHeight="1" x14ac:dyDescent="0.3"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9:24" ht="15" customHeight="1" x14ac:dyDescent="0.3"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9:24" x14ac:dyDescent="0.3"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9:24" ht="15" customHeight="1" x14ac:dyDescent="0.3"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9:24" ht="15" customHeight="1" x14ac:dyDescent="0.3"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9:24" ht="15" customHeight="1" x14ac:dyDescent="0.3"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9:24" ht="15" customHeight="1" x14ac:dyDescent="0.3"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9:24" ht="15" customHeight="1" x14ac:dyDescent="0.3"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9:24" ht="15" customHeight="1" x14ac:dyDescent="0.3"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9:24" ht="15" customHeight="1" x14ac:dyDescent="0.3"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9:24" ht="15" customHeight="1" x14ac:dyDescent="0.3"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9:24" ht="15" customHeight="1" x14ac:dyDescent="0.3"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9:24" x14ac:dyDescent="0.3"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9:24" x14ac:dyDescent="0.3"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9:24" x14ac:dyDescent="0.3"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9:24" x14ac:dyDescent="0.3"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9:24" x14ac:dyDescent="0.3"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9:24" x14ac:dyDescent="0.3"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9:24" x14ac:dyDescent="0.3"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9:24" x14ac:dyDescent="0.3"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9:24" ht="15" customHeight="1" x14ac:dyDescent="0.3"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9:24" ht="15" customHeight="1" x14ac:dyDescent="0.3"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9:24" ht="15" customHeight="1" x14ac:dyDescent="0.3"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9:24" ht="15" customHeight="1" x14ac:dyDescent="0.3"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9:24" ht="15" customHeight="1" x14ac:dyDescent="0.3"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9:24" ht="15" customHeight="1" x14ac:dyDescent="0.3"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9:24" ht="15" customHeight="1" x14ac:dyDescent="0.3"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9:24" ht="15" customHeight="1" x14ac:dyDescent="0.3"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9:24" ht="15" customHeight="1" x14ac:dyDescent="0.3"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9:24" x14ac:dyDescent="0.3"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9:24" x14ac:dyDescent="0.3"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9:24" x14ac:dyDescent="0.3"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9:24" x14ac:dyDescent="0.3"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9:24" x14ac:dyDescent="0.3"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9:24" x14ac:dyDescent="0.3"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9:24" ht="15" customHeight="1" x14ac:dyDescent="0.3"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9:24" ht="15" customHeight="1" x14ac:dyDescent="0.3"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9:24" ht="15" customHeight="1" x14ac:dyDescent="0.3"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9:24" ht="15" customHeight="1" x14ac:dyDescent="0.3"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9:24" ht="15" customHeight="1" x14ac:dyDescent="0.3"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9:24" ht="15" customHeight="1" x14ac:dyDescent="0.3"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9:24" ht="15" customHeight="1" x14ac:dyDescent="0.3"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9:24" ht="15" customHeight="1" x14ac:dyDescent="0.3"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9:24" ht="15" customHeight="1" x14ac:dyDescent="0.3"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9:24" ht="15" customHeight="1" x14ac:dyDescent="0.3"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9:24" ht="15" customHeight="1" x14ac:dyDescent="0.3"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9:24" ht="15" customHeight="1" x14ac:dyDescent="0.3"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9:24" ht="15" customHeight="1" x14ac:dyDescent="0.3"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9:24" ht="15" customHeight="1" x14ac:dyDescent="0.3"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9:24" x14ac:dyDescent="0.3"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9:24" x14ac:dyDescent="0.3"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9:24" x14ac:dyDescent="0.3"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9:24" x14ac:dyDescent="0.3"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9:24" x14ac:dyDescent="0.3"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9:24" x14ac:dyDescent="0.3"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9:24" x14ac:dyDescent="0.3"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9:24" x14ac:dyDescent="0.3"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9:24" ht="15" customHeight="1" x14ac:dyDescent="0.3"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9:24" ht="15" customHeight="1" x14ac:dyDescent="0.3"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9:24" ht="15" customHeight="1" x14ac:dyDescent="0.3"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9:24" ht="15" customHeight="1" x14ac:dyDescent="0.3"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9:24" ht="15" customHeight="1" x14ac:dyDescent="0.3"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9:24" ht="15" customHeight="1" x14ac:dyDescent="0.3"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9:24" ht="15" customHeight="1" x14ac:dyDescent="0.3"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9:24" ht="15" customHeight="1" x14ac:dyDescent="0.3"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9:24" x14ac:dyDescent="0.3"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9:24" x14ac:dyDescent="0.3"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9:24" x14ac:dyDescent="0.3"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9:24" x14ac:dyDescent="0.3"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9:24" x14ac:dyDescent="0.3"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9:24" x14ac:dyDescent="0.3"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9:24" x14ac:dyDescent="0.3"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9:24" x14ac:dyDescent="0.3"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9:24" x14ac:dyDescent="0.3"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9:24" x14ac:dyDescent="0.3"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9:24" x14ac:dyDescent="0.3"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9:24" x14ac:dyDescent="0.3"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9:24" x14ac:dyDescent="0.3"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9:24" x14ac:dyDescent="0.3"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9:24" x14ac:dyDescent="0.3"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9:24" x14ac:dyDescent="0.3"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9:24" x14ac:dyDescent="0.3"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9:24" x14ac:dyDescent="0.3"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9:24" x14ac:dyDescent="0.3"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9:24" x14ac:dyDescent="0.3"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9:24" x14ac:dyDescent="0.3"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9:24" x14ac:dyDescent="0.3"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</row>
    <row r="646" spans="9:24" x14ac:dyDescent="0.3"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</row>
    <row r="647" spans="9:24" x14ac:dyDescent="0.3"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</row>
    <row r="648" spans="9:24" x14ac:dyDescent="0.3"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</row>
    <row r="649" spans="9:24" x14ac:dyDescent="0.3"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</row>
    <row r="650" spans="9:24" x14ac:dyDescent="0.3"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</row>
    <row r="651" spans="9:24" x14ac:dyDescent="0.3"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</row>
    <row r="652" spans="9:24" x14ac:dyDescent="0.3"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</row>
    <row r="653" spans="9:24" x14ac:dyDescent="0.3"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</row>
    <row r="654" spans="9:24" x14ac:dyDescent="0.3"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</row>
    <row r="655" spans="9:24" x14ac:dyDescent="0.3"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</row>
    <row r="656" spans="9:24" x14ac:dyDescent="0.3"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</row>
    <row r="657" spans="9:24" x14ac:dyDescent="0.3"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</row>
    <row r="658" spans="9:24" x14ac:dyDescent="0.3"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</row>
    <row r="659" spans="9:24" x14ac:dyDescent="0.3"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</row>
    <row r="660" spans="9:24" x14ac:dyDescent="0.3"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</row>
    <row r="661" spans="9:24" x14ac:dyDescent="0.3"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</row>
    <row r="662" spans="9:24" x14ac:dyDescent="0.3"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</row>
    <row r="663" spans="9:24" x14ac:dyDescent="0.3"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</row>
    <row r="664" spans="9:24" x14ac:dyDescent="0.3"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</row>
    <row r="665" spans="9:24" x14ac:dyDescent="0.3"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</row>
    <row r="666" spans="9:24" x14ac:dyDescent="0.3"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</row>
    <row r="667" spans="9:24" x14ac:dyDescent="0.3"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</row>
    <row r="668" spans="9:24" x14ac:dyDescent="0.3"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</row>
    <row r="669" spans="9:24" x14ac:dyDescent="0.3"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</row>
    <row r="670" spans="9:24" x14ac:dyDescent="0.3">
      <c r="I670"/>
      <c r="J670"/>
      <c r="K670"/>
      <c r="L670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/>
      <c r="X670"/>
    </row>
    <row r="671" spans="9:24" x14ac:dyDescent="0.3">
      <c r="I671"/>
      <c r="J671"/>
      <c r="K671"/>
      <c r="L67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/>
      <c r="X671"/>
    </row>
    <row r="672" spans="9:24" x14ac:dyDescent="0.3">
      <c r="I672"/>
      <c r="J672"/>
      <c r="K672"/>
      <c r="L672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/>
      <c r="X672"/>
    </row>
    <row r="673" spans="9:24" x14ac:dyDescent="0.3">
      <c r="I673"/>
      <c r="J673"/>
      <c r="K673"/>
      <c r="L673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/>
      <c r="X673"/>
    </row>
    <row r="674" spans="9:24" x14ac:dyDescent="0.3">
      <c r="I674"/>
      <c r="J674"/>
      <c r="K674"/>
      <c r="L674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/>
      <c r="X674"/>
    </row>
    <row r="675" spans="9:24" x14ac:dyDescent="0.3">
      <c r="I675"/>
      <c r="J675"/>
      <c r="K675"/>
      <c r="L675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/>
      <c r="X675"/>
    </row>
    <row r="676" spans="9:24" x14ac:dyDescent="0.3">
      <c r="I676"/>
      <c r="J676"/>
      <c r="K676"/>
      <c r="L676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/>
      <c r="X676"/>
    </row>
    <row r="677" spans="9:24" x14ac:dyDescent="0.3">
      <c r="I677"/>
      <c r="J677"/>
      <c r="K677"/>
      <c r="L677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/>
      <c r="X677"/>
    </row>
    <row r="678" spans="9:24" x14ac:dyDescent="0.3">
      <c r="I678"/>
      <c r="J678"/>
      <c r="K678"/>
      <c r="L678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/>
      <c r="X678"/>
    </row>
    <row r="679" spans="9:24" x14ac:dyDescent="0.3">
      <c r="I679"/>
      <c r="J679"/>
      <c r="K679"/>
      <c r="L679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/>
      <c r="X679"/>
    </row>
    <row r="680" spans="9:24" x14ac:dyDescent="0.3">
      <c r="I680"/>
      <c r="J680"/>
      <c r="K680"/>
      <c r="L680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/>
      <c r="X680"/>
    </row>
    <row r="681" spans="9:24" x14ac:dyDescent="0.3">
      <c r="I681"/>
      <c r="J681"/>
      <c r="K681"/>
      <c r="L68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/>
      <c r="X681"/>
    </row>
    <row r="682" spans="9:24" x14ac:dyDescent="0.3">
      <c r="I682"/>
      <c r="J682"/>
      <c r="K682"/>
      <c r="L682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/>
      <c r="X682"/>
    </row>
    <row r="683" spans="9:24" x14ac:dyDescent="0.3">
      <c r="I683"/>
      <c r="J683"/>
      <c r="K683"/>
      <c r="L683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/>
      <c r="X683"/>
    </row>
    <row r="684" spans="9:24" x14ac:dyDescent="0.3">
      <c r="I684"/>
      <c r="J684"/>
      <c r="K684"/>
      <c r="L684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/>
      <c r="X684"/>
    </row>
    <row r="685" spans="9:24" x14ac:dyDescent="0.3">
      <c r="I685"/>
      <c r="J685"/>
      <c r="K685"/>
      <c r="L685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/>
      <c r="X685"/>
    </row>
    <row r="686" spans="9:24" x14ac:dyDescent="0.3">
      <c r="I686"/>
      <c r="J686"/>
      <c r="K686"/>
      <c r="L686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/>
      <c r="X686"/>
    </row>
    <row r="687" spans="9:24" x14ac:dyDescent="0.3">
      <c r="I687"/>
      <c r="J687"/>
      <c r="K687"/>
      <c r="L687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/>
      <c r="X687"/>
    </row>
    <row r="688" spans="9:24" x14ac:dyDescent="0.3">
      <c r="I688"/>
      <c r="J688"/>
      <c r="K688"/>
      <c r="L688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/>
      <c r="X688"/>
    </row>
    <row r="689" spans="9:24" x14ac:dyDescent="0.3">
      <c r="I689"/>
      <c r="J689"/>
      <c r="K689"/>
      <c r="L689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/>
      <c r="X689"/>
    </row>
    <row r="690" spans="9:24" x14ac:dyDescent="0.3">
      <c r="I690"/>
      <c r="J690"/>
      <c r="K690"/>
      <c r="L690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/>
      <c r="X690"/>
    </row>
    <row r="691" spans="9:24" x14ac:dyDescent="0.3">
      <c r="I691"/>
      <c r="J691"/>
      <c r="K691"/>
      <c r="L69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/>
      <c r="X691"/>
    </row>
    <row r="692" spans="9:24" x14ac:dyDescent="0.3">
      <c r="I692"/>
      <c r="J692"/>
      <c r="K692"/>
      <c r="L692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/>
      <c r="X692"/>
    </row>
    <row r="693" spans="9:24" x14ac:dyDescent="0.3">
      <c r="I693"/>
      <c r="J693"/>
      <c r="K693"/>
      <c r="L693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/>
      <c r="X693"/>
    </row>
    <row r="694" spans="9:24" x14ac:dyDescent="0.3">
      <c r="I694"/>
      <c r="J694"/>
      <c r="K694"/>
      <c r="L694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/>
      <c r="X694"/>
    </row>
    <row r="695" spans="9:24" x14ac:dyDescent="0.3">
      <c r="I695"/>
      <c r="J695"/>
      <c r="K695"/>
      <c r="L695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/>
      <c r="X695"/>
    </row>
    <row r="696" spans="9:24" x14ac:dyDescent="0.3">
      <c r="I696"/>
      <c r="J696"/>
      <c r="K696"/>
      <c r="L696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/>
      <c r="X696"/>
    </row>
    <row r="697" spans="9:24" x14ac:dyDescent="0.3">
      <c r="I697"/>
      <c r="J697"/>
      <c r="K697"/>
      <c r="L697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/>
      <c r="X697"/>
    </row>
    <row r="698" spans="9:24" x14ac:dyDescent="0.3">
      <c r="I698"/>
      <c r="J698"/>
      <c r="K698"/>
      <c r="L698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/>
      <c r="X698"/>
    </row>
    <row r="699" spans="9:24" x14ac:dyDescent="0.3">
      <c r="I699"/>
      <c r="J699"/>
      <c r="K699"/>
      <c r="L699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/>
      <c r="X699"/>
    </row>
    <row r="700" spans="9:24" x14ac:dyDescent="0.3">
      <c r="I700"/>
      <c r="J700"/>
      <c r="K700"/>
      <c r="L700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/>
      <c r="X700"/>
    </row>
    <row r="701" spans="9:24" x14ac:dyDescent="0.3">
      <c r="I701"/>
      <c r="J701"/>
      <c r="K701"/>
      <c r="L70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/>
      <c r="X701"/>
    </row>
    <row r="702" spans="9:24" x14ac:dyDescent="0.3">
      <c r="I702"/>
      <c r="J702"/>
      <c r="K702"/>
      <c r="L702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/>
      <c r="X702"/>
    </row>
    <row r="703" spans="9:24" x14ac:dyDescent="0.3">
      <c r="I703"/>
      <c r="J703"/>
      <c r="K703"/>
      <c r="L703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/>
      <c r="X703"/>
    </row>
    <row r="704" spans="9:24" x14ac:dyDescent="0.3">
      <c r="I704"/>
      <c r="J704"/>
      <c r="K704"/>
      <c r="L704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/>
      <c r="X704"/>
    </row>
    <row r="705" spans="9:24" x14ac:dyDescent="0.3">
      <c r="I705"/>
      <c r="J705"/>
      <c r="K705"/>
      <c r="L705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/>
      <c r="X705"/>
    </row>
    <row r="706" spans="9:24" x14ac:dyDescent="0.3">
      <c r="I706"/>
      <c r="J706"/>
      <c r="K706"/>
      <c r="L706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/>
      <c r="X706"/>
    </row>
    <row r="707" spans="9:24" x14ac:dyDescent="0.3">
      <c r="I707"/>
      <c r="J707"/>
      <c r="K707"/>
      <c r="L707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/>
      <c r="X707"/>
    </row>
    <row r="708" spans="9:24" x14ac:dyDescent="0.3">
      <c r="I708"/>
      <c r="J708"/>
      <c r="K708"/>
      <c r="L708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/>
      <c r="X708"/>
    </row>
    <row r="709" spans="9:24" x14ac:dyDescent="0.3">
      <c r="I709"/>
      <c r="J709"/>
      <c r="K709"/>
      <c r="L709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/>
      <c r="X709"/>
    </row>
    <row r="710" spans="9:24" x14ac:dyDescent="0.3">
      <c r="I710"/>
      <c r="J710"/>
      <c r="K710"/>
      <c r="L710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/>
      <c r="X710"/>
    </row>
    <row r="711" spans="9:24" x14ac:dyDescent="0.3">
      <c r="I711"/>
      <c r="J711"/>
      <c r="K711"/>
      <c r="L7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/>
      <c r="X711"/>
    </row>
    <row r="712" spans="9:24" x14ac:dyDescent="0.3">
      <c r="I712"/>
      <c r="J712"/>
      <c r="K712"/>
      <c r="L712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/>
      <c r="X712"/>
    </row>
    <row r="713" spans="9:24" x14ac:dyDescent="0.3">
      <c r="I713"/>
      <c r="J713"/>
      <c r="K713"/>
      <c r="L713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/>
      <c r="X713"/>
    </row>
    <row r="714" spans="9:24" x14ac:dyDescent="0.3">
      <c r="I714"/>
      <c r="J714"/>
      <c r="K714"/>
      <c r="L714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/>
      <c r="X714"/>
    </row>
    <row r="715" spans="9:24" x14ac:dyDescent="0.3">
      <c r="I715"/>
      <c r="J715"/>
      <c r="K715"/>
      <c r="L715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/>
      <c r="X715"/>
    </row>
    <row r="716" spans="9:24" x14ac:dyDescent="0.3">
      <c r="I716"/>
      <c r="J716"/>
      <c r="K716"/>
      <c r="L716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/>
      <c r="X716"/>
    </row>
    <row r="717" spans="9:24" x14ac:dyDescent="0.3">
      <c r="I717"/>
      <c r="J717"/>
      <c r="K717"/>
      <c r="L717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/>
      <c r="X717"/>
    </row>
    <row r="718" spans="9:24" x14ac:dyDescent="0.3">
      <c r="I718"/>
      <c r="J718"/>
      <c r="K718"/>
      <c r="L718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/>
      <c r="X718"/>
    </row>
    <row r="719" spans="9:24" x14ac:dyDescent="0.3">
      <c r="I719"/>
      <c r="J719"/>
      <c r="K719"/>
      <c r="L719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/>
      <c r="X719"/>
    </row>
    <row r="720" spans="9:24" x14ac:dyDescent="0.3">
      <c r="I720"/>
      <c r="J720"/>
      <c r="K720"/>
      <c r="L720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/>
      <c r="X720"/>
    </row>
    <row r="721" spans="9:24" x14ac:dyDescent="0.3">
      <c r="I721"/>
      <c r="J721"/>
      <c r="K721"/>
      <c r="L72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/>
      <c r="X721"/>
    </row>
    <row r="722" spans="9:24" x14ac:dyDescent="0.3">
      <c r="I722"/>
      <c r="J722"/>
      <c r="K722"/>
      <c r="L722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/>
      <c r="X722"/>
    </row>
    <row r="723" spans="9:24" x14ac:dyDescent="0.3">
      <c r="I723"/>
      <c r="J723"/>
      <c r="K723"/>
      <c r="L723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/>
      <c r="X723"/>
    </row>
    <row r="724" spans="9:24" x14ac:dyDescent="0.3">
      <c r="I724"/>
      <c r="J724"/>
      <c r="K724"/>
      <c r="L724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/>
      <c r="X724"/>
    </row>
    <row r="725" spans="9:24" x14ac:dyDescent="0.3">
      <c r="I725"/>
      <c r="J725"/>
      <c r="K725"/>
      <c r="L725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/>
      <c r="X725"/>
    </row>
    <row r="726" spans="9:24" x14ac:dyDescent="0.3">
      <c r="I726"/>
      <c r="J726"/>
      <c r="K726"/>
      <c r="L726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/>
      <c r="X726"/>
    </row>
    <row r="727" spans="9:24" x14ac:dyDescent="0.3">
      <c r="I727"/>
      <c r="J727"/>
      <c r="K727"/>
      <c r="L727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/>
      <c r="X727"/>
    </row>
    <row r="728" spans="9:24" x14ac:dyDescent="0.3">
      <c r="I728"/>
      <c r="J728"/>
      <c r="K728"/>
      <c r="L728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/>
      <c r="X728"/>
    </row>
    <row r="729" spans="9:24" x14ac:dyDescent="0.3">
      <c r="I729"/>
      <c r="J729"/>
      <c r="K729"/>
      <c r="L729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/>
      <c r="X729"/>
    </row>
    <row r="730" spans="9:24" x14ac:dyDescent="0.3">
      <c r="I730"/>
      <c r="J730"/>
      <c r="K730"/>
      <c r="L730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/>
      <c r="X730"/>
    </row>
    <row r="731" spans="9:24" x14ac:dyDescent="0.3">
      <c r="I731"/>
      <c r="J731"/>
      <c r="K731"/>
      <c r="L73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/>
      <c r="X731"/>
    </row>
    <row r="732" spans="9:24" x14ac:dyDescent="0.3">
      <c r="I732"/>
      <c r="J732"/>
      <c r="K732"/>
      <c r="L732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/>
      <c r="X732"/>
    </row>
    <row r="733" spans="9:24" x14ac:dyDescent="0.3">
      <c r="I733"/>
      <c r="J733"/>
      <c r="K733"/>
      <c r="L733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/>
      <c r="X733"/>
    </row>
    <row r="734" spans="9:24" x14ac:dyDescent="0.3">
      <c r="I734"/>
      <c r="J734"/>
      <c r="K734"/>
      <c r="L734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/>
      <c r="X734"/>
    </row>
    <row r="735" spans="9:24" x14ac:dyDescent="0.3">
      <c r="I735"/>
      <c r="J735"/>
      <c r="K735"/>
      <c r="L735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/>
      <c r="X735"/>
    </row>
    <row r="736" spans="9:24" x14ac:dyDescent="0.3">
      <c r="I736"/>
      <c r="J736"/>
      <c r="K736"/>
      <c r="L736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/>
      <c r="X736"/>
    </row>
    <row r="737" spans="9:24" x14ac:dyDescent="0.3">
      <c r="I737"/>
      <c r="J737"/>
      <c r="K737"/>
      <c r="L737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/>
      <c r="X737"/>
    </row>
    <row r="738" spans="9:24" x14ac:dyDescent="0.3">
      <c r="I738"/>
      <c r="J738"/>
      <c r="K738"/>
      <c r="L738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/>
      <c r="X738"/>
    </row>
    <row r="739" spans="9:24" x14ac:dyDescent="0.3">
      <c r="I739"/>
      <c r="J739"/>
      <c r="K739"/>
      <c r="L739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/>
      <c r="X739"/>
    </row>
    <row r="740" spans="9:24" x14ac:dyDescent="0.3">
      <c r="I740"/>
      <c r="J740"/>
      <c r="K740"/>
      <c r="L740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/>
      <c r="X740"/>
    </row>
    <row r="741" spans="9:24" x14ac:dyDescent="0.3">
      <c r="I741"/>
      <c r="J741"/>
      <c r="K741"/>
      <c r="L74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/>
      <c r="X741"/>
    </row>
    <row r="742" spans="9:24" x14ac:dyDescent="0.3">
      <c r="I742"/>
      <c r="J742"/>
      <c r="K742"/>
      <c r="L742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/>
      <c r="X742"/>
    </row>
    <row r="743" spans="9:24" x14ac:dyDescent="0.3">
      <c r="I743"/>
      <c r="J743"/>
      <c r="K743"/>
      <c r="L743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/>
      <c r="X743"/>
    </row>
    <row r="744" spans="9:24" x14ac:dyDescent="0.3">
      <c r="I744"/>
      <c r="J744"/>
      <c r="K744"/>
      <c r="L744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/>
      <c r="X744"/>
    </row>
    <row r="745" spans="9:24" x14ac:dyDescent="0.3">
      <c r="I745"/>
      <c r="J745"/>
      <c r="K745"/>
      <c r="L745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/>
      <c r="X745"/>
    </row>
    <row r="746" spans="9:24" x14ac:dyDescent="0.3">
      <c r="I746"/>
      <c r="J746"/>
      <c r="K746"/>
      <c r="L746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/>
      <c r="X746"/>
    </row>
    <row r="747" spans="9:24" x14ac:dyDescent="0.3">
      <c r="I747"/>
      <c r="J747"/>
      <c r="K747"/>
      <c r="L747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/>
      <c r="X747"/>
    </row>
    <row r="748" spans="9:24" x14ac:dyDescent="0.3">
      <c r="I748"/>
      <c r="J748"/>
      <c r="K748"/>
      <c r="L748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/>
      <c r="X748"/>
    </row>
    <row r="749" spans="9:24" x14ac:dyDescent="0.3">
      <c r="I749"/>
      <c r="J749"/>
      <c r="K749"/>
      <c r="L749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/>
      <c r="X749"/>
    </row>
    <row r="750" spans="9:24" x14ac:dyDescent="0.3">
      <c r="I750"/>
      <c r="J750"/>
      <c r="K750"/>
      <c r="L750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/>
      <c r="X750"/>
    </row>
    <row r="751" spans="9:24" x14ac:dyDescent="0.3">
      <c r="I751"/>
      <c r="J751"/>
      <c r="K751"/>
      <c r="L75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/>
      <c r="X751"/>
    </row>
    <row r="752" spans="9:24" x14ac:dyDescent="0.3">
      <c r="I752"/>
      <c r="J752"/>
      <c r="K752"/>
      <c r="L752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/>
      <c r="X752"/>
    </row>
    <row r="753" spans="9:24" x14ac:dyDescent="0.3">
      <c r="I753"/>
      <c r="J753"/>
      <c r="K753"/>
      <c r="L753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/>
      <c r="X753"/>
    </row>
    <row r="754" spans="9:24" x14ac:dyDescent="0.3">
      <c r="I754"/>
      <c r="J754"/>
      <c r="K754"/>
      <c r="L754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/>
      <c r="X754"/>
    </row>
    <row r="755" spans="9:24" x14ac:dyDescent="0.3">
      <c r="I755"/>
      <c r="J755"/>
      <c r="K755"/>
      <c r="L755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/>
      <c r="X755"/>
    </row>
    <row r="756" spans="9:24" x14ac:dyDescent="0.3">
      <c r="I756"/>
      <c r="J756"/>
      <c r="K756"/>
      <c r="L756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/>
      <c r="X756"/>
    </row>
    <row r="757" spans="9:24" x14ac:dyDescent="0.3">
      <c r="I757"/>
      <c r="J757"/>
      <c r="K757"/>
      <c r="L757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/>
      <c r="X757"/>
    </row>
    <row r="758" spans="9:24" x14ac:dyDescent="0.3">
      <c r="I758"/>
      <c r="J758"/>
      <c r="K758"/>
      <c r="L758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/>
      <c r="X758"/>
    </row>
    <row r="759" spans="9:24" x14ac:dyDescent="0.3">
      <c r="I759"/>
      <c r="J759"/>
      <c r="K759"/>
      <c r="L759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/>
      <c r="X759"/>
    </row>
    <row r="760" spans="9:24" x14ac:dyDescent="0.3">
      <c r="I760"/>
      <c r="J760"/>
      <c r="K760"/>
      <c r="L760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/>
      <c r="X760"/>
    </row>
    <row r="761" spans="9:24" x14ac:dyDescent="0.3">
      <c r="I761"/>
      <c r="J761"/>
      <c r="K761"/>
      <c r="L76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/>
      <c r="X761"/>
    </row>
    <row r="762" spans="9:24" x14ac:dyDescent="0.3">
      <c r="I762"/>
      <c r="J762"/>
      <c r="K762"/>
      <c r="L762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/>
      <c r="X762"/>
    </row>
    <row r="763" spans="9:24" x14ac:dyDescent="0.3">
      <c r="I763"/>
      <c r="J763"/>
      <c r="K763"/>
      <c r="L763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/>
      <c r="X763"/>
    </row>
    <row r="764" spans="9:24" x14ac:dyDescent="0.3">
      <c r="I764"/>
      <c r="J764"/>
      <c r="K764"/>
      <c r="L764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/>
      <c r="X764"/>
    </row>
    <row r="765" spans="9:24" x14ac:dyDescent="0.3">
      <c r="I765"/>
      <c r="J765"/>
      <c r="K765"/>
      <c r="L765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/>
      <c r="X765"/>
    </row>
    <row r="766" spans="9:24" x14ac:dyDescent="0.3">
      <c r="I766"/>
      <c r="J766"/>
      <c r="K766"/>
      <c r="L766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/>
      <c r="X766"/>
    </row>
    <row r="767" spans="9:24" x14ac:dyDescent="0.3">
      <c r="I767"/>
      <c r="J767"/>
      <c r="K767"/>
      <c r="L767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/>
      <c r="X767"/>
    </row>
    <row r="768" spans="9:24" x14ac:dyDescent="0.3">
      <c r="I768"/>
      <c r="J768"/>
      <c r="K768"/>
      <c r="L768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/>
      <c r="X768"/>
    </row>
    <row r="769" spans="9:24" x14ac:dyDescent="0.3">
      <c r="I769"/>
      <c r="J769"/>
      <c r="K769"/>
      <c r="L769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/>
      <c r="X769"/>
    </row>
    <row r="770" spans="9:24" x14ac:dyDescent="0.3">
      <c r="I770"/>
      <c r="J770"/>
      <c r="K770"/>
      <c r="L770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/>
      <c r="X770"/>
    </row>
    <row r="771" spans="9:24" x14ac:dyDescent="0.3">
      <c r="I771"/>
      <c r="J771"/>
      <c r="K771"/>
      <c r="L77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/>
      <c r="X771"/>
    </row>
    <row r="772" spans="9:24" x14ac:dyDescent="0.3">
      <c r="I772"/>
      <c r="J772"/>
      <c r="K772"/>
      <c r="L772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/>
      <c r="X772"/>
    </row>
    <row r="773" spans="9:24" x14ac:dyDescent="0.3">
      <c r="I773"/>
      <c r="J773"/>
      <c r="K773"/>
      <c r="L773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/>
      <c r="X773"/>
    </row>
    <row r="774" spans="9:24" x14ac:dyDescent="0.3">
      <c r="I774"/>
      <c r="J774"/>
      <c r="K774"/>
      <c r="L774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/>
      <c r="X774"/>
    </row>
    <row r="775" spans="9:24" x14ac:dyDescent="0.3">
      <c r="I775"/>
      <c r="J775"/>
      <c r="K775"/>
      <c r="L775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/>
      <c r="X775"/>
    </row>
    <row r="776" spans="9:24" x14ac:dyDescent="0.3">
      <c r="I776"/>
      <c r="J776"/>
      <c r="K776"/>
      <c r="L776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/>
      <c r="X776"/>
    </row>
    <row r="777" spans="9:24" x14ac:dyDescent="0.3">
      <c r="I777"/>
      <c r="J777"/>
      <c r="K777"/>
      <c r="L777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/>
      <c r="X777"/>
    </row>
    <row r="778" spans="9:24" x14ac:dyDescent="0.3">
      <c r="I778"/>
      <c r="J778"/>
      <c r="K778"/>
      <c r="L778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/>
      <c r="X778"/>
    </row>
    <row r="779" spans="9:24" x14ac:dyDescent="0.3">
      <c r="I779"/>
      <c r="J779"/>
      <c r="K779"/>
      <c r="L779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/>
      <c r="X779"/>
    </row>
    <row r="780" spans="9:24" x14ac:dyDescent="0.3">
      <c r="I780"/>
      <c r="J780"/>
      <c r="K780"/>
      <c r="L780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/>
      <c r="X780"/>
    </row>
    <row r="781" spans="9:24" x14ac:dyDescent="0.3">
      <c r="I781"/>
      <c r="J781"/>
      <c r="K781"/>
      <c r="L78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/>
      <c r="X781"/>
    </row>
    <row r="782" spans="9:24" x14ac:dyDescent="0.3">
      <c r="I782"/>
      <c r="J782"/>
      <c r="K782"/>
      <c r="L782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/>
      <c r="X782"/>
    </row>
    <row r="783" spans="9:24" x14ac:dyDescent="0.3">
      <c r="I783"/>
      <c r="J783"/>
      <c r="K783"/>
      <c r="L783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/>
      <c r="X783"/>
    </row>
    <row r="784" spans="9:24" x14ac:dyDescent="0.3">
      <c r="I784"/>
      <c r="J784"/>
      <c r="K784"/>
      <c r="L784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/>
      <c r="X784"/>
    </row>
    <row r="785" spans="9:24" x14ac:dyDescent="0.3">
      <c r="I785"/>
      <c r="J785"/>
      <c r="K785"/>
      <c r="L785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/>
      <c r="X785"/>
    </row>
    <row r="786" spans="9:24" x14ac:dyDescent="0.3">
      <c r="I786"/>
      <c r="J786"/>
      <c r="K786"/>
      <c r="L786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/>
      <c r="X786"/>
    </row>
    <row r="787" spans="9:24" x14ac:dyDescent="0.3">
      <c r="I787"/>
      <c r="J787"/>
      <c r="K787"/>
      <c r="L787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/>
      <c r="X787"/>
    </row>
    <row r="788" spans="9:24" x14ac:dyDescent="0.3">
      <c r="I788"/>
      <c r="J788"/>
      <c r="K788"/>
      <c r="L788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/>
      <c r="X788"/>
    </row>
    <row r="789" spans="9:24" x14ac:dyDescent="0.3">
      <c r="I789"/>
      <c r="J789"/>
      <c r="K789"/>
      <c r="L789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/>
      <c r="X789"/>
    </row>
    <row r="790" spans="9:24" x14ac:dyDescent="0.3">
      <c r="I790"/>
      <c r="J790"/>
      <c r="K790"/>
      <c r="L790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/>
      <c r="X790"/>
    </row>
    <row r="791" spans="9:24" x14ac:dyDescent="0.3">
      <c r="I791"/>
      <c r="J791"/>
      <c r="K791"/>
      <c r="L79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/>
      <c r="X791"/>
    </row>
    <row r="792" spans="9:24" x14ac:dyDescent="0.3">
      <c r="I792"/>
      <c r="J792"/>
      <c r="K792"/>
      <c r="L792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/>
      <c r="X792"/>
    </row>
    <row r="793" spans="9:24" x14ac:dyDescent="0.3">
      <c r="I793"/>
      <c r="J793"/>
      <c r="K793"/>
      <c r="L793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/>
      <c r="X793"/>
    </row>
    <row r="794" spans="9:24" x14ac:dyDescent="0.3">
      <c r="I794"/>
      <c r="J794"/>
      <c r="K794"/>
      <c r="L794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/>
      <c r="X794"/>
    </row>
    <row r="795" spans="9:24" x14ac:dyDescent="0.3">
      <c r="I795"/>
      <c r="J795"/>
      <c r="K795"/>
      <c r="L795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/>
      <c r="X795"/>
    </row>
    <row r="796" spans="9:24" x14ac:dyDescent="0.3">
      <c r="I796"/>
      <c r="J796"/>
      <c r="K796"/>
      <c r="L796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/>
      <c r="X796"/>
    </row>
    <row r="797" spans="9:24" x14ac:dyDescent="0.3">
      <c r="I797"/>
      <c r="J797"/>
      <c r="K797"/>
      <c r="L797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/>
      <c r="X797"/>
    </row>
    <row r="798" spans="9:24" x14ac:dyDescent="0.3">
      <c r="I798"/>
      <c r="J798"/>
      <c r="K798"/>
      <c r="L798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/>
      <c r="X798"/>
    </row>
    <row r="799" spans="9:24" x14ac:dyDescent="0.3">
      <c r="I799"/>
      <c r="J799"/>
      <c r="K799"/>
      <c r="L799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/>
      <c r="X799"/>
    </row>
    <row r="800" spans="9:24" x14ac:dyDescent="0.3">
      <c r="I800"/>
      <c r="J800"/>
      <c r="K800"/>
      <c r="L800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/>
      <c r="X800"/>
    </row>
    <row r="801" spans="9:24" x14ac:dyDescent="0.3">
      <c r="I801"/>
      <c r="J801"/>
      <c r="K801"/>
      <c r="L80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/>
      <c r="X801"/>
    </row>
    <row r="802" spans="9:24" x14ac:dyDescent="0.3">
      <c r="I802"/>
      <c r="J802"/>
      <c r="K802"/>
      <c r="L802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/>
      <c r="X802"/>
    </row>
    <row r="803" spans="9:24" x14ac:dyDescent="0.3">
      <c r="I803"/>
      <c r="J803"/>
      <c r="K803"/>
      <c r="L803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/>
      <c r="X803"/>
    </row>
    <row r="804" spans="9:24" x14ac:dyDescent="0.3">
      <c r="I804"/>
      <c r="J804"/>
      <c r="K804"/>
      <c r="L804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/>
      <c r="X804"/>
    </row>
    <row r="805" spans="9:24" x14ac:dyDescent="0.3">
      <c r="I805"/>
      <c r="J805"/>
      <c r="K805"/>
      <c r="L805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/>
      <c r="X805"/>
    </row>
    <row r="806" spans="9:24" x14ac:dyDescent="0.3">
      <c r="I806"/>
      <c r="J806"/>
      <c r="K806"/>
      <c r="L806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/>
      <c r="X806"/>
    </row>
    <row r="807" spans="9:24" x14ac:dyDescent="0.3">
      <c r="I807"/>
      <c r="J807"/>
      <c r="K807"/>
      <c r="L807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/>
      <c r="X807"/>
    </row>
    <row r="808" spans="9:24" x14ac:dyDescent="0.3">
      <c r="I808"/>
      <c r="J808"/>
      <c r="K808"/>
      <c r="L808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/>
      <c r="X808"/>
    </row>
    <row r="809" spans="9:24" x14ac:dyDescent="0.3">
      <c r="I809"/>
      <c r="J809"/>
      <c r="K809"/>
      <c r="L809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/>
      <c r="X809"/>
    </row>
    <row r="810" spans="9:24" x14ac:dyDescent="0.3">
      <c r="I810"/>
      <c r="J810"/>
      <c r="K810"/>
      <c r="L810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/>
      <c r="X810"/>
    </row>
    <row r="811" spans="9:24" x14ac:dyDescent="0.3">
      <c r="I811"/>
      <c r="J811"/>
      <c r="K811"/>
      <c r="L8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/>
      <c r="X811"/>
    </row>
    <row r="812" spans="9:24" x14ac:dyDescent="0.3">
      <c r="I812"/>
      <c r="J812"/>
      <c r="K812"/>
      <c r="L812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/>
      <c r="X812"/>
    </row>
    <row r="813" spans="9:24" x14ac:dyDescent="0.3">
      <c r="I813"/>
      <c r="J813"/>
      <c r="K813"/>
      <c r="L813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/>
      <c r="X813"/>
    </row>
    <row r="814" spans="9:24" x14ac:dyDescent="0.3">
      <c r="I814"/>
      <c r="J814"/>
      <c r="K814"/>
      <c r="L814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/>
      <c r="X814"/>
    </row>
    <row r="815" spans="9:24" x14ac:dyDescent="0.3">
      <c r="I815"/>
      <c r="J815"/>
      <c r="K815"/>
      <c r="L815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/>
      <c r="X815"/>
    </row>
    <row r="816" spans="9:24" x14ac:dyDescent="0.3">
      <c r="I816"/>
      <c r="J816"/>
      <c r="K816"/>
      <c r="L816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/>
      <c r="X816"/>
    </row>
    <row r="817" spans="9:24" x14ac:dyDescent="0.3">
      <c r="I817"/>
      <c r="J817"/>
      <c r="K817"/>
      <c r="L817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/>
      <c r="X817"/>
    </row>
    <row r="818" spans="9:24" x14ac:dyDescent="0.3">
      <c r="I818"/>
      <c r="J818"/>
      <c r="K818"/>
      <c r="L818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/>
      <c r="X818"/>
    </row>
    <row r="819" spans="9:24" x14ac:dyDescent="0.3">
      <c r="I819"/>
      <c r="J819"/>
      <c r="K819"/>
      <c r="L819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/>
      <c r="X819"/>
    </row>
    <row r="820" spans="9:24" x14ac:dyDescent="0.3">
      <c r="I820"/>
      <c r="J820"/>
      <c r="K820"/>
      <c r="L820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/>
      <c r="X820"/>
    </row>
    <row r="821" spans="9:24" x14ac:dyDescent="0.3">
      <c r="I821"/>
      <c r="J821"/>
      <c r="K821"/>
      <c r="L82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/>
      <c r="X821"/>
    </row>
    <row r="822" spans="9:24" x14ac:dyDescent="0.3">
      <c r="I822"/>
      <c r="J822"/>
      <c r="K822"/>
      <c r="L822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/>
      <c r="X822"/>
    </row>
    <row r="823" spans="9:24" x14ac:dyDescent="0.3">
      <c r="I823"/>
      <c r="J823"/>
      <c r="K823"/>
      <c r="L823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/>
      <c r="X823"/>
    </row>
    <row r="824" spans="9:24" x14ac:dyDescent="0.3">
      <c r="I824"/>
      <c r="J824"/>
      <c r="K824"/>
      <c r="L824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/>
      <c r="X824"/>
    </row>
    <row r="825" spans="9:24" x14ac:dyDescent="0.3">
      <c r="I825"/>
      <c r="J825"/>
      <c r="K825"/>
      <c r="L825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/>
      <c r="X825"/>
    </row>
    <row r="826" spans="9:24" x14ac:dyDescent="0.3">
      <c r="I826"/>
      <c r="J826"/>
      <c r="K826"/>
      <c r="L826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/>
      <c r="X826"/>
    </row>
    <row r="827" spans="9:24" x14ac:dyDescent="0.3">
      <c r="I827"/>
      <c r="J827"/>
      <c r="K827"/>
      <c r="L827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/>
      <c r="X827"/>
    </row>
    <row r="828" spans="9:24" x14ac:dyDescent="0.3">
      <c r="I828"/>
      <c r="J828"/>
      <c r="K828"/>
      <c r="L828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/>
      <c r="X828"/>
    </row>
    <row r="829" spans="9:24" x14ac:dyDescent="0.3">
      <c r="I829"/>
      <c r="J829"/>
      <c r="K829"/>
      <c r="L829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/>
      <c r="X829"/>
    </row>
    <row r="830" spans="9:24" x14ac:dyDescent="0.3">
      <c r="I830"/>
      <c r="J830"/>
      <c r="K830"/>
      <c r="L830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/>
      <c r="X830"/>
    </row>
    <row r="831" spans="9:24" x14ac:dyDescent="0.3">
      <c r="I831"/>
      <c r="J831"/>
      <c r="K831"/>
      <c r="L83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/>
      <c r="X831"/>
    </row>
    <row r="832" spans="9:24" x14ac:dyDescent="0.3">
      <c r="I832"/>
      <c r="J832"/>
      <c r="K832"/>
      <c r="L832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/>
      <c r="X832"/>
    </row>
    <row r="833" spans="9:24" x14ac:dyDescent="0.3">
      <c r="I833"/>
      <c r="J833"/>
      <c r="K833"/>
      <c r="L833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/>
      <c r="X833"/>
    </row>
    <row r="834" spans="9:24" x14ac:dyDescent="0.3">
      <c r="I834"/>
      <c r="J834"/>
      <c r="K834"/>
      <c r="L834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/>
      <c r="X834"/>
    </row>
    <row r="835" spans="9:24" x14ac:dyDescent="0.3">
      <c r="I835"/>
      <c r="J835"/>
      <c r="K835"/>
      <c r="L835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/>
      <c r="X835"/>
    </row>
    <row r="836" spans="9:24" x14ac:dyDescent="0.3">
      <c r="I836"/>
      <c r="J836"/>
      <c r="K836"/>
      <c r="L836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/>
      <c r="X836"/>
    </row>
    <row r="837" spans="9:24" x14ac:dyDescent="0.3">
      <c r="I837"/>
      <c r="J837"/>
      <c r="K837"/>
      <c r="L837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/>
      <c r="X837"/>
    </row>
    <row r="838" spans="9:24" x14ac:dyDescent="0.3">
      <c r="I838"/>
      <c r="J838"/>
      <c r="K838"/>
      <c r="L838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/>
      <c r="X838"/>
    </row>
    <row r="839" spans="9:24" x14ac:dyDescent="0.3">
      <c r="I839"/>
      <c r="J839"/>
      <c r="K839"/>
      <c r="L839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/>
      <c r="X839"/>
    </row>
    <row r="840" spans="9:24" x14ac:dyDescent="0.3">
      <c r="I840"/>
      <c r="J840"/>
      <c r="K840"/>
      <c r="L840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/>
      <c r="X840"/>
    </row>
    <row r="841" spans="9:24" x14ac:dyDescent="0.3">
      <c r="I841"/>
      <c r="J841"/>
      <c r="K841"/>
      <c r="L84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/>
      <c r="X841"/>
    </row>
    <row r="842" spans="9:24" x14ac:dyDescent="0.3">
      <c r="I842"/>
      <c r="J842"/>
      <c r="K842"/>
      <c r="L842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/>
      <c r="X842"/>
    </row>
    <row r="843" spans="9:24" x14ac:dyDescent="0.3">
      <c r="I843"/>
      <c r="J843"/>
      <c r="K843"/>
      <c r="L843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/>
      <c r="X843"/>
    </row>
    <row r="844" spans="9:24" x14ac:dyDescent="0.3">
      <c r="I844"/>
      <c r="J844"/>
      <c r="K844"/>
      <c r="L844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/>
      <c r="X844"/>
    </row>
    <row r="845" spans="9:24" x14ac:dyDescent="0.3">
      <c r="I845"/>
      <c r="J845"/>
      <c r="K845"/>
      <c r="L845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/>
      <c r="X845"/>
    </row>
    <row r="846" spans="9:24" x14ac:dyDescent="0.3">
      <c r="I846"/>
      <c r="J846"/>
      <c r="K846"/>
      <c r="L846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/>
      <c r="X846"/>
    </row>
    <row r="847" spans="9:24" x14ac:dyDescent="0.3">
      <c r="I847"/>
      <c r="J847"/>
      <c r="K847"/>
      <c r="L847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/>
      <c r="X847"/>
    </row>
    <row r="848" spans="9:24" x14ac:dyDescent="0.3">
      <c r="I848"/>
      <c r="J848"/>
      <c r="K848"/>
      <c r="L848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/>
      <c r="X848"/>
    </row>
    <row r="849" spans="9:24" x14ac:dyDescent="0.3">
      <c r="I849"/>
      <c r="J849"/>
      <c r="K849"/>
      <c r="L849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/>
      <c r="X849"/>
    </row>
    <row r="850" spans="9:24" x14ac:dyDescent="0.3">
      <c r="I850"/>
      <c r="J850"/>
      <c r="K850"/>
      <c r="L850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/>
      <c r="X850"/>
    </row>
    <row r="851" spans="9:24" x14ac:dyDescent="0.3">
      <c r="I851"/>
      <c r="J851"/>
      <c r="K851"/>
      <c r="L85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/>
      <c r="X851"/>
    </row>
    <row r="852" spans="9:24" x14ac:dyDescent="0.3">
      <c r="I852"/>
      <c r="J852"/>
      <c r="K852"/>
      <c r="L852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/>
      <c r="X852"/>
    </row>
    <row r="853" spans="9:24" x14ac:dyDescent="0.3">
      <c r="I853"/>
      <c r="J853"/>
      <c r="K853"/>
      <c r="L853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/>
      <c r="X853"/>
    </row>
    <row r="854" spans="9:24" x14ac:dyDescent="0.3">
      <c r="I854"/>
      <c r="J854"/>
      <c r="K854"/>
      <c r="L854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/>
      <c r="X854"/>
    </row>
    <row r="855" spans="9:24" x14ac:dyDescent="0.3">
      <c r="I855"/>
      <c r="J855"/>
      <c r="K855"/>
      <c r="L855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/>
      <c r="X855"/>
    </row>
    <row r="856" spans="9:24" x14ac:dyDescent="0.3">
      <c r="I856"/>
      <c r="J856"/>
      <c r="K856"/>
      <c r="L856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/>
      <c r="X856"/>
    </row>
    <row r="857" spans="9:24" x14ac:dyDescent="0.3">
      <c r="I857"/>
      <c r="J857"/>
      <c r="K857"/>
      <c r="L857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/>
      <c r="X857"/>
    </row>
    <row r="858" spans="9:24" x14ac:dyDescent="0.3">
      <c r="I858"/>
      <c r="J858"/>
      <c r="K858"/>
      <c r="L858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/>
      <c r="X858"/>
    </row>
    <row r="859" spans="9:24" x14ac:dyDescent="0.3">
      <c r="I859"/>
      <c r="J859"/>
      <c r="K859"/>
      <c r="L859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/>
      <c r="X859"/>
    </row>
    <row r="860" spans="9:24" x14ac:dyDescent="0.3">
      <c r="I860"/>
      <c r="J860"/>
      <c r="K860"/>
      <c r="L860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/>
      <c r="X860"/>
    </row>
    <row r="861" spans="9:24" x14ac:dyDescent="0.3">
      <c r="I861"/>
      <c r="J861"/>
      <c r="K861"/>
      <c r="L86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/>
      <c r="X861"/>
    </row>
    <row r="862" spans="9:24" x14ac:dyDescent="0.3">
      <c r="I862"/>
      <c r="J862"/>
      <c r="K862"/>
      <c r="L862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/>
      <c r="X862"/>
    </row>
    <row r="863" spans="9:24" x14ac:dyDescent="0.3">
      <c r="I863"/>
      <c r="J863"/>
      <c r="K863"/>
      <c r="L863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/>
      <c r="X863"/>
    </row>
    <row r="864" spans="9:24" x14ac:dyDescent="0.3">
      <c r="I864"/>
      <c r="J864"/>
      <c r="K864"/>
      <c r="L864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/>
      <c r="X864"/>
    </row>
    <row r="865" spans="9:24" x14ac:dyDescent="0.3">
      <c r="I865"/>
      <c r="J865"/>
      <c r="K865"/>
      <c r="L865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/>
      <c r="X865"/>
    </row>
    <row r="866" spans="9:24" x14ac:dyDescent="0.3">
      <c r="I866"/>
      <c r="J866"/>
      <c r="K866"/>
      <c r="L866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/>
      <c r="X866"/>
    </row>
    <row r="867" spans="9:24" x14ac:dyDescent="0.3">
      <c r="I867"/>
      <c r="J867"/>
      <c r="K867"/>
      <c r="L867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/>
      <c r="X867"/>
    </row>
    <row r="868" spans="9:24" x14ac:dyDescent="0.3">
      <c r="I868"/>
      <c r="J868"/>
      <c r="K868"/>
      <c r="L868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/>
      <c r="X868"/>
    </row>
    <row r="869" spans="9:24" x14ac:dyDescent="0.3">
      <c r="I869"/>
      <c r="J869"/>
      <c r="K869"/>
      <c r="L869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/>
      <c r="X869"/>
    </row>
    <row r="870" spans="9:24" x14ac:dyDescent="0.3">
      <c r="I870"/>
      <c r="J870"/>
      <c r="K870"/>
      <c r="L870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/>
      <c r="X870"/>
    </row>
    <row r="871" spans="9:24" x14ac:dyDescent="0.3">
      <c r="I871"/>
      <c r="J871"/>
      <c r="K871"/>
      <c r="L87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/>
      <c r="X871"/>
    </row>
    <row r="872" spans="9:24" x14ac:dyDescent="0.3">
      <c r="I872"/>
      <c r="J872"/>
      <c r="K872"/>
      <c r="L872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/>
      <c r="X872"/>
    </row>
    <row r="873" spans="9:24" x14ac:dyDescent="0.3">
      <c r="I873"/>
      <c r="J873"/>
      <c r="K873"/>
      <c r="L873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/>
      <c r="X873"/>
    </row>
    <row r="874" spans="9:24" x14ac:dyDescent="0.3">
      <c r="I874"/>
      <c r="J874"/>
      <c r="K874"/>
      <c r="L874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/>
      <c r="X874"/>
    </row>
    <row r="875" spans="9:24" x14ac:dyDescent="0.3">
      <c r="I875"/>
      <c r="J875"/>
      <c r="K875"/>
      <c r="L875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/>
      <c r="X875"/>
    </row>
    <row r="876" spans="9:24" x14ac:dyDescent="0.3">
      <c r="I876"/>
      <c r="J876"/>
      <c r="K876"/>
      <c r="L876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/>
      <c r="X876"/>
    </row>
    <row r="877" spans="9:24" x14ac:dyDescent="0.3">
      <c r="I877"/>
      <c r="J877"/>
      <c r="K877"/>
      <c r="L877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/>
      <c r="X877"/>
    </row>
    <row r="878" spans="9:24" x14ac:dyDescent="0.3">
      <c r="I878"/>
      <c r="J878"/>
      <c r="K878"/>
      <c r="L878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/>
      <c r="X878"/>
    </row>
    <row r="879" spans="9:24" x14ac:dyDescent="0.3">
      <c r="I879"/>
      <c r="J879"/>
      <c r="K879"/>
      <c r="L879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/>
      <c r="X879"/>
    </row>
    <row r="880" spans="9:24" x14ac:dyDescent="0.3">
      <c r="I880"/>
      <c r="J880"/>
      <c r="K880"/>
      <c r="L880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/>
      <c r="X880"/>
    </row>
    <row r="881" spans="9:24" x14ac:dyDescent="0.3">
      <c r="I881"/>
      <c r="J881"/>
      <c r="K881"/>
      <c r="L88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/>
      <c r="X881"/>
    </row>
    <row r="882" spans="9:24" x14ac:dyDescent="0.3">
      <c r="I882"/>
      <c r="J882"/>
      <c r="K882"/>
      <c r="L882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/>
      <c r="X882"/>
    </row>
    <row r="883" spans="9:24" x14ac:dyDescent="0.3">
      <c r="I883"/>
      <c r="J883"/>
      <c r="K883"/>
      <c r="L883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/>
      <c r="X883"/>
    </row>
    <row r="884" spans="9:24" x14ac:dyDescent="0.3">
      <c r="I884"/>
      <c r="J884"/>
      <c r="K884"/>
      <c r="L884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/>
      <c r="X884"/>
    </row>
    <row r="885" spans="9:24" x14ac:dyDescent="0.3">
      <c r="I885"/>
      <c r="J885"/>
      <c r="K885"/>
      <c r="L885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/>
      <c r="X885"/>
    </row>
    <row r="886" spans="9:24" x14ac:dyDescent="0.3">
      <c r="I886"/>
      <c r="J886"/>
      <c r="K886"/>
      <c r="L886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/>
      <c r="X886"/>
    </row>
    <row r="887" spans="9:24" x14ac:dyDescent="0.3">
      <c r="I887"/>
      <c r="J887"/>
      <c r="K887"/>
      <c r="L887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/>
      <c r="X887"/>
    </row>
    <row r="888" spans="9:24" x14ac:dyDescent="0.3">
      <c r="I888"/>
      <c r="J888"/>
      <c r="K888"/>
      <c r="L888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/>
      <c r="X888"/>
    </row>
    <row r="889" spans="9:24" x14ac:dyDescent="0.3">
      <c r="I889"/>
      <c r="J889"/>
      <c r="K889"/>
      <c r="L889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/>
      <c r="X889"/>
    </row>
    <row r="890" spans="9:24" x14ac:dyDescent="0.3">
      <c r="I890"/>
      <c r="J890"/>
      <c r="K890"/>
      <c r="L890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/>
      <c r="X890"/>
    </row>
    <row r="891" spans="9:24" x14ac:dyDescent="0.3">
      <c r="I891"/>
      <c r="J891"/>
      <c r="K891"/>
      <c r="L89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/>
      <c r="X891"/>
    </row>
    <row r="892" spans="9:24" x14ac:dyDescent="0.3">
      <c r="I892"/>
      <c r="J892"/>
      <c r="K892"/>
      <c r="L892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/>
      <c r="X892"/>
    </row>
    <row r="893" spans="9:24" x14ac:dyDescent="0.3">
      <c r="I893"/>
      <c r="J893"/>
      <c r="K893"/>
      <c r="L893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/>
      <c r="X893"/>
    </row>
    <row r="894" spans="9:24" x14ac:dyDescent="0.3">
      <c r="I894"/>
      <c r="J894"/>
      <c r="K894"/>
      <c r="L894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/>
      <c r="X894"/>
    </row>
    <row r="895" spans="9:24" x14ac:dyDescent="0.3">
      <c r="I895"/>
      <c r="J895"/>
      <c r="K895"/>
      <c r="L895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/>
      <c r="X895"/>
    </row>
    <row r="896" spans="9:24" x14ac:dyDescent="0.3">
      <c r="I896"/>
      <c r="J896"/>
      <c r="K896"/>
      <c r="L896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/>
      <c r="X896"/>
    </row>
    <row r="897" spans="9:24" x14ac:dyDescent="0.3">
      <c r="I897"/>
      <c r="J897"/>
      <c r="K897"/>
      <c r="L897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/>
      <c r="X897"/>
    </row>
    <row r="898" spans="9:24" x14ac:dyDescent="0.3">
      <c r="I898"/>
      <c r="J898"/>
      <c r="K898"/>
      <c r="L898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/>
      <c r="X898"/>
    </row>
    <row r="899" spans="9:24" x14ac:dyDescent="0.3">
      <c r="I899"/>
      <c r="J899"/>
      <c r="K899"/>
      <c r="L899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/>
      <c r="X899"/>
    </row>
    <row r="900" spans="9:24" x14ac:dyDescent="0.3">
      <c r="I900"/>
      <c r="J900"/>
      <c r="K900"/>
      <c r="L900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/>
      <c r="X900"/>
    </row>
    <row r="901" spans="9:24" x14ac:dyDescent="0.3">
      <c r="I901"/>
      <c r="J901"/>
      <c r="K901"/>
      <c r="L90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/>
      <c r="X901"/>
    </row>
    <row r="902" spans="9:24" x14ac:dyDescent="0.3">
      <c r="I902"/>
      <c r="J902"/>
      <c r="K902"/>
      <c r="L902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/>
      <c r="X902"/>
    </row>
    <row r="903" spans="9:24" x14ac:dyDescent="0.3">
      <c r="I903"/>
      <c r="J903"/>
      <c r="K903"/>
      <c r="L903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/>
      <c r="X903"/>
    </row>
    <row r="904" spans="9:24" x14ac:dyDescent="0.3">
      <c r="I904"/>
      <c r="J904"/>
      <c r="K904"/>
      <c r="L904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/>
      <c r="X904"/>
    </row>
    <row r="905" spans="9:24" x14ac:dyDescent="0.3">
      <c r="I905"/>
      <c r="J905"/>
      <c r="K905"/>
      <c r="L905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/>
      <c r="X905"/>
    </row>
    <row r="906" spans="9:24" x14ac:dyDescent="0.3">
      <c r="I906"/>
      <c r="J906"/>
      <c r="K906"/>
      <c r="L906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/>
      <c r="X906"/>
    </row>
    <row r="907" spans="9:24" x14ac:dyDescent="0.3">
      <c r="I907"/>
      <c r="J907"/>
      <c r="K907"/>
      <c r="L907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/>
      <c r="X907"/>
    </row>
    <row r="908" spans="9:24" x14ac:dyDescent="0.3">
      <c r="I908"/>
      <c r="J908"/>
      <c r="K908"/>
      <c r="L908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/>
      <c r="X908"/>
    </row>
    <row r="909" spans="9:24" x14ac:dyDescent="0.3">
      <c r="I909"/>
      <c r="J909"/>
      <c r="K909"/>
      <c r="L909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/>
      <c r="X909"/>
    </row>
    <row r="910" spans="9:24" x14ac:dyDescent="0.3">
      <c r="I910"/>
      <c r="J910"/>
      <c r="K910"/>
      <c r="L910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/>
      <c r="X910"/>
    </row>
    <row r="911" spans="9:24" x14ac:dyDescent="0.3">
      <c r="I911"/>
      <c r="J911"/>
      <c r="K911"/>
      <c r="L9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/>
      <c r="X911"/>
    </row>
    <row r="912" spans="9:24" x14ac:dyDescent="0.3">
      <c r="I912"/>
      <c r="J912"/>
      <c r="K912"/>
      <c r="L912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/>
      <c r="X912"/>
    </row>
    <row r="913" spans="9:24" x14ac:dyDescent="0.3">
      <c r="I913"/>
      <c r="J913"/>
      <c r="K913"/>
      <c r="L913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/>
      <c r="X913"/>
    </row>
    <row r="914" spans="9:24" x14ac:dyDescent="0.3">
      <c r="I914"/>
      <c r="J914"/>
      <c r="K914"/>
      <c r="L914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/>
      <c r="X914"/>
    </row>
    <row r="915" spans="9:24" x14ac:dyDescent="0.3">
      <c r="I915"/>
      <c r="J915"/>
      <c r="K915"/>
      <c r="L915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/>
      <c r="X915"/>
    </row>
    <row r="916" spans="9:24" x14ac:dyDescent="0.3">
      <c r="I916"/>
      <c r="J916"/>
      <c r="K916"/>
      <c r="L916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/>
      <c r="X916"/>
    </row>
    <row r="917" spans="9:24" x14ac:dyDescent="0.3">
      <c r="I917"/>
      <c r="J917"/>
      <c r="K917"/>
      <c r="L917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/>
      <c r="X917"/>
    </row>
    <row r="918" spans="9:24" x14ac:dyDescent="0.3">
      <c r="I918"/>
      <c r="J918"/>
      <c r="K918"/>
      <c r="L918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/>
      <c r="X918"/>
    </row>
    <row r="919" spans="9:24" x14ac:dyDescent="0.3">
      <c r="I919"/>
      <c r="J919"/>
      <c r="K919"/>
      <c r="L919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/>
      <c r="X919"/>
    </row>
    <row r="920" spans="9:24" x14ac:dyDescent="0.3">
      <c r="I920"/>
      <c r="J920"/>
      <c r="K920"/>
      <c r="L920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/>
      <c r="X920"/>
    </row>
    <row r="921" spans="9:24" x14ac:dyDescent="0.3">
      <c r="I921"/>
      <c r="J921"/>
      <c r="K921"/>
      <c r="L92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/>
      <c r="X921"/>
    </row>
    <row r="922" spans="9:24" x14ac:dyDescent="0.3">
      <c r="I922"/>
      <c r="J922"/>
      <c r="K922"/>
      <c r="L922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/>
      <c r="X922"/>
    </row>
    <row r="923" spans="9:24" x14ac:dyDescent="0.3">
      <c r="I923"/>
      <c r="J923"/>
      <c r="K923"/>
      <c r="L923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/>
      <c r="X923"/>
    </row>
    <row r="924" spans="9:24" x14ac:dyDescent="0.3">
      <c r="I924"/>
      <c r="J924"/>
      <c r="K924"/>
      <c r="L924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/>
      <c r="X924"/>
    </row>
    <row r="925" spans="9:24" x14ac:dyDescent="0.3">
      <c r="I925"/>
      <c r="J925"/>
      <c r="K925"/>
      <c r="L925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/>
      <c r="X925"/>
    </row>
    <row r="926" spans="9:24" x14ac:dyDescent="0.3">
      <c r="I926"/>
      <c r="J926"/>
      <c r="K926"/>
      <c r="L926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/>
      <c r="X926"/>
    </row>
    <row r="927" spans="9:24" x14ac:dyDescent="0.3">
      <c r="I927"/>
      <c r="J927"/>
      <c r="K927"/>
      <c r="L927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/>
      <c r="X927"/>
    </row>
    <row r="928" spans="9:24" x14ac:dyDescent="0.3">
      <c r="I928"/>
      <c r="J928"/>
      <c r="K928"/>
      <c r="L928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/>
      <c r="X928"/>
    </row>
    <row r="929" spans="9:24" x14ac:dyDescent="0.3">
      <c r="I929"/>
      <c r="J929"/>
      <c r="K929"/>
      <c r="L929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/>
      <c r="X929"/>
    </row>
    <row r="930" spans="9:24" x14ac:dyDescent="0.3">
      <c r="I930"/>
      <c r="J930"/>
      <c r="K930"/>
      <c r="L930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/>
      <c r="X930"/>
    </row>
    <row r="931" spans="9:24" x14ac:dyDescent="0.3">
      <c r="I931"/>
      <c r="J931"/>
      <c r="K931"/>
      <c r="L93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/>
      <c r="X931"/>
    </row>
    <row r="932" spans="9:24" x14ac:dyDescent="0.3">
      <c r="I932"/>
      <c r="J932"/>
      <c r="K932"/>
      <c r="L932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/>
      <c r="X932"/>
    </row>
    <row r="933" spans="9:24" x14ac:dyDescent="0.3">
      <c r="I933"/>
      <c r="J933"/>
      <c r="K933"/>
      <c r="L933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/>
      <c r="X933"/>
    </row>
    <row r="934" spans="9:24" x14ac:dyDescent="0.3">
      <c r="I934"/>
      <c r="J934"/>
      <c r="K934"/>
      <c r="L934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/>
      <c r="X934"/>
    </row>
    <row r="935" spans="9:24" x14ac:dyDescent="0.3">
      <c r="I935"/>
      <c r="J935"/>
      <c r="K935"/>
      <c r="L935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/>
      <c r="X935"/>
    </row>
    <row r="936" spans="9:24" x14ac:dyDescent="0.3">
      <c r="I936"/>
      <c r="J936"/>
      <c r="K936"/>
      <c r="L936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/>
      <c r="X936"/>
    </row>
    <row r="937" spans="9:24" x14ac:dyDescent="0.3">
      <c r="I937"/>
      <c r="J937"/>
      <c r="K937"/>
      <c r="L937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/>
      <c r="X937"/>
    </row>
    <row r="938" spans="9:24" x14ac:dyDescent="0.3">
      <c r="I938"/>
      <c r="J938"/>
      <c r="K938"/>
      <c r="L938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/>
      <c r="X938"/>
    </row>
    <row r="939" spans="9:24" x14ac:dyDescent="0.3">
      <c r="I939"/>
      <c r="J939"/>
      <c r="K939"/>
      <c r="L939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/>
      <c r="X939"/>
    </row>
    <row r="940" spans="9:24" x14ac:dyDescent="0.3">
      <c r="I940"/>
      <c r="J940"/>
      <c r="K940"/>
      <c r="L940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/>
      <c r="X940"/>
    </row>
    <row r="941" spans="9:24" x14ac:dyDescent="0.3">
      <c r="I941"/>
      <c r="J941"/>
      <c r="K941"/>
      <c r="L94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/>
      <c r="X941"/>
    </row>
    <row r="942" spans="9:24" x14ac:dyDescent="0.3">
      <c r="I942"/>
      <c r="J942"/>
      <c r="K942"/>
      <c r="L942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/>
      <c r="X942"/>
    </row>
    <row r="943" spans="9:24" x14ac:dyDescent="0.3">
      <c r="I943"/>
      <c r="J943"/>
      <c r="K943"/>
      <c r="L943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/>
      <c r="X943"/>
    </row>
    <row r="944" spans="9:24" x14ac:dyDescent="0.3">
      <c r="I944"/>
      <c r="J944"/>
      <c r="K944"/>
      <c r="L944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/>
      <c r="X944"/>
    </row>
    <row r="945" spans="9:24" x14ac:dyDescent="0.3">
      <c r="I945"/>
      <c r="J945"/>
      <c r="K945"/>
      <c r="L945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/>
      <c r="X945"/>
    </row>
    <row r="946" spans="9:24" x14ac:dyDescent="0.3">
      <c r="I946"/>
      <c r="J946"/>
      <c r="K946"/>
      <c r="L946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/>
      <c r="X946"/>
    </row>
    <row r="947" spans="9:24" x14ac:dyDescent="0.3">
      <c r="I947"/>
      <c r="J947"/>
      <c r="K947"/>
      <c r="L947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/>
      <c r="X947"/>
    </row>
    <row r="948" spans="9:24" x14ac:dyDescent="0.3">
      <c r="I948"/>
      <c r="J948"/>
      <c r="K948"/>
      <c r="L948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/>
      <c r="X948"/>
    </row>
    <row r="949" spans="9:24" x14ac:dyDescent="0.3">
      <c r="I949"/>
      <c r="J949"/>
      <c r="K949"/>
      <c r="L949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/>
      <c r="X949"/>
    </row>
    <row r="950" spans="9:24" x14ac:dyDescent="0.3">
      <c r="I950"/>
      <c r="J950"/>
      <c r="K950"/>
      <c r="L950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/>
      <c r="X950"/>
    </row>
    <row r="951" spans="9:24" x14ac:dyDescent="0.3">
      <c r="I951"/>
      <c r="J951"/>
      <c r="K951"/>
      <c r="L95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/>
      <c r="X951"/>
    </row>
    <row r="952" spans="9:24" x14ac:dyDescent="0.3">
      <c r="I952"/>
      <c r="J952"/>
      <c r="K952"/>
      <c r="L952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/>
      <c r="X952"/>
    </row>
    <row r="953" spans="9:24" x14ac:dyDescent="0.3">
      <c r="I953"/>
      <c r="J953"/>
      <c r="K953"/>
      <c r="L953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/>
      <c r="X953"/>
    </row>
    <row r="954" spans="9:24" x14ac:dyDescent="0.3">
      <c r="I954"/>
      <c r="J954"/>
      <c r="K954"/>
      <c r="L954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/>
      <c r="X954"/>
    </row>
    <row r="955" spans="9:24" x14ac:dyDescent="0.3">
      <c r="I955"/>
      <c r="J955"/>
      <c r="K955"/>
      <c r="L955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/>
      <c r="X955"/>
    </row>
    <row r="956" spans="9:24" x14ac:dyDescent="0.3">
      <c r="I956"/>
      <c r="J956"/>
      <c r="K956"/>
      <c r="L956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/>
      <c r="X956"/>
    </row>
    <row r="957" spans="9:24" x14ac:dyDescent="0.3">
      <c r="I957"/>
      <c r="J957"/>
      <c r="K957"/>
      <c r="L957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/>
      <c r="X957"/>
    </row>
    <row r="958" spans="9:24" x14ac:dyDescent="0.3">
      <c r="I958"/>
      <c r="J958"/>
      <c r="K958"/>
      <c r="L958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/>
      <c r="X958"/>
    </row>
    <row r="959" spans="9:24" x14ac:dyDescent="0.3">
      <c r="I959"/>
      <c r="J959"/>
      <c r="K959"/>
      <c r="L959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/>
      <c r="X959"/>
    </row>
    <row r="960" spans="9:24" x14ac:dyDescent="0.3">
      <c r="I960"/>
      <c r="J960"/>
      <c r="K960"/>
      <c r="L960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/>
      <c r="X960"/>
    </row>
    <row r="961" spans="9:24" x14ac:dyDescent="0.3">
      <c r="I961"/>
      <c r="J961"/>
      <c r="K961"/>
      <c r="L96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/>
      <c r="X961"/>
    </row>
    <row r="962" spans="9:24" x14ac:dyDescent="0.3">
      <c r="I962"/>
      <c r="J962"/>
      <c r="K962"/>
      <c r="L962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/>
      <c r="X962"/>
    </row>
    <row r="963" spans="9:24" x14ac:dyDescent="0.3">
      <c r="I963"/>
      <c r="J963"/>
      <c r="K963"/>
      <c r="L963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/>
      <c r="X963"/>
    </row>
    <row r="964" spans="9:24" x14ac:dyDescent="0.3">
      <c r="I964"/>
      <c r="J964"/>
      <c r="K964"/>
      <c r="L964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/>
      <c r="X964"/>
    </row>
    <row r="965" spans="9:24" x14ac:dyDescent="0.3">
      <c r="I965"/>
      <c r="J965"/>
      <c r="K965"/>
      <c r="L965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/>
      <c r="X965"/>
    </row>
    <row r="966" spans="9:24" x14ac:dyDescent="0.3">
      <c r="I966"/>
      <c r="J966"/>
      <c r="K966"/>
      <c r="L966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/>
      <c r="X966"/>
    </row>
    <row r="967" spans="9:24" x14ac:dyDescent="0.3">
      <c r="I967"/>
      <c r="J967"/>
      <c r="K967"/>
      <c r="L967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/>
      <c r="X967"/>
    </row>
    <row r="968" spans="9:24" x14ac:dyDescent="0.3">
      <c r="I968"/>
      <c r="J968"/>
      <c r="K968"/>
      <c r="L968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/>
      <c r="X968"/>
    </row>
    <row r="969" spans="9:24" x14ac:dyDescent="0.3">
      <c r="I969"/>
      <c r="J969"/>
      <c r="K969"/>
      <c r="L969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/>
      <c r="X969"/>
    </row>
    <row r="970" spans="9:24" x14ac:dyDescent="0.3">
      <c r="I970"/>
      <c r="J970"/>
      <c r="K970"/>
      <c r="L970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/>
      <c r="X970"/>
    </row>
    <row r="971" spans="9:24" x14ac:dyDescent="0.3">
      <c r="I971"/>
      <c r="J971"/>
      <c r="K971"/>
      <c r="L97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/>
      <c r="X971"/>
    </row>
    <row r="972" spans="9:24" x14ac:dyDescent="0.3">
      <c r="I972"/>
      <c r="J972"/>
      <c r="K972"/>
      <c r="L972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/>
      <c r="X972"/>
    </row>
    <row r="973" spans="9:24" x14ac:dyDescent="0.3">
      <c r="I973"/>
      <c r="J973"/>
      <c r="K973"/>
      <c r="L973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/>
      <c r="X973"/>
    </row>
    <row r="974" spans="9:24" x14ac:dyDescent="0.3">
      <c r="I974"/>
      <c r="J974"/>
      <c r="K974"/>
      <c r="L974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/>
      <c r="X974"/>
    </row>
    <row r="975" spans="9:24" x14ac:dyDescent="0.3">
      <c r="I975"/>
      <c r="J975"/>
      <c r="K975"/>
      <c r="L975"/>
      <c r="M975" s="11"/>
      <c r="N975" s="11"/>
      <c r="O975" s="11"/>
      <c r="P975" s="11"/>
      <c r="Q975" s="11"/>
      <c r="R975" s="11"/>
      <c r="S975" s="11"/>
      <c r="T975" s="11"/>
      <c r="U975" s="11"/>
    </row>
    <row r="976" spans="9:24" x14ac:dyDescent="0.3">
      <c r="I976"/>
      <c r="J976"/>
      <c r="K976"/>
      <c r="L976"/>
      <c r="M976" s="11"/>
      <c r="N976" s="11"/>
      <c r="O976" s="11"/>
      <c r="P976" s="11"/>
      <c r="Q976" s="11"/>
      <c r="R976" s="11"/>
      <c r="S976" s="11"/>
      <c r="T976" s="11"/>
      <c r="U976" s="11"/>
    </row>
    <row r="977" spans="9:21" x14ac:dyDescent="0.3">
      <c r="I977"/>
      <c r="J977"/>
      <c r="K977"/>
      <c r="L977"/>
      <c r="M977" s="11"/>
      <c r="N977" s="11"/>
      <c r="O977" s="11"/>
      <c r="P977" s="11"/>
      <c r="Q977" s="11"/>
      <c r="R977" s="11"/>
      <c r="S977" s="11"/>
      <c r="T977" s="11"/>
      <c r="U977" s="11"/>
    </row>
    <row r="978" spans="9:21" x14ac:dyDescent="0.3">
      <c r="I978"/>
      <c r="J978"/>
      <c r="K978"/>
      <c r="L978"/>
      <c r="M978" s="11"/>
      <c r="N978" s="11"/>
      <c r="O978" s="11"/>
      <c r="P978" s="11"/>
      <c r="Q978" s="11"/>
      <c r="R978" s="11"/>
      <c r="S978" s="11"/>
      <c r="T978" s="11"/>
      <c r="U978" s="11"/>
    </row>
    <row r="979" spans="9:21" x14ac:dyDescent="0.3">
      <c r="I979"/>
      <c r="J979"/>
      <c r="K979"/>
      <c r="L979"/>
      <c r="M979" s="11"/>
      <c r="N979" s="11"/>
      <c r="O979" s="11"/>
      <c r="P979" s="11"/>
    </row>
    <row r="980" spans="9:21" x14ac:dyDescent="0.3">
      <c r="I980"/>
      <c r="J980"/>
      <c r="K980"/>
      <c r="L980"/>
    </row>
    <row r="981" spans="9:21" x14ac:dyDescent="0.3">
      <c r="I981"/>
      <c r="J981"/>
      <c r="K981"/>
      <c r="L981"/>
    </row>
    <row r="982" spans="9:21" x14ac:dyDescent="0.3">
      <c r="I982"/>
      <c r="J982"/>
      <c r="K982"/>
      <c r="L982"/>
    </row>
    <row r="983" spans="9:21" x14ac:dyDescent="0.3">
      <c r="I983"/>
      <c r="J983"/>
      <c r="K983"/>
      <c r="L983"/>
    </row>
    <row r="984" spans="9:21" x14ac:dyDescent="0.3">
      <c r="I984"/>
      <c r="J984"/>
      <c r="K984"/>
      <c r="L984"/>
    </row>
    <row r="985" spans="9:21" x14ac:dyDescent="0.3">
      <c r="I985"/>
      <c r="J985"/>
      <c r="K985"/>
      <c r="L985"/>
    </row>
    <row r="986" spans="9:21" x14ac:dyDescent="0.3">
      <c r="I986"/>
      <c r="J986"/>
      <c r="K986"/>
      <c r="L986"/>
    </row>
    <row r="987" spans="9:21" x14ac:dyDescent="0.3">
      <c r="I987"/>
      <c r="J987"/>
      <c r="K987"/>
      <c r="L987"/>
    </row>
    <row r="988" spans="9:21" x14ac:dyDescent="0.3">
      <c r="I988"/>
      <c r="J988"/>
      <c r="K988"/>
      <c r="L988"/>
    </row>
    <row r="989" spans="9:21" x14ac:dyDescent="0.3">
      <c r="I989"/>
      <c r="J989"/>
      <c r="K989"/>
      <c r="L989"/>
    </row>
    <row r="990" spans="9:21" x14ac:dyDescent="0.3">
      <c r="I990"/>
      <c r="J990"/>
      <c r="K990"/>
      <c r="L990"/>
    </row>
    <row r="991" spans="9:21" x14ac:dyDescent="0.3">
      <c r="I991"/>
      <c r="J991"/>
      <c r="K991"/>
      <c r="L991"/>
    </row>
    <row r="992" spans="9:21" x14ac:dyDescent="0.3">
      <c r="I992"/>
      <c r="J992"/>
      <c r="K992"/>
      <c r="L992"/>
    </row>
    <row r="993" spans="9:12" x14ac:dyDescent="0.3">
      <c r="I993"/>
      <c r="J993"/>
      <c r="K993"/>
      <c r="L993"/>
    </row>
    <row r="994" spans="9:12" x14ac:dyDescent="0.3">
      <c r="I994"/>
      <c r="J994"/>
      <c r="K994"/>
      <c r="L994"/>
    </row>
    <row r="995" spans="9:12" x14ac:dyDescent="0.3">
      <c r="I995"/>
      <c r="J995"/>
      <c r="K995"/>
      <c r="L995"/>
    </row>
    <row r="996" spans="9:12" x14ac:dyDescent="0.3">
      <c r="I996"/>
      <c r="J996"/>
      <c r="K996"/>
      <c r="L996"/>
    </row>
    <row r="997" spans="9:12" x14ac:dyDescent="0.3">
      <c r="I997"/>
      <c r="J997"/>
      <c r="K997"/>
      <c r="L997"/>
    </row>
    <row r="998" spans="9:12" x14ac:dyDescent="0.3">
      <c r="I998"/>
      <c r="J998"/>
      <c r="K998"/>
      <c r="L998"/>
    </row>
    <row r="999" spans="9:12" x14ac:dyDescent="0.3">
      <c r="I999"/>
      <c r="J999"/>
      <c r="K999"/>
      <c r="L999"/>
    </row>
    <row r="1000" spans="9:12" x14ac:dyDescent="0.3">
      <c r="I1000"/>
      <c r="J1000"/>
      <c r="K1000"/>
      <c r="L1000"/>
    </row>
    <row r="1001" spans="9:12" x14ac:dyDescent="0.3">
      <c r="I1001"/>
      <c r="J1001"/>
      <c r="K1001"/>
      <c r="L1001"/>
    </row>
    <row r="1002" spans="9:12" x14ac:dyDescent="0.3">
      <c r="I1002"/>
      <c r="J1002"/>
      <c r="K1002"/>
      <c r="L1002"/>
    </row>
    <row r="1003" spans="9:12" x14ac:dyDescent="0.3">
      <c r="I1003"/>
      <c r="J1003"/>
      <c r="K1003"/>
      <c r="L1003"/>
    </row>
    <row r="1004" spans="9:12" x14ac:dyDescent="0.3">
      <c r="I1004"/>
      <c r="J1004"/>
      <c r="K1004"/>
      <c r="L1004"/>
    </row>
    <row r="1005" spans="9:12" x14ac:dyDescent="0.3">
      <c r="I1005"/>
      <c r="J1005"/>
      <c r="K1005"/>
      <c r="L1005"/>
    </row>
    <row r="1006" spans="9:12" x14ac:dyDescent="0.3">
      <c r="I1006"/>
      <c r="J1006"/>
      <c r="K1006"/>
      <c r="L1006"/>
    </row>
    <row r="1007" spans="9:12" x14ac:dyDescent="0.3">
      <c r="I1007"/>
      <c r="J1007"/>
      <c r="K1007"/>
      <c r="L1007"/>
    </row>
    <row r="1008" spans="9:12" x14ac:dyDescent="0.3">
      <c r="I1008"/>
      <c r="J1008"/>
      <c r="K1008"/>
      <c r="L1008"/>
    </row>
    <row r="1009" spans="9:12" x14ac:dyDescent="0.3">
      <c r="I1009"/>
      <c r="J1009"/>
      <c r="K1009"/>
      <c r="L1009"/>
    </row>
    <row r="1010" spans="9:12" x14ac:dyDescent="0.3">
      <c r="I1010"/>
      <c r="J1010"/>
      <c r="K1010"/>
      <c r="L1010"/>
    </row>
    <row r="1011" spans="9:12" x14ac:dyDescent="0.3">
      <c r="I1011"/>
      <c r="J1011"/>
      <c r="K1011"/>
      <c r="L1011"/>
    </row>
    <row r="1012" spans="9:12" x14ac:dyDescent="0.3">
      <c r="I1012"/>
      <c r="J1012"/>
      <c r="K1012"/>
      <c r="L1012"/>
    </row>
    <row r="1013" spans="9:12" x14ac:dyDescent="0.3">
      <c r="I1013"/>
      <c r="J1013"/>
      <c r="K1013"/>
      <c r="L1013"/>
    </row>
    <row r="1014" spans="9:12" x14ac:dyDescent="0.3">
      <c r="I1014"/>
      <c r="J1014"/>
      <c r="K1014"/>
      <c r="L1014"/>
    </row>
    <row r="1015" spans="9:12" x14ac:dyDescent="0.3">
      <c r="I1015"/>
      <c r="J1015"/>
      <c r="K1015"/>
      <c r="L1015"/>
    </row>
    <row r="1016" spans="9:12" x14ac:dyDescent="0.3">
      <c r="I1016"/>
      <c r="J1016"/>
      <c r="K1016"/>
      <c r="L1016"/>
    </row>
    <row r="1017" spans="9:12" x14ac:dyDescent="0.3">
      <c r="I1017"/>
      <c r="J1017"/>
      <c r="K1017"/>
      <c r="L1017"/>
    </row>
    <row r="1018" spans="9:12" x14ac:dyDescent="0.3">
      <c r="I1018"/>
      <c r="J1018"/>
      <c r="K1018"/>
      <c r="L1018"/>
    </row>
    <row r="1019" spans="9:12" x14ac:dyDescent="0.3">
      <c r="I1019"/>
      <c r="J1019"/>
      <c r="K1019"/>
      <c r="L1019"/>
    </row>
    <row r="1020" spans="9:12" x14ac:dyDescent="0.3">
      <c r="I1020"/>
      <c r="J1020"/>
      <c r="K1020"/>
      <c r="L1020"/>
    </row>
    <row r="1021" spans="9:12" x14ac:dyDescent="0.3">
      <c r="I1021"/>
      <c r="J1021"/>
      <c r="K1021"/>
      <c r="L1021"/>
    </row>
    <row r="1022" spans="9:12" x14ac:dyDescent="0.3">
      <c r="I1022"/>
      <c r="J1022"/>
      <c r="K1022"/>
      <c r="L1022"/>
    </row>
    <row r="1023" spans="9:12" x14ac:dyDescent="0.3">
      <c r="I1023"/>
      <c r="J1023"/>
      <c r="K1023"/>
      <c r="L1023"/>
    </row>
    <row r="1024" spans="9:12" x14ac:dyDescent="0.3">
      <c r="I1024"/>
      <c r="J1024"/>
      <c r="K1024"/>
      <c r="L1024"/>
    </row>
    <row r="1025" spans="9:12" x14ac:dyDescent="0.3">
      <c r="I1025"/>
      <c r="J1025"/>
      <c r="K1025"/>
      <c r="L1025"/>
    </row>
    <row r="1026" spans="9:12" x14ac:dyDescent="0.3">
      <c r="I1026"/>
      <c r="J1026"/>
      <c r="K1026"/>
      <c r="L1026"/>
    </row>
    <row r="1027" spans="9:12" x14ac:dyDescent="0.3">
      <c r="I1027"/>
      <c r="J1027"/>
      <c r="K1027"/>
      <c r="L1027"/>
    </row>
    <row r="1028" spans="9:12" x14ac:dyDescent="0.3">
      <c r="I1028"/>
      <c r="J1028"/>
      <c r="K1028"/>
      <c r="L1028"/>
    </row>
    <row r="1029" spans="9:12" x14ac:dyDescent="0.3">
      <c r="I1029"/>
      <c r="J1029"/>
      <c r="K1029"/>
      <c r="L1029"/>
    </row>
    <row r="1030" spans="9:12" x14ac:dyDescent="0.3">
      <c r="I1030"/>
      <c r="J1030"/>
      <c r="K1030"/>
      <c r="L1030"/>
    </row>
    <row r="1031" spans="9:12" x14ac:dyDescent="0.3">
      <c r="I1031"/>
      <c r="J1031"/>
      <c r="K1031"/>
      <c r="L1031"/>
    </row>
    <row r="1032" spans="9:12" x14ac:dyDescent="0.3">
      <c r="I1032"/>
      <c r="J1032"/>
      <c r="K1032"/>
      <c r="L1032"/>
    </row>
    <row r="1033" spans="9:12" x14ac:dyDescent="0.3">
      <c r="I1033"/>
      <c r="J1033"/>
      <c r="K1033"/>
      <c r="L1033"/>
    </row>
    <row r="1034" spans="9:12" x14ac:dyDescent="0.3">
      <c r="I1034"/>
      <c r="J1034"/>
      <c r="K1034"/>
      <c r="L1034"/>
    </row>
    <row r="1035" spans="9:12" x14ac:dyDescent="0.3">
      <c r="I1035"/>
      <c r="J1035"/>
      <c r="K1035"/>
      <c r="L1035"/>
    </row>
    <row r="1036" spans="9:12" x14ac:dyDescent="0.3">
      <c r="I1036"/>
      <c r="J1036"/>
      <c r="K1036"/>
      <c r="L1036"/>
    </row>
    <row r="1037" spans="9:12" x14ac:dyDescent="0.3">
      <c r="I1037"/>
      <c r="J1037"/>
      <c r="K1037"/>
      <c r="L1037"/>
    </row>
    <row r="1038" spans="9:12" x14ac:dyDescent="0.3">
      <c r="I1038"/>
      <c r="J1038"/>
      <c r="K1038"/>
      <c r="L1038"/>
    </row>
    <row r="1039" spans="9:12" x14ac:dyDescent="0.3">
      <c r="I1039"/>
      <c r="J1039"/>
      <c r="K1039"/>
      <c r="L1039"/>
    </row>
    <row r="1040" spans="9:12" x14ac:dyDescent="0.3">
      <c r="I1040"/>
      <c r="J1040"/>
      <c r="K1040"/>
      <c r="L1040"/>
    </row>
    <row r="1041" spans="9:12" x14ac:dyDescent="0.3">
      <c r="I1041"/>
      <c r="J1041"/>
      <c r="K1041"/>
      <c r="L1041"/>
    </row>
    <row r="1042" spans="9:12" x14ac:dyDescent="0.3">
      <c r="I1042"/>
      <c r="J1042"/>
      <c r="K1042"/>
      <c r="L1042"/>
    </row>
    <row r="1043" spans="9:12" x14ac:dyDescent="0.3">
      <c r="I1043"/>
      <c r="J1043"/>
      <c r="K1043"/>
      <c r="L1043"/>
    </row>
    <row r="1044" spans="9:12" x14ac:dyDescent="0.3">
      <c r="I1044"/>
      <c r="J1044"/>
      <c r="K1044"/>
      <c r="L1044"/>
    </row>
    <row r="1045" spans="9:12" x14ac:dyDescent="0.3">
      <c r="I1045"/>
      <c r="J1045"/>
      <c r="K1045"/>
      <c r="L1045"/>
    </row>
    <row r="1046" spans="9:12" x14ac:dyDescent="0.3">
      <c r="I1046"/>
      <c r="J1046"/>
      <c r="K1046"/>
      <c r="L1046"/>
    </row>
    <row r="1047" spans="9:12" x14ac:dyDescent="0.3">
      <c r="I1047"/>
      <c r="J1047"/>
      <c r="K1047"/>
      <c r="L1047"/>
    </row>
    <row r="1048" spans="9:12" x14ac:dyDescent="0.3">
      <c r="I1048"/>
      <c r="J1048"/>
      <c r="K1048"/>
      <c r="L1048"/>
    </row>
    <row r="1049" spans="9:12" x14ac:dyDescent="0.3">
      <c r="I1049"/>
      <c r="J1049"/>
      <c r="K1049"/>
      <c r="L1049"/>
    </row>
    <row r="1050" spans="9:12" x14ac:dyDescent="0.3">
      <c r="I1050"/>
      <c r="J1050"/>
      <c r="K1050"/>
      <c r="L1050"/>
    </row>
    <row r="1051" spans="9:12" x14ac:dyDescent="0.3">
      <c r="I1051"/>
      <c r="J1051"/>
      <c r="K1051"/>
      <c r="L1051"/>
    </row>
    <row r="1052" spans="9:12" x14ac:dyDescent="0.3">
      <c r="I1052"/>
      <c r="J1052"/>
      <c r="K1052"/>
      <c r="L1052"/>
    </row>
    <row r="1053" spans="9:12" x14ac:dyDescent="0.3">
      <c r="I1053"/>
      <c r="J1053"/>
      <c r="K1053"/>
      <c r="L1053"/>
    </row>
    <row r="1054" spans="9:12" x14ac:dyDescent="0.3">
      <c r="I1054"/>
      <c r="J1054"/>
      <c r="K1054"/>
      <c r="L1054"/>
    </row>
    <row r="1055" spans="9:12" x14ac:dyDescent="0.3">
      <c r="I1055"/>
      <c r="J1055"/>
      <c r="K1055"/>
      <c r="L1055"/>
    </row>
    <row r="1056" spans="9:12" x14ac:dyDescent="0.3">
      <c r="I1056"/>
      <c r="J1056"/>
      <c r="K1056"/>
      <c r="L1056"/>
    </row>
    <row r="1057" spans="9:12" x14ac:dyDescent="0.3">
      <c r="I1057"/>
      <c r="J1057"/>
      <c r="K1057"/>
      <c r="L1057"/>
    </row>
    <row r="1058" spans="9:12" x14ac:dyDescent="0.3">
      <c r="I1058"/>
      <c r="J1058"/>
      <c r="K1058"/>
      <c r="L1058"/>
    </row>
    <row r="1059" spans="9:12" x14ac:dyDescent="0.3">
      <c r="I1059"/>
      <c r="J1059"/>
      <c r="K1059"/>
      <c r="L1059"/>
    </row>
    <row r="1060" spans="9:12" x14ac:dyDescent="0.3">
      <c r="I1060"/>
      <c r="J1060"/>
      <c r="K1060"/>
      <c r="L1060"/>
    </row>
    <row r="1061" spans="9:12" x14ac:dyDescent="0.3">
      <c r="I1061"/>
      <c r="J1061"/>
      <c r="K1061"/>
      <c r="L1061"/>
    </row>
    <row r="1062" spans="9:12" x14ac:dyDescent="0.3">
      <c r="I1062"/>
      <c r="J1062"/>
      <c r="K1062"/>
      <c r="L1062"/>
    </row>
    <row r="1063" spans="9:12" x14ac:dyDescent="0.3">
      <c r="I1063"/>
      <c r="J1063"/>
      <c r="K1063"/>
      <c r="L1063"/>
    </row>
    <row r="1064" spans="9:12" x14ac:dyDescent="0.3">
      <c r="I1064"/>
      <c r="J1064"/>
      <c r="K1064"/>
      <c r="L1064"/>
    </row>
    <row r="1065" spans="9:12" x14ac:dyDescent="0.3">
      <c r="I1065"/>
      <c r="J1065"/>
      <c r="K1065"/>
      <c r="L1065"/>
    </row>
    <row r="1066" spans="9:12" x14ac:dyDescent="0.3">
      <c r="I1066"/>
      <c r="J1066"/>
      <c r="K1066"/>
      <c r="L1066"/>
    </row>
    <row r="1067" spans="9:12" x14ac:dyDescent="0.3">
      <c r="I1067"/>
      <c r="J1067"/>
      <c r="K1067"/>
      <c r="L1067"/>
    </row>
    <row r="1068" spans="9:12" x14ac:dyDescent="0.3">
      <c r="I1068"/>
      <c r="J1068"/>
      <c r="K1068"/>
      <c r="L1068"/>
    </row>
    <row r="1069" spans="9:12" x14ac:dyDescent="0.3">
      <c r="I1069"/>
      <c r="J1069"/>
      <c r="K1069"/>
      <c r="L1069"/>
    </row>
    <row r="1070" spans="9:12" x14ac:dyDescent="0.3">
      <c r="I1070"/>
      <c r="J1070"/>
      <c r="K1070"/>
      <c r="L1070"/>
    </row>
    <row r="1071" spans="9:12" x14ac:dyDescent="0.3">
      <c r="I1071"/>
      <c r="J1071"/>
      <c r="K1071"/>
      <c r="L1071"/>
    </row>
    <row r="1072" spans="9:12" x14ac:dyDescent="0.3">
      <c r="I1072"/>
      <c r="J1072"/>
      <c r="K1072"/>
      <c r="L1072"/>
    </row>
    <row r="1073" spans="9:12" x14ac:dyDescent="0.3">
      <c r="I1073"/>
      <c r="J1073"/>
      <c r="K1073"/>
      <c r="L1073"/>
    </row>
    <row r="1074" spans="9:12" x14ac:dyDescent="0.3">
      <c r="I1074"/>
      <c r="J1074"/>
      <c r="K1074"/>
      <c r="L1074"/>
    </row>
    <row r="1075" spans="9:12" x14ac:dyDescent="0.3">
      <c r="I1075"/>
      <c r="J1075"/>
      <c r="K1075"/>
      <c r="L1075"/>
    </row>
    <row r="1076" spans="9:12" x14ac:dyDescent="0.3">
      <c r="I1076"/>
      <c r="J1076"/>
      <c r="K1076"/>
      <c r="L1076"/>
    </row>
    <row r="1077" spans="9:12" x14ac:dyDescent="0.3">
      <c r="I1077"/>
      <c r="J1077"/>
      <c r="K1077"/>
      <c r="L1077"/>
    </row>
    <row r="1078" spans="9:12" x14ac:dyDescent="0.3">
      <c r="I1078"/>
      <c r="J1078"/>
      <c r="K1078"/>
      <c r="L1078"/>
    </row>
    <row r="1079" spans="9:12" x14ac:dyDescent="0.3">
      <c r="I1079"/>
      <c r="J1079"/>
      <c r="K1079"/>
      <c r="L1079"/>
    </row>
    <row r="1080" spans="9:12" x14ac:dyDescent="0.3">
      <c r="I1080"/>
      <c r="J1080"/>
      <c r="K1080"/>
      <c r="L1080"/>
    </row>
    <row r="1081" spans="9:12" x14ac:dyDescent="0.3">
      <c r="I1081"/>
      <c r="J1081"/>
      <c r="K1081"/>
      <c r="L1081"/>
    </row>
    <row r="1082" spans="9:12" x14ac:dyDescent="0.3">
      <c r="I1082"/>
      <c r="J1082"/>
      <c r="K1082"/>
      <c r="L1082"/>
    </row>
    <row r="1083" spans="9:12" x14ac:dyDescent="0.3">
      <c r="I1083"/>
      <c r="J1083"/>
      <c r="K1083"/>
      <c r="L1083"/>
    </row>
    <row r="1084" spans="9:12" x14ac:dyDescent="0.3">
      <c r="I1084"/>
      <c r="J1084"/>
      <c r="K1084"/>
      <c r="L1084"/>
    </row>
    <row r="1085" spans="9:12" x14ac:dyDescent="0.3">
      <c r="I1085"/>
      <c r="J1085"/>
      <c r="K1085"/>
      <c r="L1085"/>
    </row>
    <row r="1086" spans="9:12" x14ac:dyDescent="0.3">
      <c r="I1086"/>
      <c r="J1086"/>
      <c r="K1086"/>
      <c r="L1086"/>
    </row>
    <row r="1087" spans="9:12" x14ac:dyDescent="0.3">
      <c r="I1087"/>
      <c r="J1087"/>
      <c r="K1087"/>
      <c r="L1087"/>
    </row>
    <row r="1088" spans="9:12" x14ac:dyDescent="0.3">
      <c r="I1088"/>
      <c r="J1088"/>
      <c r="K1088"/>
      <c r="L1088"/>
    </row>
    <row r="1089" spans="9:12" x14ac:dyDescent="0.3">
      <c r="I1089"/>
      <c r="J1089"/>
      <c r="K1089"/>
      <c r="L1089"/>
    </row>
    <row r="1090" spans="9:12" x14ac:dyDescent="0.3">
      <c r="I1090"/>
      <c r="J1090"/>
      <c r="K1090"/>
      <c r="L1090"/>
    </row>
    <row r="1091" spans="9:12" x14ac:dyDescent="0.3">
      <c r="I1091"/>
      <c r="J1091"/>
      <c r="K1091"/>
      <c r="L1091"/>
    </row>
    <row r="1092" spans="9:12" x14ac:dyDescent="0.3">
      <c r="I1092"/>
      <c r="J1092"/>
      <c r="K1092"/>
      <c r="L1092"/>
    </row>
    <row r="1093" spans="9:12" x14ac:dyDescent="0.3">
      <c r="I1093"/>
      <c r="J1093"/>
      <c r="K1093"/>
      <c r="L1093"/>
    </row>
    <row r="1094" spans="9:12" x14ac:dyDescent="0.3">
      <c r="I1094"/>
      <c r="J1094"/>
      <c r="K1094"/>
      <c r="L1094"/>
    </row>
    <row r="1095" spans="9:12" x14ac:dyDescent="0.3">
      <c r="I1095"/>
      <c r="J1095"/>
      <c r="K1095"/>
      <c r="L1095"/>
    </row>
    <row r="1096" spans="9:12" x14ac:dyDescent="0.3">
      <c r="I1096"/>
      <c r="J1096"/>
      <c r="K1096"/>
      <c r="L1096"/>
    </row>
    <row r="1097" spans="9:12" x14ac:dyDescent="0.3">
      <c r="I1097"/>
      <c r="J1097"/>
      <c r="K1097"/>
      <c r="L1097"/>
    </row>
    <row r="1098" spans="9:12" x14ac:dyDescent="0.3">
      <c r="I1098"/>
      <c r="J1098"/>
      <c r="K1098"/>
      <c r="L1098"/>
    </row>
    <row r="1099" spans="9:12" x14ac:dyDescent="0.3">
      <c r="I1099"/>
      <c r="J1099"/>
      <c r="K1099"/>
      <c r="L1099"/>
    </row>
    <row r="1100" spans="9:12" x14ac:dyDescent="0.3">
      <c r="I1100"/>
      <c r="J1100"/>
      <c r="K1100"/>
      <c r="L1100"/>
    </row>
    <row r="1101" spans="9:12" x14ac:dyDescent="0.3">
      <c r="I1101"/>
      <c r="J1101"/>
      <c r="K1101"/>
      <c r="L1101"/>
    </row>
    <row r="1102" spans="9:12" x14ac:dyDescent="0.3">
      <c r="I1102"/>
      <c r="J1102"/>
      <c r="K1102"/>
      <c r="L1102"/>
    </row>
    <row r="1103" spans="9:12" x14ac:dyDescent="0.3">
      <c r="I1103"/>
      <c r="J1103"/>
      <c r="K1103"/>
      <c r="L1103"/>
    </row>
    <row r="1104" spans="9:12" x14ac:dyDescent="0.3">
      <c r="I1104"/>
      <c r="J1104"/>
      <c r="K1104"/>
      <c r="L1104"/>
    </row>
    <row r="1105" spans="9:12" x14ac:dyDescent="0.3">
      <c r="I1105"/>
      <c r="J1105"/>
      <c r="K1105"/>
      <c r="L1105"/>
    </row>
    <row r="1106" spans="9:12" x14ac:dyDescent="0.3">
      <c r="I1106"/>
      <c r="J1106"/>
      <c r="K1106"/>
      <c r="L1106"/>
    </row>
    <row r="1107" spans="9:12" x14ac:dyDescent="0.3">
      <c r="I1107"/>
      <c r="J1107"/>
      <c r="K1107"/>
      <c r="L1107"/>
    </row>
    <row r="1108" spans="9:12" x14ac:dyDescent="0.3">
      <c r="I1108"/>
      <c r="J1108"/>
      <c r="K1108"/>
      <c r="L1108"/>
    </row>
    <row r="1109" spans="9:12" x14ac:dyDescent="0.3">
      <c r="I1109"/>
      <c r="J1109"/>
      <c r="K1109"/>
      <c r="L1109"/>
    </row>
    <row r="1110" spans="9:12" x14ac:dyDescent="0.3">
      <c r="I1110"/>
      <c r="J1110"/>
      <c r="K1110"/>
      <c r="L1110"/>
    </row>
    <row r="1111" spans="9:12" x14ac:dyDescent="0.3">
      <c r="I1111"/>
      <c r="J1111"/>
      <c r="K1111"/>
      <c r="L1111"/>
    </row>
    <row r="1112" spans="9:12" x14ac:dyDescent="0.3">
      <c r="I1112"/>
      <c r="J1112"/>
      <c r="K1112"/>
      <c r="L1112"/>
    </row>
    <row r="1113" spans="9:12" x14ac:dyDescent="0.3">
      <c r="I1113"/>
      <c r="J1113"/>
      <c r="K1113"/>
      <c r="L1113"/>
    </row>
    <row r="1114" spans="9:12" x14ac:dyDescent="0.3">
      <c r="I1114"/>
      <c r="J1114"/>
      <c r="K1114"/>
      <c r="L1114"/>
    </row>
    <row r="1115" spans="9:12" x14ac:dyDescent="0.3">
      <c r="I1115"/>
      <c r="J1115"/>
      <c r="K1115"/>
      <c r="L1115"/>
    </row>
    <row r="1116" spans="9:12" x14ac:dyDescent="0.3">
      <c r="I1116"/>
      <c r="J1116"/>
      <c r="K1116"/>
      <c r="L1116"/>
    </row>
    <row r="1117" spans="9:12" x14ac:dyDescent="0.3">
      <c r="I1117"/>
      <c r="J1117"/>
      <c r="K1117"/>
      <c r="L1117"/>
    </row>
    <row r="1118" spans="9:12" x14ac:dyDescent="0.3">
      <c r="I1118"/>
      <c r="J1118"/>
      <c r="K1118"/>
      <c r="L1118"/>
    </row>
    <row r="1119" spans="9:12" x14ac:dyDescent="0.3">
      <c r="I1119"/>
      <c r="J1119"/>
      <c r="K1119"/>
      <c r="L1119"/>
    </row>
    <row r="1120" spans="9:12" x14ac:dyDescent="0.3">
      <c r="I1120"/>
      <c r="J1120"/>
      <c r="K1120"/>
      <c r="L1120"/>
    </row>
    <row r="1121" spans="9:12" x14ac:dyDescent="0.3">
      <c r="I1121"/>
      <c r="J1121"/>
      <c r="K1121"/>
      <c r="L1121"/>
    </row>
    <row r="1122" spans="9:12" x14ac:dyDescent="0.3">
      <c r="I1122"/>
      <c r="J1122"/>
      <c r="K1122"/>
      <c r="L1122"/>
    </row>
    <row r="1123" spans="9:12" x14ac:dyDescent="0.3">
      <c r="I1123"/>
      <c r="J1123"/>
      <c r="K1123"/>
      <c r="L1123"/>
    </row>
    <row r="1124" spans="9:12" x14ac:dyDescent="0.3">
      <c r="I1124"/>
      <c r="J1124"/>
      <c r="K1124"/>
      <c r="L1124"/>
    </row>
    <row r="1125" spans="9:12" x14ac:dyDescent="0.3">
      <c r="I1125"/>
      <c r="J1125"/>
      <c r="K1125"/>
      <c r="L1125"/>
    </row>
    <row r="1126" spans="9:12" x14ac:dyDescent="0.3">
      <c r="I1126"/>
      <c r="J1126"/>
      <c r="K1126"/>
      <c r="L1126"/>
    </row>
    <row r="1127" spans="9:12" x14ac:dyDescent="0.3">
      <c r="I1127"/>
      <c r="J1127"/>
      <c r="K1127"/>
      <c r="L1127"/>
    </row>
    <row r="1128" spans="9:12" x14ac:dyDescent="0.3">
      <c r="I1128"/>
      <c r="J1128"/>
      <c r="K1128"/>
      <c r="L1128"/>
    </row>
    <row r="1129" spans="9:12" x14ac:dyDescent="0.3">
      <c r="I1129"/>
      <c r="J1129"/>
      <c r="K1129"/>
      <c r="L1129"/>
    </row>
    <row r="1130" spans="9:12" x14ac:dyDescent="0.3">
      <c r="I1130"/>
      <c r="J1130"/>
      <c r="K1130"/>
      <c r="L1130"/>
    </row>
    <row r="1131" spans="9:12" x14ac:dyDescent="0.3">
      <c r="I1131"/>
      <c r="J1131"/>
      <c r="K1131"/>
      <c r="L1131"/>
    </row>
    <row r="1132" spans="9:12" x14ac:dyDescent="0.3">
      <c r="I1132"/>
      <c r="J1132"/>
      <c r="K1132"/>
      <c r="L1132"/>
    </row>
    <row r="1133" spans="9:12" x14ac:dyDescent="0.3">
      <c r="I1133"/>
      <c r="J1133"/>
      <c r="K1133"/>
      <c r="L1133"/>
    </row>
    <row r="1134" spans="9:12" x14ac:dyDescent="0.3">
      <c r="I1134"/>
      <c r="J1134"/>
      <c r="K1134"/>
      <c r="L1134"/>
    </row>
    <row r="1135" spans="9:12" x14ac:dyDescent="0.3">
      <c r="I1135"/>
      <c r="J1135"/>
      <c r="K1135"/>
      <c r="L1135"/>
    </row>
    <row r="1136" spans="9:12" x14ac:dyDescent="0.3">
      <c r="I1136"/>
      <c r="J1136"/>
      <c r="K1136"/>
      <c r="L1136"/>
    </row>
    <row r="1137" spans="9:12" x14ac:dyDescent="0.3">
      <c r="I1137"/>
      <c r="J1137"/>
      <c r="K1137"/>
      <c r="L1137"/>
    </row>
    <row r="1138" spans="9:12" x14ac:dyDescent="0.3">
      <c r="I1138"/>
      <c r="J1138"/>
      <c r="K1138"/>
      <c r="L1138"/>
    </row>
    <row r="1139" spans="9:12" x14ac:dyDescent="0.3">
      <c r="I1139"/>
      <c r="J1139"/>
      <c r="K1139"/>
      <c r="L1139"/>
    </row>
    <row r="1140" spans="9:12" x14ac:dyDescent="0.3">
      <c r="I1140"/>
      <c r="J1140"/>
      <c r="K1140"/>
      <c r="L1140"/>
    </row>
    <row r="1141" spans="9:12" x14ac:dyDescent="0.3">
      <c r="I1141"/>
      <c r="J1141"/>
      <c r="K1141"/>
      <c r="L1141"/>
    </row>
    <row r="1142" spans="9:12" x14ac:dyDescent="0.3">
      <c r="I1142"/>
      <c r="J1142"/>
      <c r="K1142"/>
      <c r="L1142"/>
    </row>
    <row r="1143" spans="9:12" x14ac:dyDescent="0.3">
      <c r="I1143"/>
      <c r="J1143"/>
      <c r="K1143"/>
      <c r="L1143"/>
    </row>
    <row r="1144" spans="9:12" x14ac:dyDescent="0.3">
      <c r="I1144"/>
      <c r="J1144"/>
      <c r="K1144"/>
      <c r="L1144"/>
    </row>
    <row r="1145" spans="9:12" x14ac:dyDescent="0.3">
      <c r="I1145"/>
      <c r="J1145"/>
      <c r="K1145"/>
      <c r="L1145"/>
    </row>
    <row r="1146" spans="9:12" x14ac:dyDescent="0.3">
      <c r="I1146"/>
      <c r="J1146"/>
      <c r="K1146"/>
      <c r="L1146"/>
    </row>
    <row r="1147" spans="9:12" x14ac:dyDescent="0.3">
      <c r="I1147"/>
      <c r="J1147"/>
      <c r="K1147"/>
      <c r="L1147"/>
    </row>
    <row r="1148" spans="9:12" x14ac:dyDescent="0.3">
      <c r="I1148"/>
      <c r="J1148"/>
      <c r="K1148"/>
      <c r="L1148"/>
    </row>
    <row r="1149" spans="9:12" x14ac:dyDescent="0.3">
      <c r="I1149"/>
      <c r="J1149"/>
      <c r="K1149"/>
      <c r="L1149"/>
    </row>
    <row r="1150" spans="9:12" x14ac:dyDescent="0.3">
      <c r="I1150"/>
      <c r="J1150"/>
      <c r="K1150"/>
      <c r="L1150"/>
    </row>
    <row r="1151" spans="9:12" x14ac:dyDescent="0.3">
      <c r="I1151"/>
      <c r="J1151"/>
      <c r="K1151"/>
      <c r="L1151"/>
    </row>
    <row r="1152" spans="9:12" x14ac:dyDescent="0.3">
      <c r="I1152"/>
      <c r="J1152"/>
      <c r="K1152"/>
      <c r="L1152"/>
    </row>
    <row r="1153" spans="9:12" x14ac:dyDescent="0.3">
      <c r="I1153"/>
      <c r="J1153"/>
      <c r="K1153"/>
      <c r="L1153"/>
    </row>
    <row r="1154" spans="9:12" x14ac:dyDescent="0.3">
      <c r="I1154"/>
      <c r="J1154"/>
      <c r="K1154"/>
      <c r="L1154"/>
    </row>
    <row r="1155" spans="9:12" x14ac:dyDescent="0.3">
      <c r="I1155"/>
      <c r="J1155"/>
      <c r="K1155"/>
      <c r="L1155"/>
    </row>
    <row r="1156" spans="9:12" x14ac:dyDescent="0.3">
      <c r="I1156"/>
      <c r="J1156"/>
      <c r="K1156"/>
      <c r="L1156"/>
    </row>
    <row r="1157" spans="9:12" x14ac:dyDescent="0.3">
      <c r="I1157"/>
      <c r="J1157"/>
      <c r="K1157"/>
      <c r="L1157"/>
    </row>
    <row r="1158" spans="9:12" x14ac:dyDescent="0.3">
      <c r="I1158"/>
      <c r="J1158"/>
      <c r="K1158"/>
      <c r="L1158"/>
    </row>
    <row r="1159" spans="9:12" x14ac:dyDescent="0.3">
      <c r="I1159"/>
      <c r="J1159"/>
      <c r="K1159"/>
      <c r="L1159"/>
    </row>
    <row r="1160" spans="9:12" x14ac:dyDescent="0.3">
      <c r="I1160"/>
      <c r="J1160"/>
      <c r="K1160"/>
      <c r="L1160"/>
    </row>
    <row r="1161" spans="9:12" x14ac:dyDescent="0.3">
      <c r="I1161"/>
      <c r="J1161"/>
      <c r="K1161"/>
      <c r="L1161"/>
    </row>
    <row r="1162" spans="9:12" x14ac:dyDescent="0.3">
      <c r="I1162"/>
      <c r="J1162"/>
      <c r="K1162"/>
      <c r="L1162"/>
    </row>
    <row r="1163" spans="9:12" x14ac:dyDescent="0.3">
      <c r="I1163"/>
      <c r="J1163"/>
      <c r="K1163"/>
      <c r="L1163"/>
    </row>
    <row r="1164" spans="9:12" x14ac:dyDescent="0.3">
      <c r="I1164"/>
      <c r="J1164"/>
      <c r="K1164"/>
      <c r="L1164"/>
    </row>
    <row r="1165" spans="9:12" x14ac:dyDescent="0.3">
      <c r="I1165"/>
      <c r="J1165"/>
      <c r="K1165"/>
      <c r="L1165"/>
    </row>
    <row r="1166" spans="9:12" x14ac:dyDescent="0.3">
      <c r="I1166"/>
      <c r="J1166"/>
      <c r="K1166"/>
      <c r="L1166"/>
    </row>
    <row r="1167" spans="9:12" x14ac:dyDescent="0.3">
      <c r="I1167"/>
      <c r="J1167"/>
      <c r="K1167"/>
      <c r="L1167"/>
    </row>
    <row r="1168" spans="9:12" x14ac:dyDescent="0.3">
      <c r="I1168"/>
      <c r="J1168"/>
      <c r="K1168"/>
      <c r="L1168"/>
    </row>
    <row r="1169" spans="9:12" x14ac:dyDescent="0.3">
      <c r="I1169"/>
      <c r="J1169"/>
      <c r="K1169"/>
      <c r="L1169"/>
    </row>
    <row r="1170" spans="9:12" x14ac:dyDescent="0.3">
      <c r="I1170"/>
      <c r="J1170"/>
      <c r="K1170"/>
      <c r="L1170"/>
    </row>
    <row r="1171" spans="9:12" x14ac:dyDescent="0.3">
      <c r="I1171"/>
      <c r="J1171"/>
      <c r="K1171"/>
      <c r="L1171"/>
    </row>
    <row r="1172" spans="9:12" x14ac:dyDescent="0.3">
      <c r="I1172"/>
      <c r="J1172"/>
      <c r="K1172"/>
      <c r="L1172"/>
    </row>
    <row r="1173" spans="9:12" x14ac:dyDescent="0.3">
      <c r="I1173"/>
      <c r="J1173"/>
      <c r="K1173"/>
      <c r="L1173"/>
    </row>
    <row r="1174" spans="9:12" x14ac:dyDescent="0.3">
      <c r="I1174"/>
      <c r="J1174"/>
      <c r="K1174"/>
      <c r="L1174"/>
    </row>
    <row r="1175" spans="9:12" x14ac:dyDescent="0.3">
      <c r="I1175"/>
      <c r="J1175"/>
      <c r="K1175"/>
      <c r="L1175"/>
    </row>
    <row r="1176" spans="9:12" x14ac:dyDescent="0.3">
      <c r="I1176"/>
      <c r="J1176"/>
      <c r="K1176"/>
      <c r="L1176"/>
    </row>
    <row r="1177" spans="9:12" x14ac:dyDescent="0.3">
      <c r="I1177"/>
      <c r="J1177"/>
      <c r="K1177"/>
      <c r="L1177"/>
    </row>
    <row r="1178" spans="9:12" x14ac:dyDescent="0.3">
      <c r="I1178"/>
      <c r="J1178"/>
      <c r="K1178"/>
      <c r="L1178"/>
    </row>
    <row r="1179" spans="9:12" x14ac:dyDescent="0.3">
      <c r="I1179"/>
      <c r="J1179"/>
      <c r="K1179"/>
      <c r="L1179"/>
    </row>
    <row r="1180" spans="9:12" x14ac:dyDescent="0.3">
      <c r="I1180"/>
      <c r="J1180"/>
      <c r="K1180"/>
      <c r="L1180"/>
    </row>
    <row r="1181" spans="9:12" x14ac:dyDescent="0.3">
      <c r="I1181"/>
      <c r="J1181"/>
      <c r="K1181"/>
      <c r="L1181"/>
    </row>
    <row r="1182" spans="9:12" x14ac:dyDescent="0.3">
      <c r="I1182"/>
      <c r="J1182"/>
      <c r="K1182"/>
      <c r="L1182"/>
    </row>
    <row r="1183" spans="9:12" x14ac:dyDescent="0.3">
      <c r="I1183"/>
      <c r="J1183"/>
      <c r="K1183"/>
      <c r="L1183"/>
    </row>
    <row r="1184" spans="9:12" x14ac:dyDescent="0.3">
      <c r="I1184"/>
      <c r="J1184"/>
      <c r="K1184"/>
      <c r="L1184"/>
    </row>
    <row r="1185" spans="9:12" x14ac:dyDescent="0.3">
      <c r="I1185"/>
      <c r="J1185"/>
      <c r="K1185"/>
      <c r="L1185"/>
    </row>
    <row r="1186" spans="9:12" x14ac:dyDescent="0.3">
      <c r="I1186"/>
      <c r="J1186"/>
      <c r="K1186"/>
      <c r="L1186"/>
    </row>
    <row r="1187" spans="9:12" x14ac:dyDescent="0.3">
      <c r="I1187"/>
      <c r="J1187"/>
      <c r="K1187"/>
      <c r="L1187"/>
    </row>
    <row r="1188" spans="9:12" x14ac:dyDescent="0.3">
      <c r="I1188"/>
      <c r="J1188"/>
      <c r="K1188"/>
      <c r="L1188"/>
    </row>
    <row r="1189" spans="9:12" x14ac:dyDescent="0.3">
      <c r="I1189"/>
      <c r="J1189"/>
      <c r="K1189"/>
      <c r="L1189"/>
    </row>
    <row r="1190" spans="9:12" x14ac:dyDescent="0.3">
      <c r="I1190"/>
      <c r="J1190"/>
      <c r="K1190"/>
      <c r="L1190"/>
    </row>
    <row r="1191" spans="9:12" x14ac:dyDescent="0.3">
      <c r="I1191"/>
      <c r="J1191"/>
      <c r="K1191"/>
      <c r="L1191"/>
    </row>
    <row r="1192" spans="9:12" x14ac:dyDescent="0.3">
      <c r="I1192"/>
      <c r="J1192"/>
      <c r="K1192"/>
      <c r="L1192"/>
    </row>
    <row r="1193" spans="9:12" x14ac:dyDescent="0.3">
      <c r="I1193"/>
      <c r="J1193"/>
      <c r="K1193"/>
      <c r="L1193"/>
    </row>
    <row r="1194" spans="9:12" x14ac:dyDescent="0.3">
      <c r="I1194"/>
      <c r="J1194"/>
      <c r="K1194"/>
      <c r="L1194"/>
    </row>
    <row r="1195" spans="9:12" x14ac:dyDescent="0.3">
      <c r="I1195"/>
      <c r="J1195"/>
      <c r="K1195"/>
      <c r="L1195"/>
    </row>
    <row r="1196" spans="9:12" x14ac:dyDescent="0.3">
      <c r="I1196"/>
      <c r="J1196"/>
      <c r="K1196"/>
      <c r="L1196"/>
    </row>
    <row r="1197" spans="9:12" x14ac:dyDescent="0.3">
      <c r="I1197"/>
      <c r="J1197"/>
      <c r="K1197"/>
      <c r="L1197"/>
    </row>
    <row r="1198" spans="9:12" x14ac:dyDescent="0.3">
      <c r="I1198"/>
      <c r="J1198"/>
      <c r="K1198"/>
      <c r="L1198"/>
    </row>
    <row r="1199" spans="9:12" x14ac:dyDescent="0.3">
      <c r="I1199"/>
      <c r="J1199"/>
      <c r="K1199"/>
      <c r="L1199"/>
    </row>
    <row r="1200" spans="9:12" x14ac:dyDescent="0.3">
      <c r="I1200"/>
      <c r="J1200"/>
      <c r="K1200"/>
      <c r="L1200"/>
    </row>
    <row r="1201" spans="9:12" x14ac:dyDescent="0.3">
      <c r="I1201"/>
      <c r="J1201"/>
      <c r="K1201"/>
      <c r="L1201"/>
    </row>
    <row r="1202" spans="9:12" x14ac:dyDescent="0.3">
      <c r="I1202"/>
      <c r="J1202"/>
      <c r="K1202"/>
      <c r="L1202"/>
    </row>
    <row r="1203" spans="9:12" x14ac:dyDescent="0.3">
      <c r="I1203"/>
      <c r="J1203"/>
      <c r="K1203"/>
      <c r="L1203"/>
    </row>
    <row r="1204" spans="9:12" x14ac:dyDescent="0.3">
      <c r="I1204"/>
      <c r="J1204"/>
      <c r="K1204"/>
      <c r="L1204"/>
    </row>
    <row r="1205" spans="9:12" x14ac:dyDescent="0.3">
      <c r="I1205"/>
      <c r="J1205"/>
      <c r="K1205"/>
      <c r="L1205"/>
    </row>
    <row r="1206" spans="9:12" x14ac:dyDescent="0.3">
      <c r="I1206"/>
      <c r="J1206"/>
      <c r="K1206"/>
      <c r="L1206"/>
    </row>
    <row r="1207" spans="9:12" x14ac:dyDescent="0.3">
      <c r="I1207"/>
      <c r="J1207"/>
      <c r="K1207"/>
      <c r="L1207"/>
    </row>
    <row r="1208" spans="9:12" x14ac:dyDescent="0.3">
      <c r="I1208"/>
      <c r="J1208"/>
      <c r="K1208"/>
      <c r="L1208"/>
    </row>
    <row r="1209" spans="9:12" x14ac:dyDescent="0.3">
      <c r="I1209"/>
      <c r="J1209"/>
      <c r="K1209"/>
      <c r="L1209"/>
    </row>
    <row r="1210" spans="9:12" x14ac:dyDescent="0.3">
      <c r="I1210"/>
      <c r="J1210"/>
      <c r="K1210"/>
      <c r="L1210"/>
    </row>
    <row r="1211" spans="9:12" x14ac:dyDescent="0.3">
      <c r="I1211"/>
      <c r="J1211"/>
      <c r="K1211"/>
      <c r="L1211"/>
    </row>
    <row r="1212" spans="9:12" x14ac:dyDescent="0.3">
      <c r="I1212"/>
      <c r="J1212"/>
      <c r="K1212"/>
      <c r="L1212"/>
    </row>
    <row r="1213" spans="9:12" x14ac:dyDescent="0.3">
      <c r="I1213"/>
      <c r="J1213"/>
      <c r="K1213"/>
      <c r="L1213"/>
    </row>
    <row r="1214" spans="9:12" x14ac:dyDescent="0.3">
      <c r="I1214"/>
      <c r="J1214"/>
      <c r="K1214"/>
      <c r="L1214"/>
    </row>
    <row r="1215" spans="9:12" x14ac:dyDescent="0.3">
      <c r="I1215"/>
      <c r="J1215"/>
      <c r="K1215"/>
      <c r="L1215"/>
    </row>
    <row r="1216" spans="9:12" x14ac:dyDescent="0.3">
      <c r="I1216"/>
      <c r="J1216"/>
      <c r="K1216"/>
      <c r="L1216"/>
    </row>
    <row r="1217" spans="9:12" x14ac:dyDescent="0.3">
      <c r="I1217"/>
      <c r="J1217"/>
      <c r="K1217"/>
      <c r="L1217"/>
    </row>
    <row r="1218" spans="9:12" x14ac:dyDescent="0.3">
      <c r="I1218"/>
      <c r="J1218"/>
      <c r="K1218"/>
      <c r="L1218"/>
    </row>
    <row r="1219" spans="9:12" x14ac:dyDescent="0.3">
      <c r="I1219"/>
      <c r="J1219"/>
      <c r="K1219"/>
      <c r="L1219"/>
    </row>
    <row r="1220" spans="9:12" x14ac:dyDescent="0.3">
      <c r="I1220"/>
      <c r="J1220"/>
      <c r="K1220"/>
      <c r="L1220"/>
    </row>
    <row r="1221" spans="9:12" x14ac:dyDescent="0.3">
      <c r="I1221"/>
      <c r="J1221"/>
      <c r="K1221"/>
      <c r="L1221"/>
    </row>
    <row r="1222" spans="9:12" x14ac:dyDescent="0.3">
      <c r="I1222"/>
      <c r="J1222"/>
      <c r="K1222"/>
      <c r="L1222"/>
    </row>
    <row r="1223" spans="9:12" x14ac:dyDescent="0.3">
      <c r="I1223"/>
      <c r="J1223"/>
      <c r="K1223"/>
      <c r="L1223"/>
    </row>
    <row r="1224" spans="9:12" x14ac:dyDescent="0.3">
      <c r="I1224"/>
      <c r="J1224"/>
      <c r="K1224"/>
      <c r="L1224"/>
    </row>
    <row r="1225" spans="9:12" x14ac:dyDescent="0.3">
      <c r="I1225"/>
      <c r="J1225"/>
      <c r="K1225"/>
      <c r="L1225"/>
    </row>
    <row r="1226" spans="9:12" x14ac:dyDescent="0.3">
      <c r="I1226"/>
      <c r="J1226"/>
      <c r="K1226"/>
      <c r="L1226"/>
    </row>
    <row r="1227" spans="9:12" x14ac:dyDescent="0.3">
      <c r="I1227"/>
      <c r="J1227"/>
      <c r="K1227"/>
      <c r="L1227"/>
    </row>
    <row r="1228" spans="9:12" x14ac:dyDescent="0.3">
      <c r="I1228"/>
      <c r="J1228"/>
      <c r="K1228"/>
      <c r="L1228"/>
    </row>
    <row r="1229" spans="9:12" x14ac:dyDescent="0.3">
      <c r="I1229"/>
      <c r="J1229"/>
      <c r="K1229"/>
      <c r="L1229"/>
    </row>
    <row r="1230" spans="9:12" x14ac:dyDescent="0.3">
      <c r="I1230"/>
      <c r="J1230"/>
      <c r="K1230"/>
      <c r="L1230"/>
    </row>
    <row r="1231" spans="9:12" x14ac:dyDescent="0.3">
      <c r="I1231"/>
      <c r="J1231"/>
      <c r="K1231"/>
      <c r="L1231"/>
    </row>
    <row r="1232" spans="9:12" x14ac:dyDescent="0.3">
      <c r="I1232"/>
      <c r="J1232"/>
      <c r="K1232"/>
      <c r="L1232"/>
    </row>
    <row r="1233" spans="9:12" x14ac:dyDescent="0.3">
      <c r="I1233"/>
      <c r="J1233"/>
      <c r="K1233"/>
      <c r="L1233"/>
    </row>
    <row r="1234" spans="9:12" x14ac:dyDescent="0.3">
      <c r="I1234"/>
      <c r="J1234"/>
      <c r="K1234"/>
      <c r="L1234"/>
    </row>
    <row r="1235" spans="9:12" x14ac:dyDescent="0.3">
      <c r="I1235"/>
      <c r="J1235"/>
      <c r="K1235"/>
      <c r="L1235"/>
    </row>
    <row r="1236" spans="9:12" x14ac:dyDescent="0.3">
      <c r="I1236"/>
      <c r="J1236"/>
      <c r="K1236"/>
      <c r="L1236"/>
    </row>
    <row r="1237" spans="9:12" x14ac:dyDescent="0.3">
      <c r="I1237"/>
      <c r="J1237"/>
      <c r="K1237"/>
      <c r="L1237"/>
    </row>
    <row r="1238" spans="9:12" x14ac:dyDescent="0.3">
      <c r="I1238"/>
      <c r="J1238"/>
      <c r="K1238"/>
      <c r="L1238"/>
    </row>
    <row r="1239" spans="9:12" x14ac:dyDescent="0.3">
      <c r="I1239"/>
      <c r="J1239"/>
      <c r="K1239"/>
      <c r="L1239"/>
    </row>
    <row r="1240" spans="9:12" x14ac:dyDescent="0.3">
      <c r="I1240"/>
      <c r="J1240"/>
      <c r="K1240"/>
      <c r="L1240"/>
    </row>
    <row r="1241" spans="9:12" x14ac:dyDescent="0.3">
      <c r="I1241"/>
      <c r="J1241"/>
      <c r="K1241"/>
      <c r="L1241"/>
    </row>
    <row r="1242" spans="9:12" x14ac:dyDescent="0.3">
      <c r="I1242"/>
      <c r="J1242"/>
      <c r="K1242"/>
      <c r="L1242"/>
    </row>
    <row r="1243" spans="9:12" x14ac:dyDescent="0.3">
      <c r="I1243"/>
      <c r="J1243"/>
      <c r="K1243"/>
      <c r="L1243"/>
    </row>
    <row r="1244" spans="9:12" x14ac:dyDescent="0.3">
      <c r="I1244"/>
      <c r="J1244"/>
      <c r="K1244"/>
      <c r="L1244"/>
    </row>
    <row r="1245" spans="9:12" x14ac:dyDescent="0.3">
      <c r="I1245"/>
      <c r="J1245"/>
      <c r="K1245"/>
      <c r="L1245"/>
    </row>
    <row r="1246" spans="9:12" x14ac:dyDescent="0.3">
      <c r="I1246"/>
      <c r="J1246"/>
      <c r="K1246"/>
      <c r="L1246"/>
    </row>
    <row r="1247" spans="9:12" x14ac:dyDescent="0.3">
      <c r="I1247"/>
      <c r="J1247"/>
      <c r="K1247"/>
      <c r="L1247"/>
    </row>
    <row r="1248" spans="9:12" x14ac:dyDescent="0.3">
      <c r="I1248"/>
      <c r="J1248"/>
      <c r="K1248"/>
      <c r="L1248"/>
    </row>
    <row r="1249" spans="9:12" x14ac:dyDescent="0.3">
      <c r="I1249"/>
      <c r="J1249"/>
      <c r="K1249"/>
      <c r="L1249"/>
    </row>
    <row r="1250" spans="9:12" x14ac:dyDescent="0.3">
      <c r="I1250"/>
      <c r="J1250"/>
      <c r="K1250"/>
      <c r="L1250"/>
    </row>
    <row r="1251" spans="9:12" x14ac:dyDescent="0.3">
      <c r="I1251"/>
      <c r="J1251"/>
      <c r="K1251"/>
      <c r="L1251"/>
    </row>
    <row r="1252" spans="9:12" x14ac:dyDescent="0.3">
      <c r="I1252"/>
      <c r="J1252"/>
      <c r="K1252"/>
      <c r="L1252"/>
    </row>
    <row r="1253" spans="9:12" x14ac:dyDescent="0.3">
      <c r="I1253"/>
      <c r="J1253"/>
      <c r="K1253"/>
      <c r="L1253"/>
    </row>
    <row r="1254" spans="9:12" x14ac:dyDescent="0.3">
      <c r="I1254"/>
      <c r="J1254"/>
      <c r="K1254"/>
      <c r="L1254"/>
    </row>
    <row r="1255" spans="9:12" x14ac:dyDescent="0.3">
      <c r="I1255"/>
      <c r="J1255"/>
      <c r="K1255"/>
      <c r="L1255"/>
    </row>
    <row r="1256" spans="9:12" x14ac:dyDescent="0.3">
      <c r="I1256"/>
      <c r="J1256"/>
      <c r="K1256"/>
      <c r="L1256"/>
    </row>
    <row r="1257" spans="9:12" x14ac:dyDescent="0.3">
      <c r="I1257"/>
      <c r="J1257"/>
      <c r="K1257"/>
      <c r="L1257"/>
    </row>
    <row r="1258" spans="9:12" x14ac:dyDescent="0.3">
      <c r="I1258"/>
      <c r="J1258"/>
      <c r="K1258"/>
      <c r="L1258"/>
    </row>
    <row r="1259" spans="9:12" x14ac:dyDescent="0.3">
      <c r="I1259"/>
      <c r="J1259"/>
      <c r="K1259"/>
      <c r="L1259"/>
    </row>
    <row r="1260" spans="9:12" x14ac:dyDescent="0.3">
      <c r="I1260"/>
      <c r="J1260"/>
      <c r="K1260"/>
      <c r="L1260"/>
    </row>
    <row r="1261" spans="9:12" x14ac:dyDescent="0.3">
      <c r="I1261"/>
      <c r="J1261"/>
      <c r="K1261"/>
      <c r="L1261"/>
    </row>
    <row r="1262" spans="9:12" x14ac:dyDescent="0.3">
      <c r="I1262"/>
      <c r="J1262"/>
      <c r="K1262"/>
      <c r="L1262"/>
    </row>
    <row r="1263" spans="9:12" x14ac:dyDescent="0.3">
      <c r="I1263"/>
      <c r="J1263"/>
      <c r="K1263"/>
      <c r="L1263"/>
    </row>
    <row r="1264" spans="9:12" x14ac:dyDescent="0.3">
      <c r="I1264"/>
      <c r="J1264"/>
      <c r="K1264"/>
      <c r="L1264"/>
    </row>
    <row r="1265" spans="9:12" x14ac:dyDescent="0.3">
      <c r="I1265"/>
      <c r="J1265"/>
      <c r="K1265"/>
      <c r="L1265"/>
    </row>
    <row r="1266" spans="9:12" x14ac:dyDescent="0.3">
      <c r="I1266"/>
      <c r="J1266"/>
      <c r="K1266"/>
      <c r="L1266"/>
    </row>
    <row r="1267" spans="9:12" x14ac:dyDescent="0.3">
      <c r="I1267"/>
      <c r="J1267"/>
      <c r="K1267"/>
      <c r="L1267"/>
    </row>
    <row r="1268" spans="9:12" x14ac:dyDescent="0.3">
      <c r="I1268"/>
      <c r="J1268"/>
      <c r="K1268"/>
      <c r="L1268"/>
    </row>
    <row r="1269" spans="9:12" x14ac:dyDescent="0.3">
      <c r="I1269"/>
      <c r="J1269"/>
      <c r="K1269"/>
      <c r="L1269"/>
    </row>
    <row r="1270" spans="9:12" x14ac:dyDescent="0.3">
      <c r="I1270"/>
      <c r="J1270"/>
      <c r="K1270"/>
      <c r="L1270"/>
    </row>
    <row r="1271" spans="9:12" x14ac:dyDescent="0.3">
      <c r="I1271"/>
      <c r="J1271"/>
      <c r="K1271"/>
      <c r="L1271"/>
    </row>
    <row r="1272" spans="9:12" x14ac:dyDescent="0.3">
      <c r="I1272"/>
      <c r="J1272"/>
      <c r="K1272"/>
      <c r="L1272"/>
    </row>
    <row r="1273" spans="9:12" x14ac:dyDescent="0.3">
      <c r="I1273"/>
      <c r="J1273"/>
      <c r="K1273"/>
      <c r="L1273"/>
    </row>
    <row r="1274" spans="9:12" x14ac:dyDescent="0.3">
      <c r="I1274"/>
      <c r="J1274"/>
      <c r="K1274"/>
      <c r="L1274"/>
    </row>
    <row r="1275" spans="9:12" x14ac:dyDescent="0.3">
      <c r="I1275"/>
      <c r="J1275"/>
      <c r="K1275"/>
      <c r="L1275"/>
    </row>
    <row r="1276" spans="9:12" x14ac:dyDescent="0.3">
      <c r="I1276"/>
      <c r="J1276"/>
      <c r="K1276"/>
      <c r="L1276"/>
    </row>
    <row r="1277" spans="9:12" x14ac:dyDescent="0.3">
      <c r="I1277"/>
      <c r="J1277"/>
      <c r="K1277"/>
      <c r="L1277"/>
    </row>
    <row r="1278" spans="9:12" x14ac:dyDescent="0.3">
      <c r="I1278"/>
      <c r="J1278"/>
      <c r="K1278"/>
      <c r="L1278"/>
    </row>
    <row r="1279" spans="9:12" x14ac:dyDescent="0.3">
      <c r="I1279"/>
      <c r="J1279"/>
      <c r="K1279"/>
      <c r="L1279"/>
    </row>
    <row r="1280" spans="9:12" x14ac:dyDescent="0.3">
      <c r="I1280"/>
      <c r="J1280"/>
      <c r="K1280"/>
      <c r="L1280"/>
    </row>
    <row r="1281" spans="9:12" x14ac:dyDescent="0.3">
      <c r="I1281"/>
      <c r="J1281"/>
      <c r="K1281"/>
      <c r="L1281"/>
    </row>
    <row r="1282" spans="9:12" x14ac:dyDescent="0.3">
      <c r="I1282"/>
      <c r="J1282"/>
      <c r="K1282"/>
      <c r="L1282"/>
    </row>
    <row r="1283" spans="9:12" x14ac:dyDescent="0.3">
      <c r="I1283"/>
      <c r="J1283"/>
      <c r="K1283"/>
      <c r="L1283"/>
    </row>
    <row r="1284" spans="9:12" x14ac:dyDescent="0.3">
      <c r="I1284"/>
      <c r="J1284"/>
      <c r="K1284"/>
      <c r="L1284"/>
    </row>
    <row r="1285" spans="9:12" x14ac:dyDescent="0.3">
      <c r="I1285"/>
      <c r="J1285"/>
      <c r="K1285"/>
      <c r="L1285"/>
    </row>
    <row r="1286" spans="9:12" x14ac:dyDescent="0.3">
      <c r="I1286"/>
      <c r="J1286"/>
      <c r="K1286"/>
      <c r="L1286"/>
    </row>
    <row r="1287" spans="9:12" x14ac:dyDescent="0.3">
      <c r="I1287"/>
      <c r="J1287"/>
      <c r="K1287"/>
      <c r="L1287"/>
    </row>
    <row r="1288" spans="9:12" x14ac:dyDescent="0.3">
      <c r="I1288"/>
      <c r="J1288"/>
      <c r="K1288"/>
      <c r="L1288"/>
    </row>
    <row r="1289" spans="9:12" x14ac:dyDescent="0.3">
      <c r="I1289"/>
      <c r="J1289"/>
      <c r="K1289"/>
      <c r="L1289"/>
    </row>
    <row r="1290" spans="9:12" x14ac:dyDescent="0.3">
      <c r="I1290"/>
      <c r="J1290"/>
      <c r="K1290"/>
      <c r="L1290"/>
    </row>
    <row r="1291" spans="9:12" x14ac:dyDescent="0.3">
      <c r="I1291"/>
      <c r="J1291"/>
      <c r="K1291"/>
      <c r="L1291"/>
    </row>
    <row r="1292" spans="9:12" x14ac:dyDescent="0.3">
      <c r="I1292"/>
      <c r="J1292"/>
      <c r="K1292"/>
      <c r="L1292"/>
    </row>
    <row r="1293" spans="9:12" x14ac:dyDescent="0.3">
      <c r="I1293"/>
      <c r="J1293"/>
      <c r="K1293"/>
      <c r="L1293"/>
    </row>
    <row r="1294" spans="9:12" x14ac:dyDescent="0.3">
      <c r="I1294"/>
      <c r="J1294"/>
      <c r="K1294"/>
      <c r="L1294"/>
    </row>
    <row r="1295" spans="9:12" x14ac:dyDescent="0.3">
      <c r="I1295"/>
      <c r="J1295"/>
      <c r="K1295"/>
      <c r="L1295"/>
    </row>
    <row r="1296" spans="9:12" x14ac:dyDescent="0.3">
      <c r="I1296"/>
      <c r="J1296"/>
      <c r="K1296"/>
      <c r="L1296"/>
    </row>
    <row r="1297" spans="9:12" x14ac:dyDescent="0.3">
      <c r="I1297"/>
      <c r="J1297"/>
      <c r="K1297"/>
      <c r="L1297"/>
    </row>
    <row r="1298" spans="9:12" x14ac:dyDescent="0.3">
      <c r="I1298"/>
      <c r="J1298"/>
      <c r="K1298"/>
      <c r="L1298"/>
    </row>
    <row r="1299" spans="9:12" x14ac:dyDescent="0.3">
      <c r="I1299"/>
      <c r="J1299"/>
      <c r="K1299"/>
      <c r="L1299"/>
    </row>
    <row r="1300" spans="9:12" x14ac:dyDescent="0.3">
      <c r="I1300"/>
      <c r="J1300"/>
      <c r="K1300"/>
      <c r="L1300"/>
    </row>
    <row r="1301" spans="9:12" x14ac:dyDescent="0.3">
      <c r="I1301"/>
      <c r="J1301"/>
      <c r="K1301"/>
      <c r="L1301"/>
    </row>
    <row r="1302" spans="9:12" x14ac:dyDescent="0.3">
      <c r="I1302"/>
      <c r="J1302"/>
      <c r="K1302"/>
      <c r="L1302"/>
    </row>
    <row r="1303" spans="9:12" x14ac:dyDescent="0.3">
      <c r="I1303"/>
      <c r="J1303"/>
      <c r="K1303"/>
      <c r="L1303"/>
    </row>
    <row r="1304" spans="9:12" x14ac:dyDescent="0.3">
      <c r="I1304"/>
      <c r="J1304"/>
      <c r="K1304"/>
      <c r="L1304"/>
    </row>
    <row r="1305" spans="9:12" x14ac:dyDescent="0.3">
      <c r="I1305"/>
      <c r="J1305"/>
      <c r="K1305"/>
      <c r="L1305"/>
    </row>
    <row r="1306" spans="9:12" x14ac:dyDescent="0.3">
      <c r="I1306"/>
      <c r="J1306"/>
      <c r="K1306"/>
      <c r="L1306"/>
    </row>
    <row r="1307" spans="9:12" x14ac:dyDescent="0.3">
      <c r="I1307"/>
      <c r="J1307"/>
      <c r="K1307"/>
      <c r="L1307"/>
    </row>
    <row r="1308" spans="9:12" x14ac:dyDescent="0.3">
      <c r="I1308"/>
      <c r="J1308"/>
      <c r="K1308"/>
      <c r="L1308"/>
    </row>
    <row r="1309" spans="9:12" x14ac:dyDescent="0.3">
      <c r="I1309"/>
      <c r="J1309"/>
      <c r="K1309"/>
      <c r="L1309"/>
    </row>
    <row r="1310" spans="9:12" x14ac:dyDescent="0.3">
      <c r="I1310"/>
      <c r="J1310"/>
      <c r="K1310"/>
      <c r="L1310"/>
    </row>
    <row r="1311" spans="9:12" x14ac:dyDescent="0.3">
      <c r="I1311"/>
      <c r="J1311"/>
      <c r="K1311"/>
      <c r="L1311"/>
    </row>
    <row r="1312" spans="9:12" x14ac:dyDescent="0.3">
      <c r="I1312"/>
      <c r="J1312"/>
      <c r="K1312"/>
      <c r="L1312"/>
    </row>
    <row r="1313" spans="9:12" x14ac:dyDescent="0.3">
      <c r="I1313"/>
      <c r="J1313"/>
      <c r="K1313"/>
      <c r="L1313"/>
    </row>
    <row r="1314" spans="9:12" x14ac:dyDescent="0.3">
      <c r="I1314"/>
      <c r="J1314"/>
      <c r="K1314"/>
      <c r="L1314"/>
    </row>
    <row r="1315" spans="9:12" x14ac:dyDescent="0.3">
      <c r="I1315"/>
      <c r="J1315"/>
      <c r="K1315"/>
      <c r="L1315"/>
    </row>
    <row r="1316" spans="9:12" x14ac:dyDescent="0.3">
      <c r="I1316"/>
      <c r="J1316"/>
      <c r="K1316"/>
      <c r="L1316"/>
    </row>
    <row r="1317" spans="9:12" x14ac:dyDescent="0.3">
      <c r="I1317"/>
      <c r="J1317"/>
      <c r="K1317"/>
      <c r="L1317"/>
    </row>
    <row r="1318" spans="9:12" x14ac:dyDescent="0.3">
      <c r="I1318"/>
      <c r="J1318"/>
      <c r="K1318"/>
      <c r="L1318"/>
    </row>
    <row r="1319" spans="9:12" x14ac:dyDescent="0.3">
      <c r="I1319"/>
      <c r="J1319"/>
      <c r="K1319"/>
      <c r="L1319"/>
    </row>
    <row r="1320" spans="9:12" x14ac:dyDescent="0.3">
      <c r="I1320"/>
      <c r="J1320"/>
      <c r="K1320"/>
      <c r="L1320"/>
    </row>
    <row r="1321" spans="9:12" x14ac:dyDescent="0.3">
      <c r="I1321"/>
      <c r="J1321"/>
      <c r="K1321"/>
      <c r="L1321"/>
    </row>
    <row r="1322" spans="9:12" x14ac:dyDescent="0.3">
      <c r="I1322"/>
      <c r="J1322"/>
      <c r="K1322"/>
      <c r="L1322"/>
    </row>
    <row r="1323" spans="9:12" x14ac:dyDescent="0.3">
      <c r="I1323"/>
      <c r="J1323"/>
      <c r="K1323"/>
      <c r="L1323"/>
    </row>
    <row r="1324" spans="9:12" x14ac:dyDescent="0.3">
      <c r="I1324"/>
      <c r="J1324"/>
      <c r="K1324"/>
      <c r="L1324"/>
    </row>
    <row r="1325" spans="9:12" x14ac:dyDescent="0.3">
      <c r="I1325"/>
      <c r="J1325"/>
      <c r="K1325"/>
      <c r="L1325"/>
    </row>
    <row r="1326" spans="9:12" x14ac:dyDescent="0.3">
      <c r="I1326"/>
      <c r="J1326"/>
      <c r="K1326"/>
      <c r="L1326"/>
    </row>
    <row r="1327" spans="9:12" x14ac:dyDescent="0.3">
      <c r="I1327"/>
      <c r="J1327"/>
      <c r="K1327"/>
      <c r="L1327"/>
    </row>
    <row r="1328" spans="9:12" x14ac:dyDescent="0.3">
      <c r="I1328"/>
      <c r="J1328"/>
      <c r="K1328"/>
      <c r="L1328"/>
    </row>
    <row r="1329" spans="9:12" x14ac:dyDescent="0.3">
      <c r="I1329"/>
      <c r="J1329"/>
      <c r="K1329"/>
      <c r="L1329"/>
    </row>
    <row r="1330" spans="9:12" x14ac:dyDescent="0.3">
      <c r="I1330"/>
      <c r="J1330"/>
      <c r="K1330"/>
      <c r="L1330"/>
    </row>
    <row r="1331" spans="9:12" x14ac:dyDescent="0.3">
      <c r="I1331"/>
      <c r="J1331"/>
      <c r="K1331"/>
      <c r="L1331"/>
    </row>
    <row r="1332" spans="9:12" x14ac:dyDescent="0.3">
      <c r="I1332"/>
      <c r="J1332"/>
      <c r="K1332"/>
      <c r="L1332"/>
    </row>
    <row r="1333" spans="9:12" x14ac:dyDescent="0.3">
      <c r="I1333"/>
      <c r="J1333"/>
      <c r="K1333"/>
      <c r="L1333"/>
    </row>
    <row r="1334" spans="9:12" x14ac:dyDescent="0.3">
      <c r="I1334"/>
      <c r="J1334"/>
      <c r="K1334"/>
      <c r="L1334"/>
    </row>
    <row r="1335" spans="9:12" x14ac:dyDescent="0.3">
      <c r="I1335"/>
      <c r="J1335"/>
      <c r="K1335"/>
      <c r="L1335"/>
    </row>
    <row r="1336" spans="9:12" x14ac:dyDescent="0.3">
      <c r="I1336"/>
      <c r="J1336"/>
      <c r="K1336"/>
      <c r="L1336"/>
    </row>
    <row r="1337" spans="9:12" x14ac:dyDescent="0.3">
      <c r="I1337"/>
      <c r="J1337"/>
      <c r="K1337"/>
      <c r="L1337"/>
    </row>
    <row r="1338" spans="9:12" x14ac:dyDescent="0.3">
      <c r="I1338"/>
      <c r="J1338"/>
      <c r="K1338"/>
      <c r="L1338"/>
    </row>
    <row r="1339" spans="9:12" x14ac:dyDescent="0.3">
      <c r="I1339"/>
      <c r="J1339"/>
      <c r="K1339"/>
      <c r="L1339"/>
    </row>
    <row r="1340" spans="9:12" x14ac:dyDescent="0.3">
      <c r="I1340"/>
      <c r="J1340"/>
      <c r="K1340"/>
      <c r="L1340"/>
    </row>
    <row r="1341" spans="9:12" x14ac:dyDescent="0.3">
      <c r="I1341"/>
      <c r="J1341"/>
      <c r="K1341"/>
      <c r="L1341"/>
    </row>
    <row r="1342" spans="9:12" x14ac:dyDescent="0.3">
      <c r="I1342"/>
      <c r="J1342"/>
      <c r="K1342"/>
      <c r="L1342"/>
    </row>
    <row r="1343" spans="9:12" x14ac:dyDescent="0.3">
      <c r="I1343"/>
      <c r="J1343"/>
      <c r="K1343"/>
      <c r="L1343"/>
    </row>
    <row r="1344" spans="9:12" x14ac:dyDescent="0.3">
      <c r="I1344"/>
      <c r="J1344"/>
      <c r="K1344"/>
      <c r="L1344"/>
    </row>
    <row r="1345" spans="9:12" x14ac:dyDescent="0.3">
      <c r="I1345"/>
      <c r="J1345"/>
      <c r="K1345"/>
      <c r="L1345"/>
    </row>
    <row r="1346" spans="9:12" x14ac:dyDescent="0.3">
      <c r="I1346"/>
      <c r="J1346"/>
      <c r="K1346"/>
      <c r="L1346"/>
    </row>
    <row r="1347" spans="9:12" x14ac:dyDescent="0.3">
      <c r="I1347"/>
      <c r="J1347"/>
      <c r="K1347"/>
      <c r="L1347"/>
    </row>
    <row r="1348" spans="9:12" x14ac:dyDescent="0.3">
      <c r="I1348"/>
      <c r="J1348"/>
      <c r="K1348"/>
      <c r="L1348"/>
    </row>
    <row r="1349" spans="9:12" x14ac:dyDescent="0.3">
      <c r="I1349"/>
      <c r="J1349"/>
      <c r="K1349"/>
      <c r="L1349"/>
    </row>
    <row r="1350" spans="9:12" x14ac:dyDescent="0.3">
      <c r="I1350"/>
      <c r="J1350"/>
      <c r="K1350"/>
      <c r="L1350"/>
    </row>
    <row r="1351" spans="9:12" x14ac:dyDescent="0.3">
      <c r="I1351"/>
      <c r="J1351"/>
      <c r="K1351"/>
      <c r="L1351"/>
    </row>
    <row r="1352" spans="9:12" x14ac:dyDescent="0.3">
      <c r="I1352"/>
      <c r="J1352"/>
      <c r="K1352"/>
      <c r="L1352"/>
    </row>
    <row r="1353" spans="9:12" x14ac:dyDescent="0.3">
      <c r="I1353"/>
      <c r="J1353"/>
      <c r="K1353"/>
      <c r="L1353"/>
    </row>
    <row r="1354" spans="9:12" x14ac:dyDescent="0.3">
      <c r="I1354"/>
      <c r="J1354"/>
      <c r="K1354"/>
      <c r="L1354"/>
    </row>
    <row r="1355" spans="9:12" x14ac:dyDescent="0.3">
      <c r="I1355"/>
      <c r="J1355"/>
      <c r="K1355"/>
      <c r="L1355"/>
    </row>
    <row r="1356" spans="9:12" x14ac:dyDescent="0.3">
      <c r="I1356"/>
      <c r="J1356"/>
      <c r="K1356"/>
      <c r="L1356"/>
    </row>
    <row r="1357" spans="9:12" x14ac:dyDescent="0.3">
      <c r="I1357"/>
      <c r="J1357"/>
      <c r="K1357"/>
      <c r="L1357"/>
    </row>
    <row r="1358" spans="9:12" x14ac:dyDescent="0.3">
      <c r="I1358"/>
      <c r="J1358"/>
      <c r="K1358"/>
      <c r="L1358"/>
    </row>
    <row r="1359" spans="9:12" x14ac:dyDescent="0.3">
      <c r="I1359"/>
      <c r="J1359"/>
      <c r="K1359"/>
      <c r="L1359"/>
    </row>
    <row r="1360" spans="9:12" x14ac:dyDescent="0.3">
      <c r="I1360"/>
      <c r="J1360"/>
      <c r="K1360"/>
      <c r="L1360"/>
    </row>
    <row r="1361" spans="9:12" x14ac:dyDescent="0.3">
      <c r="I1361"/>
      <c r="J1361"/>
      <c r="K1361"/>
      <c r="L1361"/>
    </row>
    <row r="1362" spans="9:12" x14ac:dyDescent="0.3">
      <c r="I1362"/>
      <c r="J1362"/>
      <c r="K1362"/>
      <c r="L1362"/>
    </row>
    <row r="1363" spans="9:12" x14ac:dyDescent="0.3">
      <c r="I1363"/>
      <c r="J1363"/>
      <c r="K1363"/>
      <c r="L1363"/>
    </row>
    <row r="1364" spans="9:12" x14ac:dyDescent="0.3">
      <c r="I1364"/>
      <c r="J1364"/>
      <c r="K1364"/>
      <c r="L1364"/>
    </row>
    <row r="1365" spans="9:12" x14ac:dyDescent="0.3">
      <c r="I1365"/>
      <c r="J1365"/>
      <c r="K1365"/>
      <c r="L1365"/>
    </row>
    <row r="1366" spans="9:12" x14ac:dyDescent="0.3">
      <c r="I1366"/>
      <c r="J1366"/>
      <c r="K1366"/>
      <c r="L1366"/>
    </row>
    <row r="1367" spans="9:12" x14ac:dyDescent="0.3">
      <c r="I1367"/>
      <c r="J1367"/>
      <c r="K1367"/>
      <c r="L1367"/>
    </row>
    <row r="1368" spans="9:12" x14ac:dyDescent="0.3">
      <c r="I1368"/>
      <c r="J1368"/>
      <c r="K1368"/>
      <c r="L1368"/>
    </row>
    <row r="1369" spans="9:12" x14ac:dyDescent="0.3">
      <c r="I1369"/>
      <c r="J1369"/>
      <c r="K1369"/>
      <c r="L1369"/>
    </row>
    <row r="1370" spans="9:12" x14ac:dyDescent="0.3">
      <c r="I1370"/>
      <c r="J1370"/>
      <c r="K1370"/>
      <c r="L1370"/>
    </row>
    <row r="1371" spans="9:12" x14ac:dyDescent="0.3">
      <c r="I1371"/>
      <c r="J1371"/>
      <c r="K1371"/>
      <c r="L1371"/>
    </row>
    <row r="1372" spans="9:12" x14ac:dyDescent="0.3">
      <c r="I1372"/>
      <c r="J1372"/>
      <c r="K1372"/>
      <c r="L1372"/>
    </row>
    <row r="1373" spans="9:12" x14ac:dyDescent="0.3">
      <c r="I1373"/>
      <c r="J1373"/>
      <c r="K1373"/>
      <c r="L1373"/>
    </row>
    <row r="1374" spans="9:12" x14ac:dyDescent="0.3">
      <c r="I1374"/>
      <c r="J1374"/>
      <c r="K1374"/>
      <c r="L1374"/>
    </row>
    <row r="1375" spans="9:12" x14ac:dyDescent="0.3">
      <c r="I1375"/>
      <c r="J1375"/>
      <c r="K1375"/>
      <c r="L1375"/>
    </row>
    <row r="1376" spans="9:12" x14ac:dyDescent="0.3">
      <c r="I1376"/>
      <c r="J1376"/>
      <c r="K1376"/>
      <c r="L1376"/>
    </row>
    <row r="1377" spans="9:12" x14ac:dyDescent="0.3">
      <c r="I1377"/>
      <c r="J1377"/>
      <c r="K1377"/>
      <c r="L1377"/>
    </row>
    <row r="1378" spans="9:12" x14ac:dyDescent="0.3">
      <c r="I1378"/>
      <c r="J1378"/>
      <c r="K1378"/>
      <c r="L1378"/>
    </row>
    <row r="1379" spans="9:12" x14ac:dyDescent="0.3">
      <c r="I1379"/>
      <c r="J1379"/>
      <c r="K1379"/>
      <c r="L1379"/>
    </row>
    <row r="1380" spans="9:12" x14ac:dyDescent="0.3">
      <c r="I1380"/>
      <c r="J1380"/>
      <c r="K1380"/>
      <c r="L1380"/>
    </row>
    <row r="1381" spans="9:12" x14ac:dyDescent="0.3">
      <c r="I1381"/>
      <c r="J1381"/>
      <c r="K1381"/>
      <c r="L1381"/>
    </row>
    <row r="1382" spans="9:12" x14ac:dyDescent="0.3">
      <c r="I1382"/>
      <c r="J1382"/>
      <c r="K1382"/>
      <c r="L1382"/>
    </row>
    <row r="1383" spans="9:12" x14ac:dyDescent="0.3">
      <c r="I1383"/>
      <c r="J1383"/>
      <c r="K1383"/>
      <c r="L1383"/>
    </row>
    <row r="1384" spans="9:12" x14ac:dyDescent="0.3">
      <c r="I1384"/>
      <c r="J1384"/>
      <c r="K1384"/>
      <c r="L1384"/>
    </row>
    <row r="1385" spans="9:12" x14ac:dyDescent="0.3">
      <c r="I1385"/>
      <c r="J1385"/>
      <c r="K1385"/>
      <c r="L1385"/>
    </row>
    <row r="1386" spans="9:12" x14ac:dyDescent="0.3">
      <c r="I1386"/>
      <c r="J1386"/>
      <c r="K1386"/>
      <c r="L1386"/>
    </row>
    <row r="1387" spans="9:12" x14ac:dyDescent="0.3">
      <c r="I1387"/>
      <c r="J1387"/>
      <c r="K1387"/>
      <c r="L1387"/>
    </row>
    <row r="1388" spans="9:12" x14ac:dyDescent="0.3">
      <c r="I1388"/>
      <c r="J1388"/>
      <c r="K1388"/>
      <c r="L1388"/>
    </row>
    <row r="1389" spans="9:12" x14ac:dyDescent="0.3">
      <c r="I1389"/>
      <c r="J1389"/>
      <c r="K1389"/>
      <c r="L1389"/>
    </row>
    <row r="1390" spans="9:12" x14ac:dyDescent="0.3">
      <c r="I1390"/>
      <c r="J1390"/>
      <c r="K1390"/>
      <c r="L1390"/>
    </row>
    <row r="1391" spans="9:12" x14ac:dyDescent="0.3">
      <c r="I1391"/>
      <c r="J1391"/>
      <c r="K1391"/>
      <c r="L1391"/>
    </row>
    <row r="1392" spans="9:12" x14ac:dyDescent="0.3">
      <c r="I1392"/>
      <c r="J1392"/>
      <c r="K1392"/>
      <c r="L1392"/>
    </row>
    <row r="1393" spans="9:12" x14ac:dyDescent="0.3">
      <c r="I1393"/>
      <c r="J1393"/>
      <c r="K1393"/>
      <c r="L1393"/>
    </row>
    <row r="1394" spans="9:12" x14ac:dyDescent="0.3">
      <c r="I1394"/>
      <c r="J1394"/>
      <c r="K1394"/>
      <c r="L1394"/>
    </row>
    <row r="1395" spans="9:12" x14ac:dyDescent="0.3">
      <c r="I1395"/>
      <c r="J1395"/>
      <c r="K1395"/>
      <c r="L1395"/>
    </row>
    <row r="1396" spans="9:12" x14ac:dyDescent="0.3">
      <c r="I1396"/>
      <c r="J1396"/>
      <c r="K1396"/>
      <c r="L1396"/>
    </row>
    <row r="1397" spans="9:12" x14ac:dyDescent="0.3">
      <c r="I1397"/>
      <c r="J1397"/>
      <c r="K1397"/>
      <c r="L1397"/>
    </row>
    <row r="1398" spans="9:12" x14ac:dyDescent="0.3">
      <c r="I1398"/>
      <c r="J1398"/>
      <c r="K1398"/>
      <c r="L1398"/>
    </row>
    <row r="1399" spans="9:12" x14ac:dyDescent="0.3">
      <c r="I1399"/>
      <c r="J1399"/>
      <c r="K1399"/>
      <c r="L1399"/>
    </row>
    <row r="1400" spans="9:12" x14ac:dyDescent="0.3">
      <c r="I1400"/>
      <c r="J1400"/>
      <c r="K1400"/>
      <c r="L1400"/>
    </row>
    <row r="1401" spans="9:12" x14ac:dyDescent="0.3">
      <c r="I1401"/>
      <c r="J1401"/>
      <c r="K1401"/>
      <c r="L1401"/>
    </row>
    <row r="1402" spans="9:12" x14ac:dyDescent="0.3">
      <c r="I1402"/>
      <c r="J1402"/>
      <c r="K1402"/>
      <c r="L1402"/>
    </row>
    <row r="1403" spans="9:12" x14ac:dyDescent="0.3">
      <c r="I1403"/>
      <c r="J1403"/>
      <c r="K1403"/>
      <c r="L1403"/>
    </row>
    <row r="1404" spans="9:12" x14ac:dyDescent="0.3">
      <c r="I1404"/>
      <c r="J1404"/>
      <c r="K1404"/>
      <c r="L1404"/>
    </row>
    <row r="1405" spans="9:12" x14ac:dyDescent="0.3">
      <c r="I1405"/>
      <c r="J1405"/>
      <c r="K1405"/>
      <c r="L1405"/>
    </row>
    <row r="1406" spans="9:12" x14ac:dyDescent="0.3">
      <c r="I1406"/>
      <c r="J1406"/>
      <c r="K1406"/>
      <c r="L1406"/>
    </row>
    <row r="1407" spans="9:12" x14ac:dyDescent="0.3">
      <c r="I1407"/>
      <c r="J1407"/>
      <c r="K1407"/>
      <c r="L1407"/>
    </row>
    <row r="1408" spans="9:12" x14ac:dyDescent="0.3">
      <c r="I1408"/>
      <c r="J1408"/>
      <c r="K1408"/>
      <c r="L1408"/>
    </row>
    <row r="1409" spans="9:12" x14ac:dyDescent="0.3">
      <c r="I1409"/>
      <c r="J1409"/>
      <c r="K1409"/>
      <c r="L1409"/>
    </row>
    <row r="1410" spans="9:12" x14ac:dyDescent="0.3">
      <c r="I1410"/>
      <c r="J1410"/>
      <c r="K1410"/>
      <c r="L1410"/>
    </row>
    <row r="1411" spans="9:12" x14ac:dyDescent="0.3">
      <c r="I1411"/>
      <c r="J1411"/>
      <c r="K1411"/>
      <c r="L1411"/>
    </row>
    <row r="1412" spans="9:12" x14ac:dyDescent="0.3">
      <c r="I1412"/>
      <c r="J1412"/>
      <c r="K1412"/>
      <c r="L1412"/>
    </row>
    <row r="1413" spans="9:12" x14ac:dyDescent="0.3">
      <c r="I1413"/>
      <c r="J1413"/>
      <c r="K1413"/>
      <c r="L1413"/>
    </row>
    <row r="1414" spans="9:12" x14ac:dyDescent="0.3">
      <c r="I1414"/>
      <c r="J1414"/>
      <c r="K1414"/>
      <c r="L1414"/>
    </row>
    <row r="1415" spans="9:12" x14ac:dyDescent="0.3">
      <c r="I1415"/>
      <c r="J1415"/>
      <c r="K1415"/>
      <c r="L1415"/>
    </row>
    <row r="1416" spans="9:12" x14ac:dyDescent="0.3">
      <c r="I1416"/>
      <c r="J1416"/>
      <c r="K1416"/>
      <c r="L1416"/>
    </row>
    <row r="1417" spans="9:12" x14ac:dyDescent="0.3">
      <c r="I1417"/>
      <c r="J1417"/>
      <c r="K1417"/>
      <c r="L1417"/>
    </row>
    <row r="1418" spans="9:12" x14ac:dyDescent="0.3">
      <c r="I1418"/>
      <c r="J1418"/>
      <c r="K1418"/>
      <c r="L1418"/>
    </row>
    <row r="1419" spans="9:12" x14ac:dyDescent="0.3">
      <c r="I1419"/>
      <c r="J1419"/>
      <c r="K1419"/>
      <c r="L1419"/>
    </row>
    <row r="1420" spans="9:12" x14ac:dyDescent="0.3">
      <c r="I1420"/>
      <c r="J1420"/>
      <c r="K1420"/>
      <c r="L1420"/>
    </row>
    <row r="1421" spans="9:12" x14ac:dyDescent="0.3">
      <c r="I1421"/>
      <c r="J1421"/>
      <c r="K1421"/>
      <c r="L1421"/>
    </row>
    <row r="1422" spans="9:12" x14ac:dyDescent="0.3">
      <c r="I1422"/>
      <c r="J1422"/>
      <c r="K1422"/>
      <c r="L1422"/>
    </row>
    <row r="1423" spans="9:12" x14ac:dyDescent="0.3">
      <c r="I1423"/>
      <c r="J1423"/>
      <c r="K1423"/>
      <c r="L1423"/>
    </row>
    <row r="1424" spans="9:12" x14ac:dyDescent="0.3">
      <c r="I1424"/>
      <c r="J1424"/>
      <c r="K1424"/>
      <c r="L1424"/>
    </row>
    <row r="1425" spans="9:12" x14ac:dyDescent="0.3">
      <c r="I1425"/>
      <c r="J1425"/>
      <c r="K1425"/>
      <c r="L1425"/>
    </row>
    <row r="1426" spans="9:12" x14ac:dyDescent="0.3">
      <c r="I1426"/>
      <c r="J1426"/>
      <c r="K1426"/>
      <c r="L1426"/>
    </row>
    <row r="1427" spans="9:12" x14ac:dyDescent="0.3">
      <c r="I1427"/>
      <c r="J1427"/>
      <c r="K1427"/>
      <c r="L1427"/>
    </row>
    <row r="1428" spans="9:12" x14ac:dyDescent="0.3">
      <c r="I1428"/>
      <c r="J1428"/>
      <c r="K1428"/>
      <c r="L1428"/>
    </row>
    <row r="1429" spans="9:12" x14ac:dyDescent="0.3">
      <c r="I1429"/>
      <c r="J1429"/>
      <c r="K1429"/>
      <c r="L1429"/>
    </row>
    <row r="1430" spans="9:12" x14ac:dyDescent="0.3">
      <c r="I1430"/>
      <c r="J1430"/>
      <c r="K1430"/>
      <c r="L1430"/>
    </row>
    <row r="1431" spans="9:12" x14ac:dyDescent="0.3">
      <c r="I1431"/>
      <c r="J1431"/>
      <c r="K1431"/>
      <c r="L1431"/>
    </row>
    <row r="1432" spans="9:12" x14ac:dyDescent="0.3">
      <c r="I1432"/>
      <c r="J1432"/>
      <c r="K1432"/>
      <c r="L1432"/>
    </row>
    <row r="1433" spans="9:12" x14ac:dyDescent="0.3">
      <c r="I1433"/>
      <c r="J1433"/>
      <c r="K1433"/>
      <c r="L1433"/>
    </row>
    <row r="1434" spans="9:12" x14ac:dyDescent="0.3">
      <c r="I1434"/>
      <c r="J1434"/>
      <c r="K1434"/>
      <c r="L1434"/>
    </row>
    <row r="1435" spans="9:12" x14ac:dyDescent="0.3">
      <c r="I1435"/>
      <c r="J1435"/>
      <c r="K1435"/>
      <c r="L1435"/>
    </row>
    <row r="1436" spans="9:12" x14ac:dyDescent="0.3">
      <c r="I1436"/>
      <c r="J1436"/>
      <c r="K1436"/>
      <c r="L1436"/>
    </row>
    <row r="1437" spans="9:12" x14ac:dyDescent="0.3">
      <c r="I1437"/>
      <c r="J1437"/>
      <c r="K1437"/>
      <c r="L1437"/>
    </row>
    <row r="1438" spans="9:12" x14ac:dyDescent="0.3">
      <c r="I1438"/>
      <c r="J1438"/>
      <c r="K1438"/>
      <c r="L1438"/>
    </row>
    <row r="1439" spans="9:12" x14ac:dyDescent="0.3">
      <c r="I1439"/>
      <c r="J1439"/>
      <c r="K1439"/>
      <c r="L1439"/>
    </row>
    <row r="1440" spans="9:12" x14ac:dyDescent="0.3">
      <c r="I1440"/>
      <c r="J1440"/>
      <c r="K1440"/>
      <c r="L1440"/>
    </row>
    <row r="1441" spans="9:12" x14ac:dyDescent="0.3">
      <c r="I1441"/>
      <c r="J1441"/>
      <c r="K1441"/>
      <c r="L1441"/>
    </row>
    <row r="1442" spans="9:12" x14ac:dyDescent="0.3">
      <c r="I1442"/>
      <c r="J1442"/>
      <c r="K1442"/>
      <c r="L1442"/>
    </row>
    <row r="1443" spans="9:12" x14ac:dyDescent="0.3">
      <c r="I1443"/>
      <c r="J1443"/>
      <c r="K1443"/>
      <c r="L1443"/>
    </row>
    <row r="1444" spans="9:12" x14ac:dyDescent="0.3">
      <c r="I1444"/>
      <c r="J1444"/>
      <c r="K1444"/>
      <c r="L1444"/>
    </row>
    <row r="1445" spans="9:12" x14ac:dyDescent="0.3">
      <c r="I1445"/>
    </row>
    <row r="1446" spans="9:12" x14ac:dyDescent="0.3">
      <c r="I1446"/>
    </row>
    <row r="1447" spans="9:12" x14ac:dyDescent="0.3">
      <c r="I1447"/>
    </row>
    <row r="1448" spans="9:12" x14ac:dyDescent="0.3">
      <c r="I1448"/>
    </row>
    <row r="1449" spans="9:12" x14ac:dyDescent="0.3">
      <c r="I1449"/>
    </row>
    <row r="1450" spans="9:12" x14ac:dyDescent="0.3">
      <c r="I1450"/>
    </row>
    <row r="1451" spans="9:12" x14ac:dyDescent="0.3">
      <c r="I1451"/>
    </row>
    <row r="1452" spans="9:12" x14ac:dyDescent="0.3">
      <c r="I1452"/>
    </row>
    <row r="1453" spans="9:12" x14ac:dyDescent="0.3">
      <c r="I1453"/>
    </row>
    <row r="1454" spans="9:12" x14ac:dyDescent="0.3">
      <c r="I1454"/>
    </row>
    <row r="1455" spans="9:12" x14ac:dyDescent="0.3">
      <c r="I1455"/>
    </row>
    <row r="1456" spans="9:12" x14ac:dyDescent="0.3">
      <c r="I1456"/>
    </row>
    <row r="1457" spans="9:9" x14ac:dyDescent="0.3">
      <c r="I1457"/>
    </row>
    <row r="1458" spans="9:9" x14ac:dyDescent="0.3">
      <c r="I1458"/>
    </row>
    <row r="1459" spans="9:9" x14ac:dyDescent="0.3">
      <c r="I1459"/>
    </row>
    <row r="1460" spans="9:9" x14ac:dyDescent="0.3">
      <c r="I1460"/>
    </row>
    <row r="1461" spans="9:9" x14ac:dyDescent="0.3">
      <c r="I1461"/>
    </row>
    <row r="1462" spans="9:9" x14ac:dyDescent="0.3">
      <c r="I1462"/>
    </row>
    <row r="1463" spans="9:9" x14ac:dyDescent="0.3">
      <c r="I1463"/>
    </row>
    <row r="1464" spans="9:9" x14ac:dyDescent="0.3">
      <c r="I1464"/>
    </row>
    <row r="1465" spans="9:9" x14ac:dyDescent="0.3">
      <c r="I1465"/>
    </row>
    <row r="1466" spans="9:9" x14ac:dyDescent="0.3">
      <c r="I1466"/>
    </row>
    <row r="1467" spans="9:9" x14ac:dyDescent="0.3">
      <c r="I1467"/>
    </row>
    <row r="1468" spans="9:9" x14ac:dyDescent="0.3">
      <c r="I1468"/>
    </row>
    <row r="1469" spans="9:9" x14ac:dyDescent="0.3">
      <c r="I1469"/>
    </row>
    <row r="1470" spans="9:9" x14ac:dyDescent="0.3">
      <c r="I1470"/>
    </row>
    <row r="1471" spans="9:9" x14ac:dyDescent="0.3">
      <c r="I1471"/>
    </row>
    <row r="1472" spans="9:9" x14ac:dyDescent="0.3">
      <c r="I1472"/>
    </row>
    <row r="1473" spans="9:9" x14ac:dyDescent="0.3">
      <c r="I1473"/>
    </row>
    <row r="1474" spans="9:9" x14ac:dyDescent="0.3">
      <c r="I1474"/>
    </row>
    <row r="1475" spans="9:9" x14ac:dyDescent="0.3">
      <c r="I1475"/>
    </row>
    <row r="1476" spans="9:9" x14ac:dyDescent="0.3">
      <c r="I1476"/>
    </row>
    <row r="1477" spans="9:9" x14ac:dyDescent="0.3">
      <c r="I1477"/>
    </row>
    <row r="1478" spans="9:9" x14ac:dyDescent="0.3">
      <c r="I1478"/>
    </row>
    <row r="1479" spans="9:9" x14ac:dyDescent="0.3">
      <c r="I1479"/>
    </row>
    <row r="1480" spans="9:9" x14ac:dyDescent="0.3">
      <c r="I1480"/>
    </row>
    <row r="1481" spans="9:9" x14ac:dyDescent="0.3">
      <c r="I1481"/>
    </row>
    <row r="1482" spans="9:9" x14ac:dyDescent="0.3">
      <c r="I1482"/>
    </row>
    <row r="1483" spans="9:9" x14ac:dyDescent="0.3">
      <c r="I1483"/>
    </row>
    <row r="1484" spans="9:9" x14ac:dyDescent="0.3">
      <c r="I1484"/>
    </row>
    <row r="1485" spans="9:9" x14ac:dyDescent="0.3">
      <c r="I1485"/>
    </row>
    <row r="1486" spans="9:9" x14ac:dyDescent="0.3">
      <c r="I1486"/>
    </row>
    <row r="1487" spans="9:9" x14ac:dyDescent="0.3">
      <c r="I1487"/>
    </row>
    <row r="1488" spans="9:9" x14ac:dyDescent="0.3">
      <c r="I1488"/>
    </row>
    <row r="1489" spans="9:9" x14ac:dyDescent="0.3">
      <c r="I1489"/>
    </row>
    <row r="1490" spans="9:9" x14ac:dyDescent="0.3">
      <c r="I1490"/>
    </row>
    <row r="1491" spans="9:9" x14ac:dyDescent="0.3">
      <c r="I1491"/>
    </row>
    <row r="1492" spans="9:9" x14ac:dyDescent="0.3">
      <c r="I1492"/>
    </row>
    <row r="1493" spans="9:9" x14ac:dyDescent="0.3">
      <c r="I1493"/>
    </row>
    <row r="1494" spans="9:9" x14ac:dyDescent="0.3">
      <c r="I1494"/>
    </row>
    <row r="1495" spans="9:9" x14ac:dyDescent="0.3">
      <c r="I1495"/>
    </row>
    <row r="1496" spans="9:9" x14ac:dyDescent="0.3">
      <c r="I1496"/>
    </row>
    <row r="1497" spans="9:9" x14ac:dyDescent="0.3">
      <c r="I1497"/>
    </row>
    <row r="1498" spans="9:9" x14ac:dyDescent="0.3">
      <c r="I1498"/>
    </row>
    <row r="1499" spans="9:9" x14ac:dyDescent="0.3">
      <c r="I1499"/>
    </row>
    <row r="1500" spans="9:9" x14ac:dyDescent="0.3">
      <c r="I1500"/>
    </row>
    <row r="1501" spans="9:9" x14ac:dyDescent="0.3">
      <c r="I1501"/>
    </row>
    <row r="1502" spans="9:9" x14ac:dyDescent="0.3">
      <c r="I1502"/>
    </row>
    <row r="1503" spans="9:9" x14ac:dyDescent="0.3">
      <c r="I1503"/>
    </row>
    <row r="1504" spans="9:9" x14ac:dyDescent="0.3">
      <c r="I1504"/>
    </row>
    <row r="1505" spans="9:9" x14ac:dyDescent="0.3">
      <c r="I1505"/>
    </row>
    <row r="1506" spans="9:9" x14ac:dyDescent="0.3">
      <c r="I1506"/>
    </row>
    <row r="1507" spans="9:9" x14ac:dyDescent="0.3">
      <c r="I1507"/>
    </row>
    <row r="1508" spans="9:9" x14ac:dyDescent="0.3">
      <c r="I1508"/>
    </row>
    <row r="1509" spans="9:9" x14ac:dyDescent="0.3">
      <c r="I1509"/>
    </row>
    <row r="1510" spans="9:9" x14ac:dyDescent="0.3">
      <c r="I1510"/>
    </row>
    <row r="1511" spans="9:9" x14ac:dyDescent="0.3">
      <c r="I1511"/>
    </row>
    <row r="1512" spans="9:9" x14ac:dyDescent="0.3">
      <c r="I1512"/>
    </row>
    <row r="1513" spans="9:9" x14ac:dyDescent="0.3">
      <c r="I1513"/>
    </row>
    <row r="1514" spans="9:9" x14ac:dyDescent="0.3">
      <c r="I1514"/>
    </row>
    <row r="1515" spans="9:9" x14ac:dyDescent="0.3">
      <c r="I1515"/>
    </row>
    <row r="1516" spans="9:9" x14ac:dyDescent="0.3">
      <c r="I1516"/>
    </row>
    <row r="1517" spans="9:9" x14ac:dyDescent="0.3">
      <c r="I1517"/>
    </row>
    <row r="1518" spans="9:9" x14ac:dyDescent="0.3">
      <c r="I1518"/>
    </row>
    <row r="1519" spans="9:9" x14ac:dyDescent="0.3">
      <c r="I1519"/>
    </row>
    <row r="1520" spans="9:9" x14ac:dyDescent="0.3">
      <c r="I1520"/>
    </row>
    <row r="1521" spans="9:9" x14ac:dyDescent="0.3">
      <c r="I1521"/>
    </row>
    <row r="1522" spans="9:9" x14ac:dyDescent="0.3">
      <c r="I1522"/>
    </row>
    <row r="1523" spans="9:9" x14ac:dyDescent="0.3">
      <c r="I1523"/>
    </row>
    <row r="1524" spans="9:9" x14ac:dyDescent="0.3">
      <c r="I1524"/>
    </row>
    <row r="1525" spans="9:9" x14ac:dyDescent="0.3">
      <c r="I1525"/>
    </row>
    <row r="1526" spans="9:9" x14ac:dyDescent="0.3">
      <c r="I1526"/>
    </row>
  </sheetData>
  <mergeCells count="2">
    <mergeCell ref="S48:U48"/>
    <mergeCell ref="I55:K55"/>
  </mergeCells>
  <pageMargins left="0.511811024" right="0.511811024" top="0.78740157499999996" bottom="0.78740157499999996" header="0.31496062000000002" footer="0.31496062000000002"/>
  <pageSetup paperSize="9" orientation="portrait" r:id="rId2"/>
  <headerFooter>
    <oddHeader>&amp;C&amp;"Calibri"&amp;10&amp;K000000 Concentrix + Webhelp Classified - Confidential&amp;1#_x000D_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9A0BD-187F-42DA-BB12-75144B8DB9DC}">
  <sheetPr codeName="Planilha5"/>
  <dimension ref="B2:E26"/>
  <sheetViews>
    <sheetView showGridLines="0" workbookViewId="0">
      <selection activeCell="B2" sqref="B2"/>
    </sheetView>
  </sheetViews>
  <sheetFormatPr defaultRowHeight="14.4" x14ac:dyDescent="0.3"/>
  <cols>
    <col min="2" max="2" width="52.6640625" bestFit="1" customWidth="1"/>
    <col min="3" max="3" width="20.6640625" bestFit="1" customWidth="1"/>
    <col min="4" max="4" width="66" customWidth="1"/>
    <col min="5" max="5" width="21" bestFit="1" customWidth="1"/>
  </cols>
  <sheetData>
    <row r="2" spans="2:5" x14ac:dyDescent="0.3">
      <c r="B2" t="s">
        <v>151</v>
      </c>
      <c r="C2" t="s">
        <v>143</v>
      </c>
      <c r="D2" t="s">
        <v>150</v>
      </c>
      <c r="E2" t="s">
        <v>60</v>
      </c>
    </row>
    <row r="3" spans="2:5" x14ac:dyDescent="0.3">
      <c r="B3" t="s">
        <v>87</v>
      </c>
      <c r="C3" t="s">
        <v>16</v>
      </c>
      <c r="D3" t="s">
        <v>88</v>
      </c>
      <c r="E3" t="s">
        <v>63</v>
      </c>
    </row>
    <row r="4" spans="2:5" x14ac:dyDescent="0.3">
      <c r="B4" t="s">
        <v>89</v>
      </c>
      <c r="C4" t="s">
        <v>14</v>
      </c>
      <c r="D4" t="s">
        <v>90</v>
      </c>
      <c r="E4" t="s">
        <v>63</v>
      </c>
    </row>
    <row r="5" spans="2:5" x14ac:dyDescent="0.3">
      <c r="B5" t="s">
        <v>135</v>
      </c>
      <c r="C5" t="s">
        <v>133</v>
      </c>
      <c r="D5" t="s">
        <v>137</v>
      </c>
      <c r="E5" t="s">
        <v>62</v>
      </c>
    </row>
    <row r="6" spans="2:5" x14ac:dyDescent="0.3">
      <c r="B6" t="s">
        <v>134</v>
      </c>
      <c r="C6" t="s">
        <v>127</v>
      </c>
      <c r="D6" t="s">
        <v>136</v>
      </c>
      <c r="E6" t="s">
        <v>62</v>
      </c>
    </row>
    <row r="7" spans="2:5" x14ac:dyDescent="0.3">
      <c r="B7" t="s">
        <v>91</v>
      </c>
      <c r="C7" t="s">
        <v>21</v>
      </c>
      <c r="D7" t="s">
        <v>92</v>
      </c>
      <c r="E7" t="s">
        <v>62</v>
      </c>
    </row>
    <row r="8" spans="2:5" x14ac:dyDescent="0.3">
      <c r="B8" t="s">
        <v>93</v>
      </c>
      <c r="C8" t="s">
        <v>18</v>
      </c>
      <c r="D8" t="s">
        <v>94</v>
      </c>
      <c r="E8" t="s">
        <v>61</v>
      </c>
    </row>
    <row r="9" spans="2:5" x14ac:dyDescent="0.3">
      <c r="B9" t="s">
        <v>95</v>
      </c>
      <c r="C9" t="s">
        <v>18</v>
      </c>
      <c r="D9" t="s">
        <v>96</v>
      </c>
      <c r="E9" t="s">
        <v>61</v>
      </c>
    </row>
    <row r="10" spans="2:5" x14ac:dyDescent="0.3">
      <c r="B10" t="s">
        <v>97</v>
      </c>
      <c r="C10" t="s">
        <v>18</v>
      </c>
      <c r="D10" t="s">
        <v>98</v>
      </c>
      <c r="E10" t="s">
        <v>61</v>
      </c>
    </row>
    <row r="11" spans="2:5" x14ac:dyDescent="0.3">
      <c r="B11" t="s">
        <v>99</v>
      </c>
      <c r="C11" t="s">
        <v>18</v>
      </c>
      <c r="D11" t="s">
        <v>100</v>
      </c>
      <c r="E11" t="s">
        <v>61</v>
      </c>
    </row>
    <row r="12" spans="2:5" x14ac:dyDescent="0.3">
      <c r="B12" t="s">
        <v>101</v>
      </c>
      <c r="C12" t="s">
        <v>18</v>
      </c>
      <c r="D12" t="s">
        <v>131</v>
      </c>
      <c r="E12" t="s">
        <v>61</v>
      </c>
    </row>
    <row r="13" spans="2:5" x14ac:dyDescent="0.3">
      <c r="B13" t="s">
        <v>102</v>
      </c>
      <c r="C13" t="s">
        <v>18</v>
      </c>
      <c r="D13" t="s">
        <v>103</v>
      </c>
      <c r="E13" t="s">
        <v>61</v>
      </c>
    </row>
    <row r="14" spans="2:5" x14ac:dyDescent="0.3">
      <c r="B14" t="s">
        <v>104</v>
      </c>
      <c r="C14" t="s">
        <v>18</v>
      </c>
      <c r="D14" t="s">
        <v>105</v>
      </c>
      <c r="E14" t="s">
        <v>61</v>
      </c>
    </row>
    <row r="15" spans="2:5" x14ac:dyDescent="0.3">
      <c r="B15" t="s">
        <v>106</v>
      </c>
      <c r="C15" t="s">
        <v>19</v>
      </c>
      <c r="D15" t="s">
        <v>107</v>
      </c>
      <c r="E15" t="s">
        <v>61</v>
      </c>
    </row>
    <row r="16" spans="2:5" x14ac:dyDescent="0.3">
      <c r="B16" t="s">
        <v>108</v>
      </c>
      <c r="C16" t="s">
        <v>19</v>
      </c>
      <c r="D16" t="s">
        <v>109</v>
      </c>
      <c r="E16" t="s">
        <v>61</v>
      </c>
    </row>
    <row r="17" spans="2:5" x14ac:dyDescent="0.3">
      <c r="B17" t="s">
        <v>130</v>
      </c>
      <c r="C17" t="s">
        <v>19</v>
      </c>
      <c r="D17" t="s">
        <v>132</v>
      </c>
      <c r="E17" t="s">
        <v>61</v>
      </c>
    </row>
    <row r="18" spans="2:5" x14ac:dyDescent="0.3">
      <c r="B18" t="s">
        <v>112</v>
      </c>
      <c r="C18" t="s">
        <v>15</v>
      </c>
      <c r="D18" t="s">
        <v>149</v>
      </c>
      <c r="E18" t="s">
        <v>63</v>
      </c>
    </row>
    <row r="19" spans="2:5" x14ac:dyDescent="0.3">
      <c r="B19" t="s">
        <v>145</v>
      </c>
      <c r="C19" t="s">
        <v>146</v>
      </c>
      <c r="D19" t="s">
        <v>148</v>
      </c>
      <c r="E19" t="s">
        <v>147</v>
      </c>
    </row>
    <row r="20" spans="2:5" x14ac:dyDescent="0.3">
      <c r="B20" t="s">
        <v>113</v>
      </c>
      <c r="C20" t="s">
        <v>144</v>
      </c>
      <c r="D20" t="s">
        <v>114</v>
      </c>
      <c r="E20" t="s">
        <v>147</v>
      </c>
    </row>
    <row r="21" spans="2:5" x14ac:dyDescent="0.3">
      <c r="B21" t="s">
        <v>110</v>
      </c>
      <c r="C21" t="s">
        <v>58</v>
      </c>
      <c r="D21" t="s">
        <v>111</v>
      </c>
      <c r="E21" t="s">
        <v>61</v>
      </c>
    </row>
    <row r="22" spans="2:5" x14ac:dyDescent="0.3">
      <c r="B22" t="s">
        <v>115</v>
      </c>
      <c r="C22" t="s">
        <v>17</v>
      </c>
      <c r="D22" t="s">
        <v>116</v>
      </c>
      <c r="E22" t="s">
        <v>61</v>
      </c>
    </row>
    <row r="23" spans="2:5" x14ac:dyDescent="0.3">
      <c r="B23" t="s">
        <v>117</v>
      </c>
      <c r="C23" t="s">
        <v>17</v>
      </c>
      <c r="D23" t="s">
        <v>116</v>
      </c>
      <c r="E23" t="s">
        <v>61</v>
      </c>
    </row>
    <row r="24" spans="2:5" x14ac:dyDescent="0.3">
      <c r="B24" t="s">
        <v>118</v>
      </c>
      <c r="C24" t="s">
        <v>17</v>
      </c>
      <c r="D24" t="s">
        <v>119</v>
      </c>
      <c r="E24" t="s">
        <v>61</v>
      </c>
    </row>
    <row r="25" spans="2:5" x14ac:dyDescent="0.3">
      <c r="B25" t="s">
        <v>120</v>
      </c>
      <c r="C25" t="s">
        <v>23</v>
      </c>
      <c r="D25" t="s">
        <v>121</v>
      </c>
      <c r="E25" t="s">
        <v>61</v>
      </c>
    </row>
    <row r="26" spans="2:5" x14ac:dyDescent="0.3">
      <c r="B26" t="s">
        <v>122</v>
      </c>
      <c r="C26" t="s">
        <v>25</v>
      </c>
      <c r="D26" t="s">
        <v>123</v>
      </c>
      <c r="E26" t="s">
        <v>61</v>
      </c>
    </row>
  </sheetData>
  <pageMargins left="0.511811024" right="0.511811024" top="0.78740157499999996" bottom="0.78740157499999996" header="0.31496062000000002" footer="0.31496062000000002"/>
  <headerFooter>
    <oddHeader>&amp;C&amp;"Calibri"&amp;10&amp;K000000 Concentrix + Webhelp Classified - Confidential&amp;1#_x000D_</oddHead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899A8-4CA7-4EFF-A466-FE1993AFF29B}">
  <sheetPr codeName="Planilha2"/>
  <dimension ref="A1:L4171"/>
  <sheetViews>
    <sheetView workbookViewId="0">
      <selection activeCell="D11" sqref="D11"/>
    </sheetView>
  </sheetViews>
  <sheetFormatPr defaultRowHeight="14.4" x14ac:dyDescent="0.3"/>
  <cols>
    <col min="1" max="1" width="10.5546875" style="20" bestFit="1" customWidth="1"/>
    <col min="2" max="2" width="8.109375" bestFit="1" customWidth="1"/>
    <col min="3" max="3" width="18.88671875" bestFit="1" customWidth="1"/>
    <col min="4" max="4" width="18.6640625" bestFit="1" customWidth="1"/>
    <col min="5" max="5" width="7.33203125" bestFit="1" customWidth="1"/>
    <col min="6" max="6" width="20" bestFit="1" customWidth="1"/>
    <col min="8" max="8" width="17.21875" bestFit="1" customWidth="1"/>
    <col min="9" max="9" width="18.5546875" bestFit="1" customWidth="1"/>
    <col min="10" max="11" width="10.77734375" bestFit="1" customWidth="1"/>
    <col min="12" max="13" width="10" bestFit="1" customWidth="1"/>
    <col min="14" max="14" width="14.33203125" bestFit="1" customWidth="1"/>
    <col min="15" max="15" width="18.44140625" bestFit="1" customWidth="1"/>
    <col min="16" max="16" width="19.33203125" bestFit="1" customWidth="1"/>
    <col min="17" max="21" width="3" bestFit="1" customWidth="1"/>
    <col min="22" max="22" width="10.6640625" bestFit="1" customWidth="1"/>
  </cols>
  <sheetData>
    <row r="1" spans="1:12" x14ac:dyDescent="0.3">
      <c r="A1" s="20" t="s">
        <v>28</v>
      </c>
      <c r="B1" t="s">
        <v>10</v>
      </c>
      <c r="C1" t="s">
        <v>8</v>
      </c>
      <c r="D1" t="s">
        <v>29</v>
      </c>
      <c r="E1" t="s">
        <v>30</v>
      </c>
      <c r="F1" t="s">
        <v>3</v>
      </c>
      <c r="H1" s="5" t="s">
        <v>3</v>
      </c>
      <c r="I1" t="s">
        <v>47</v>
      </c>
      <c r="K1" s="21" t="s">
        <v>57</v>
      </c>
      <c r="L1" s="21" t="s">
        <v>3</v>
      </c>
    </row>
    <row r="2" spans="1:12" x14ac:dyDescent="0.3">
      <c r="A2" s="20">
        <v>45788</v>
      </c>
      <c r="B2">
        <v>10</v>
      </c>
      <c r="C2" t="s">
        <v>73</v>
      </c>
      <c r="D2">
        <v>0</v>
      </c>
      <c r="E2">
        <v>0</v>
      </c>
      <c r="F2" t="s">
        <v>43</v>
      </c>
      <c r="H2" s="5" t="s">
        <v>8</v>
      </c>
      <c r="I2" t="s">
        <v>6</v>
      </c>
    </row>
    <row r="3" spans="1:12" x14ac:dyDescent="0.3">
      <c r="A3" s="20">
        <v>45788</v>
      </c>
      <c r="B3">
        <v>10</v>
      </c>
      <c r="C3" t="s">
        <v>156</v>
      </c>
      <c r="D3">
        <v>2148</v>
      </c>
      <c r="E3">
        <v>479</v>
      </c>
      <c r="F3" t="s">
        <v>43</v>
      </c>
    </row>
    <row r="4" spans="1:12" x14ac:dyDescent="0.3">
      <c r="A4" s="20">
        <v>45788</v>
      </c>
      <c r="B4">
        <v>10</v>
      </c>
      <c r="C4" t="s">
        <v>160</v>
      </c>
      <c r="D4">
        <v>217</v>
      </c>
      <c r="E4">
        <v>37</v>
      </c>
      <c r="F4" t="s">
        <v>72</v>
      </c>
      <c r="H4" s="5" t="s">
        <v>59</v>
      </c>
      <c r="I4" s="5" t="s">
        <v>56</v>
      </c>
    </row>
    <row r="5" spans="1:12" x14ac:dyDescent="0.3">
      <c r="A5" s="20">
        <v>45788</v>
      </c>
      <c r="B5">
        <v>11</v>
      </c>
      <c r="C5" t="s">
        <v>156</v>
      </c>
      <c r="D5">
        <v>2123</v>
      </c>
      <c r="E5">
        <v>438</v>
      </c>
      <c r="F5" t="s">
        <v>72</v>
      </c>
      <c r="H5" s="5" t="s">
        <v>2</v>
      </c>
      <c r="I5" s="20">
        <v>45791</v>
      </c>
      <c r="J5" s="20">
        <v>45790</v>
      </c>
      <c r="K5" s="20">
        <v>45789</v>
      </c>
      <c r="L5" s="20" t="s">
        <v>4</v>
      </c>
    </row>
    <row r="6" spans="1:12" x14ac:dyDescent="0.3">
      <c r="A6" s="20">
        <v>45788</v>
      </c>
      <c r="B6">
        <v>16</v>
      </c>
      <c r="C6" t="s">
        <v>156</v>
      </c>
      <c r="D6">
        <v>2031</v>
      </c>
      <c r="E6">
        <v>355</v>
      </c>
      <c r="F6" t="s">
        <v>43</v>
      </c>
      <c r="H6" s="4">
        <v>8</v>
      </c>
      <c r="I6" s="22">
        <v>9.7538637664567829E-2</v>
      </c>
      <c r="J6" s="22">
        <v>0.12189555645053027</v>
      </c>
      <c r="K6" s="22">
        <v>0.13018937987374676</v>
      </c>
      <c r="L6" s="22">
        <v>0.11504810944079594</v>
      </c>
    </row>
    <row r="7" spans="1:12" x14ac:dyDescent="0.3">
      <c r="A7" s="20">
        <v>45788</v>
      </c>
      <c r="B7">
        <v>16</v>
      </c>
      <c r="C7" t="s">
        <v>160</v>
      </c>
      <c r="D7">
        <v>239</v>
      </c>
      <c r="E7">
        <v>24</v>
      </c>
      <c r="F7" t="s">
        <v>43</v>
      </c>
      <c r="H7" s="4">
        <v>9</v>
      </c>
      <c r="I7" s="22">
        <v>0.11003154574132493</v>
      </c>
      <c r="J7" s="22">
        <v>0.1279486099410278</v>
      </c>
      <c r="K7" s="22">
        <v>0.13189338235294118</v>
      </c>
      <c r="L7" s="22">
        <v>0.12382775119617224</v>
      </c>
    </row>
    <row r="8" spans="1:12" x14ac:dyDescent="0.3">
      <c r="A8" s="20">
        <v>45788</v>
      </c>
      <c r="B8">
        <v>10</v>
      </c>
      <c r="C8" t="s">
        <v>160</v>
      </c>
      <c r="D8">
        <v>216</v>
      </c>
      <c r="E8">
        <v>40</v>
      </c>
      <c r="F8" t="s">
        <v>43</v>
      </c>
      <c r="H8" s="4">
        <v>10</v>
      </c>
      <c r="I8" s="22">
        <v>0.11771572236688516</v>
      </c>
      <c r="J8" s="22">
        <v>0.13805680583579077</v>
      </c>
      <c r="K8" s="22">
        <v>0.14324825986078887</v>
      </c>
      <c r="L8" s="22">
        <v>0.13315420426461291</v>
      </c>
    </row>
    <row r="9" spans="1:12" x14ac:dyDescent="0.3">
      <c r="A9" s="20">
        <v>45788</v>
      </c>
      <c r="B9">
        <v>15</v>
      </c>
      <c r="C9" t="s">
        <v>73</v>
      </c>
      <c r="D9">
        <v>0</v>
      </c>
      <c r="E9">
        <v>0</v>
      </c>
      <c r="F9" t="s">
        <v>72</v>
      </c>
      <c r="H9" s="4">
        <v>11</v>
      </c>
      <c r="I9" s="22">
        <v>0.11002828097531148</v>
      </c>
      <c r="J9" s="22">
        <v>0.13043478260869565</v>
      </c>
      <c r="K9" s="22">
        <v>0.14549037316802824</v>
      </c>
      <c r="L9" s="22">
        <v>0.12819551389353867</v>
      </c>
    </row>
    <row r="10" spans="1:12" x14ac:dyDescent="0.3">
      <c r="A10" s="20">
        <v>45788</v>
      </c>
      <c r="B10">
        <v>17</v>
      </c>
      <c r="C10" t="s">
        <v>156</v>
      </c>
      <c r="D10">
        <v>1</v>
      </c>
      <c r="E10">
        <v>0</v>
      </c>
      <c r="F10" t="s">
        <v>72</v>
      </c>
      <c r="H10" s="4">
        <v>12</v>
      </c>
      <c r="I10" s="22">
        <v>0.1048934856437172</v>
      </c>
      <c r="J10" s="22">
        <v>0.11719915220974959</v>
      </c>
      <c r="K10" s="22">
        <v>0.16035624136781446</v>
      </c>
      <c r="L10" s="22">
        <v>0.1253125561219556</v>
      </c>
    </row>
    <row r="11" spans="1:12" x14ac:dyDescent="0.3">
      <c r="A11" s="20">
        <v>45788</v>
      </c>
      <c r="B11">
        <v>11</v>
      </c>
      <c r="C11" t="s">
        <v>160</v>
      </c>
      <c r="D11">
        <v>239</v>
      </c>
      <c r="E11">
        <v>38</v>
      </c>
      <c r="F11" t="s">
        <v>43</v>
      </c>
      <c r="H11" s="4">
        <v>13</v>
      </c>
      <c r="I11" s="22">
        <v>9.8075526506899061E-2</v>
      </c>
      <c r="J11" s="22">
        <v>0.11308668814783182</v>
      </c>
      <c r="K11" s="22">
        <v>0.14207386612860778</v>
      </c>
      <c r="L11" s="22">
        <v>0.11633835762250812</v>
      </c>
    </row>
    <row r="12" spans="1:12" x14ac:dyDescent="0.3">
      <c r="A12" s="20">
        <v>45788</v>
      </c>
      <c r="B12">
        <v>12</v>
      </c>
      <c r="C12" t="s">
        <v>160</v>
      </c>
      <c r="D12">
        <v>0</v>
      </c>
      <c r="E12">
        <v>0</v>
      </c>
      <c r="F12" t="s">
        <v>72</v>
      </c>
      <c r="H12" s="4">
        <v>14</v>
      </c>
      <c r="I12" s="22">
        <v>9.0039589391444491E-2</v>
      </c>
      <c r="J12" s="22">
        <v>0.1045672133720474</v>
      </c>
      <c r="K12" s="22">
        <v>0.1323078165374677</v>
      </c>
      <c r="L12" s="22">
        <v>0.10802441717324264</v>
      </c>
    </row>
    <row r="13" spans="1:12" x14ac:dyDescent="0.3">
      <c r="A13" s="20">
        <v>45788</v>
      </c>
      <c r="B13">
        <v>15</v>
      </c>
      <c r="C13" t="s">
        <v>160</v>
      </c>
      <c r="D13">
        <v>229</v>
      </c>
      <c r="E13">
        <v>23</v>
      </c>
      <c r="F13" t="s">
        <v>72</v>
      </c>
      <c r="H13" s="4">
        <v>15</v>
      </c>
      <c r="I13" s="22">
        <v>7.9940784603997034E-2</v>
      </c>
      <c r="J13" s="22">
        <v>0.10621242484969939</v>
      </c>
      <c r="K13" s="22">
        <v>0.1337594332357924</v>
      </c>
      <c r="L13" s="22">
        <v>0.11874182314028267</v>
      </c>
    </row>
    <row r="14" spans="1:12" x14ac:dyDescent="0.3">
      <c r="A14" s="20">
        <v>45788</v>
      </c>
      <c r="B14">
        <v>12</v>
      </c>
      <c r="C14" t="s">
        <v>156</v>
      </c>
      <c r="D14">
        <v>4</v>
      </c>
      <c r="E14">
        <v>0</v>
      </c>
      <c r="F14" t="s">
        <v>72</v>
      </c>
      <c r="H14" s="4">
        <v>16</v>
      </c>
      <c r="I14" s="22">
        <v>0</v>
      </c>
      <c r="J14" s="22">
        <v>0.11068013710986831</v>
      </c>
      <c r="K14" s="22">
        <v>0.13395033860045147</v>
      </c>
      <c r="L14" s="22">
        <v>0.12230946256937864</v>
      </c>
    </row>
    <row r="15" spans="1:12" x14ac:dyDescent="0.3">
      <c r="A15" s="20">
        <v>45788</v>
      </c>
      <c r="B15">
        <v>15</v>
      </c>
      <c r="C15" t="s">
        <v>156</v>
      </c>
      <c r="D15">
        <v>2040</v>
      </c>
      <c r="E15">
        <v>353</v>
      </c>
      <c r="F15" t="s">
        <v>72</v>
      </c>
      <c r="H15" s="4">
        <v>17</v>
      </c>
      <c r="I15" s="22">
        <v>0</v>
      </c>
      <c r="J15" s="22">
        <v>0.1067741561303793</v>
      </c>
      <c r="K15" s="22">
        <v>0.14218434626597892</v>
      </c>
      <c r="L15" s="22">
        <v>0.12477906380067279</v>
      </c>
    </row>
    <row r="16" spans="1:12" x14ac:dyDescent="0.3">
      <c r="A16" s="20">
        <v>45788</v>
      </c>
      <c r="B16">
        <v>16</v>
      </c>
      <c r="C16" t="s">
        <v>73</v>
      </c>
      <c r="D16">
        <v>0</v>
      </c>
      <c r="E16">
        <v>0</v>
      </c>
      <c r="F16" t="s">
        <v>43</v>
      </c>
      <c r="H16" s="4">
        <v>18</v>
      </c>
      <c r="I16" s="22">
        <v>0</v>
      </c>
      <c r="J16" s="22">
        <v>0.11226662299377661</v>
      </c>
      <c r="K16" s="22">
        <v>0.14587784572312679</v>
      </c>
      <c r="L16" s="22">
        <v>0.12995927865037812</v>
      </c>
    </row>
    <row r="17" spans="1:12" x14ac:dyDescent="0.3">
      <c r="A17" s="20">
        <v>45788</v>
      </c>
      <c r="B17">
        <v>11</v>
      </c>
      <c r="C17" t="s">
        <v>73</v>
      </c>
      <c r="D17">
        <v>0</v>
      </c>
      <c r="E17">
        <v>0</v>
      </c>
      <c r="F17" t="s">
        <v>72</v>
      </c>
      <c r="H17" s="4">
        <v>19</v>
      </c>
      <c r="I17" s="22">
        <v>0</v>
      </c>
      <c r="J17" s="22">
        <v>0.11040250914793517</v>
      </c>
      <c r="K17" s="22">
        <v>0.1590290381125227</v>
      </c>
      <c r="L17" s="22">
        <v>0.13372504216310321</v>
      </c>
    </row>
    <row r="18" spans="1:12" x14ac:dyDescent="0.3">
      <c r="A18" s="20">
        <v>45788</v>
      </c>
      <c r="B18">
        <v>17</v>
      </c>
      <c r="C18" t="s">
        <v>73</v>
      </c>
      <c r="D18">
        <v>0</v>
      </c>
      <c r="E18">
        <v>0</v>
      </c>
      <c r="F18" t="s">
        <v>43</v>
      </c>
      <c r="H18" s="4">
        <v>20</v>
      </c>
      <c r="I18" s="22">
        <v>0</v>
      </c>
      <c r="J18" s="22">
        <v>0.12554927809165098</v>
      </c>
      <c r="K18" s="22">
        <v>0.16307277628032346</v>
      </c>
      <c r="L18" s="22">
        <v>0.14240013833650356</v>
      </c>
    </row>
    <row r="19" spans="1:12" x14ac:dyDescent="0.3">
      <c r="A19" s="20">
        <v>45788</v>
      </c>
      <c r="B19">
        <v>10</v>
      </c>
      <c r="C19" t="s">
        <v>156</v>
      </c>
      <c r="D19">
        <v>2190</v>
      </c>
      <c r="E19">
        <v>502</v>
      </c>
      <c r="F19" t="s">
        <v>72</v>
      </c>
      <c r="H19" s="4">
        <v>21</v>
      </c>
      <c r="I19" s="22">
        <v>0</v>
      </c>
      <c r="J19" s="22">
        <v>0</v>
      </c>
      <c r="K19" s="22">
        <v>0</v>
      </c>
      <c r="L19" s="22">
        <v>0</v>
      </c>
    </row>
    <row r="20" spans="1:12" x14ac:dyDescent="0.3">
      <c r="A20" s="20">
        <v>45788</v>
      </c>
      <c r="B20">
        <v>11</v>
      </c>
      <c r="C20" t="s">
        <v>73</v>
      </c>
      <c r="D20">
        <v>0</v>
      </c>
      <c r="E20">
        <v>0</v>
      </c>
      <c r="F20" t="s">
        <v>43</v>
      </c>
      <c r="H20" s="4" t="s">
        <v>4</v>
      </c>
      <c r="I20" s="22">
        <v>0.10324276525383692</v>
      </c>
      <c r="J20" s="22">
        <v>0.11724251501701667</v>
      </c>
      <c r="K20" s="22">
        <v>0.14135794717233874</v>
      </c>
      <c r="L20" s="22">
        <v>0.12247663267783443</v>
      </c>
    </row>
    <row r="21" spans="1:12" x14ac:dyDescent="0.3">
      <c r="A21" s="20">
        <v>45788</v>
      </c>
      <c r="B21">
        <v>11</v>
      </c>
      <c r="C21" t="s">
        <v>160</v>
      </c>
      <c r="D21">
        <v>254</v>
      </c>
      <c r="E21">
        <v>42</v>
      </c>
      <c r="F21" t="s">
        <v>72</v>
      </c>
    </row>
    <row r="22" spans="1:12" x14ac:dyDescent="0.3">
      <c r="A22" s="20">
        <v>45788</v>
      </c>
      <c r="B22">
        <v>12</v>
      </c>
      <c r="C22" t="s">
        <v>156</v>
      </c>
      <c r="D22">
        <v>2</v>
      </c>
      <c r="E22">
        <v>0</v>
      </c>
      <c r="F22" t="s">
        <v>43</v>
      </c>
    </row>
    <row r="23" spans="1:12" x14ac:dyDescent="0.3">
      <c r="A23" s="20">
        <v>45788</v>
      </c>
      <c r="B23">
        <v>15</v>
      </c>
      <c r="C23" t="s">
        <v>156</v>
      </c>
      <c r="D23">
        <v>2132</v>
      </c>
      <c r="E23">
        <v>371</v>
      </c>
      <c r="F23" t="s">
        <v>43</v>
      </c>
    </row>
    <row r="24" spans="1:12" x14ac:dyDescent="0.3">
      <c r="A24" s="20">
        <v>45788</v>
      </c>
      <c r="B24">
        <v>17</v>
      </c>
      <c r="C24" t="s">
        <v>160</v>
      </c>
      <c r="D24">
        <v>0</v>
      </c>
      <c r="E24">
        <v>0</v>
      </c>
      <c r="F24" t="s">
        <v>72</v>
      </c>
    </row>
    <row r="25" spans="1:12" x14ac:dyDescent="0.3">
      <c r="A25" s="20">
        <v>45788</v>
      </c>
      <c r="B25">
        <v>17</v>
      </c>
      <c r="C25" t="s">
        <v>160</v>
      </c>
      <c r="D25">
        <v>0</v>
      </c>
      <c r="E25">
        <v>0</v>
      </c>
      <c r="F25" t="s">
        <v>43</v>
      </c>
    </row>
    <row r="26" spans="1:12" x14ac:dyDescent="0.3">
      <c r="A26" s="20">
        <v>45788</v>
      </c>
      <c r="B26">
        <v>11</v>
      </c>
      <c r="C26" t="s">
        <v>156</v>
      </c>
      <c r="D26">
        <v>2051</v>
      </c>
      <c r="E26">
        <v>422</v>
      </c>
      <c r="F26" t="s">
        <v>43</v>
      </c>
    </row>
    <row r="27" spans="1:12" x14ac:dyDescent="0.3">
      <c r="A27" s="20">
        <v>45788</v>
      </c>
      <c r="B27">
        <v>12</v>
      </c>
      <c r="C27" t="s">
        <v>73</v>
      </c>
      <c r="D27">
        <v>0</v>
      </c>
      <c r="E27">
        <v>0</v>
      </c>
      <c r="F27" t="s">
        <v>43</v>
      </c>
    </row>
    <row r="28" spans="1:12" x14ac:dyDescent="0.3">
      <c r="A28" s="20">
        <v>45788</v>
      </c>
      <c r="B28">
        <v>15</v>
      </c>
      <c r="C28" t="s">
        <v>73</v>
      </c>
      <c r="D28">
        <v>0</v>
      </c>
      <c r="E28">
        <v>0</v>
      </c>
      <c r="F28" t="s">
        <v>43</v>
      </c>
    </row>
    <row r="29" spans="1:12" x14ac:dyDescent="0.3">
      <c r="A29" s="20">
        <v>45788</v>
      </c>
      <c r="B29">
        <v>16</v>
      </c>
      <c r="C29" t="s">
        <v>73</v>
      </c>
      <c r="D29">
        <v>0</v>
      </c>
      <c r="E29">
        <v>0</v>
      </c>
      <c r="F29" t="s">
        <v>72</v>
      </c>
    </row>
    <row r="30" spans="1:12" x14ac:dyDescent="0.3">
      <c r="A30" s="20">
        <v>45788</v>
      </c>
      <c r="B30">
        <v>16</v>
      </c>
      <c r="C30" t="s">
        <v>156</v>
      </c>
      <c r="D30">
        <v>2047</v>
      </c>
      <c r="E30">
        <v>331</v>
      </c>
      <c r="F30" t="s">
        <v>72</v>
      </c>
    </row>
    <row r="31" spans="1:12" x14ac:dyDescent="0.3">
      <c r="A31" s="20">
        <v>45788</v>
      </c>
      <c r="B31">
        <v>10</v>
      </c>
      <c r="C31" t="s">
        <v>73</v>
      </c>
      <c r="D31">
        <v>0</v>
      </c>
      <c r="E31">
        <v>0</v>
      </c>
      <c r="F31" t="s">
        <v>72</v>
      </c>
    </row>
    <row r="32" spans="1:12" x14ac:dyDescent="0.3">
      <c r="A32" s="20">
        <v>45788</v>
      </c>
      <c r="B32">
        <v>15</v>
      </c>
      <c r="C32" t="s">
        <v>160</v>
      </c>
      <c r="D32">
        <v>221</v>
      </c>
      <c r="E32">
        <v>28</v>
      </c>
      <c r="F32" t="s">
        <v>43</v>
      </c>
    </row>
    <row r="33" spans="1:6" x14ac:dyDescent="0.3">
      <c r="A33" s="20">
        <v>45788</v>
      </c>
      <c r="B33">
        <v>16</v>
      </c>
      <c r="C33" t="s">
        <v>160</v>
      </c>
      <c r="D33">
        <v>242</v>
      </c>
      <c r="E33">
        <v>28</v>
      </c>
      <c r="F33" t="s">
        <v>72</v>
      </c>
    </row>
    <row r="34" spans="1:6" x14ac:dyDescent="0.3">
      <c r="A34" s="20">
        <v>45788</v>
      </c>
      <c r="B34">
        <v>17</v>
      </c>
      <c r="C34" t="s">
        <v>156</v>
      </c>
      <c r="D34">
        <v>4</v>
      </c>
      <c r="E34">
        <v>0</v>
      </c>
      <c r="F34" t="s">
        <v>43</v>
      </c>
    </row>
    <row r="35" spans="1:6" x14ac:dyDescent="0.3">
      <c r="A35" s="20">
        <v>45789</v>
      </c>
      <c r="B35">
        <v>8</v>
      </c>
      <c r="C35" t="s">
        <v>73</v>
      </c>
      <c r="D35">
        <v>0</v>
      </c>
      <c r="E35">
        <v>0</v>
      </c>
      <c r="F35" t="s">
        <v>229</v>
      </c>
    </row>
    <row r="36" spans="1:6" x14ac:dyDescent="0.3">
      <c r="A36" s="20">
        <v>45789</v>
      </c>
      <c r="B36">
        <v>8</v>
      </c>
      <c r="C36" t="s">
        <v>228</v>
      </c>
      <c r="D36">
        <v>10601</v>
      </c>
      <c r="E36">
        <v>2129</v>
      </c>
      <c r="F36" t="s">
        <v>45</v>
      </c>
    </row>
    <row r="37" spans="1:6" x14ac:dyDescent="0.3">
      <c r="A37" s="20">
        <v>45789</v>
      </c>
      <c r="B37">
        <v>8</v>
      </c>
      <c r="C37" t="s">
        <v>249</v>
      </c>
      <c r="D37">
        <v>15629</v>
      </c>
      <c r="E37">
        <v>511</v>
      </c>
      <c r="F37" t="s">
        <v>31</v>
      </c>
    </row>
    <row r="38" spans="1:6" x14ac:dyDescent="0.3">
      <c r="A38" s="20">
        <v>45789</v>
      </c>
      <c r="B38">
        <v>8</v>
      </c>
      <c r="C38" t="s">
        <v>242</v>
      </c>
      <c r="D38">
        <v>21213</v>
      </c>
      <c r="E38">
        <v>2422</v>
      </c>
      <c r="F38" t="s">
        <v>31</v>
      </c>
    </row>
    <row r="39" spans="1:6" x14ac:dyDescent="0.3">
      <c r="A39" s="20">
        <v>45789</v>
      </c>
      <c r="B39">
        <v>8</v>
      </c>
      <c r="C39" t="s">
        <v>35</v>
      </c>
      <c r="D39">
        <v>5309</v>
      </c>
      <c r="E39">
        <v>536</v>
      </c>
      <c r="F39" t="s">
        <v>31</v>
      </c>
    </row>
    <row r="40" spans="1:6" x14ac:dyDescent="0.3">
      <c r="A40" s="20">
        <v>45789</v>
      </c>
      <c r="B40">
        <v>8</v>
      </c>
      <c r="C40" t="s">
        <v>244</v>
      </c>
      <c r="D40">
        <v>50154</v>
      </c>
      <c r="E40">
        <v>5387</v>
      </c>
      <c r="F40" t="s">
        <v>31</v>
      </c>
    </row>
    <row r="41" spans="1:6" x14ac:dyDescent="0.3">
      <c r="A41" s="20">
        <v>45789</v>
      </c>
      <c r="B41">
        <v>8</v>
      </c>
      <c r="C41" t="s">
        <v>36</v>
      </c>
      <c r="D41">
        <v>139</v>
      </c>
      <c r="E41">
        <v>8</v>
      </c>
      <c r="F41" t="s">
        <v>31</v>
      </c>
    </row>
    <row r="42" spans="1:6" x14ac:dyDescent="0.3">
      <c r="A42" s="20">
        <v>45789</v>
      </c>
      <c r="B42">
        <v>8</v>
      </c>
      <c r="C42" t="s">
        <v>232</v>
      </c>
      <c r="D42">
        <v>254</v>
      </c>
      <c r="E42">
        <v>16</v>
      </c>
      <c r="F42" t="s">
        <v>68</v>
      </c>
    </row>
    <row r="43" spans="1:6" x14ac:dyDescent="0.3">
      <c r="A43" s="20">
        <v>45789</v>
      </c>
      <c r="B43">
        <v>8</v>
      </c>
      <c r="C43" t="s">
        <v>262</v>
      </c>
      <c r="D43">
        <v>19578</v>
      </c>
      <c r="E43">
        <v>606</v>
      </c>
      <c r="F43" t="s">
        <v>86</v>
      </c>
    </row>
    <row r="44" spans="1:6" x14ac:dyDescent="0.3">
      <c r="A44" s="20">
        <v>45789</v>
      </c>
      <c r="B44">
        <v>8</v>
      </c>
      <c r="C44" t="s">
        <v>250</v>
      </c>
      <c r="D44">
        <v>4050</v>
      </c>
      <c r="E44">
        <v>371</v>
      </c>
      <c r="F44" t="s">
        <v>164</v>
      </c>
    </row>
    <row r="45" spans="1:6" x14ac:dyDescent="0.3">
      <c r="A45" s="20">
        <v>45789</v>
      </c>
      <c r="B45">
        <v>8</v>
      </c>
      <c r="C45" t="s">
        <v>160</v>
      </c>
      <c r="D45">
        <v>335</v>
      </c>
      <c r="E45">
        <v>56</v>
      </c>
      <c r="F45" t="s">
        <v>47</v>
      </c>
    </row>
    <row r="46" spans="1:6" x14ac:dyDescent="0.3">
      <c r="A46" s="20">
        <v>45789</v>
      </c>
      <c r="B46">
        <v>8</v>
      </c>
      <c r="C46" t="s">
        <v>160</v>
      </c>
      <c r="D46">
        <v>4356</v>
      </c>
      <c r="E46">
        <v>635</v>
      </c>
      <c r="F46" t="s">
        <v>231</v>
      </c>
    </row>
    <row r="47" spans="1:6" x14ac:dyDescent="0.3">
      <c r="A47" s="20">
        <v>45789</v>
      </c>
      <c r="B47">
        <v>8</v>
      </c>
      <c r="C47" t="s">
        <v>126</v>
      </c>
      <c r="D47">
        <v>45</v>
      </c>
      <c r="E47">
        <v>45</v>
      </c>
      <c r="F47" t="s">
        <v>38</v>
      </c>
    </row>
    <row r="48" spans="1:6" x14ac:dyDescent="0.3">
      <c r="A48" s="20">
        <v>45789</v>
      </c>
      <c r="B48">
        <v>8</v>
      </c>
      <c r="C48" t="s">
        <v>235</v>
      </c>
      <c r="D48">
        <v>1033</v>
      </c>
      <c r="E48">
        <v>221</v>
      </c>
      <c r="F48" t="s">
        <v>161</v>
      </c>
    </row>
    <row r="49" spans="1:6" x14ac:dyDescent="0.3">
      <c r="A49" s="20">
        <v>45789</v>
      </c>
      <c r="B49">
        <v>9</v>
      </c>
      <c r="C49" t="s">
        <v>73</v>
      </c>
      <c r="D49">
        <v>0</v>
      </c>
      <c r="E49">
        <v>0</v>
      </c>
      <c r="F49" t="s">
        <v>74</v>
      </c>
    </row>
    <row r="50" spans="1:6" x14ac:dyDescent="0.3">
      <c r="A50" s="20">
        <v>45789</v>
      </c>
      <c r="B50">
        <v>9</v>
      </c>
      <c r="C50" t="s">
        <v>73</v>
      </c>
      <c r="D50">
        <v>0</v>
      </c>
      <c r="E50">
        <v>0</v>
      </c>
      <c r="F50" t="s">
        <v>38</v>
      </c>
    </row>
    <row r="51" spans="1:6" x14ac:dyDescent="0.3">
      <c r="A51" s="20">
        <v>45789</v>
      </c>
      <c r="B51">
        <v>9</v>
      </c>
      <c r="C51" t="s">
        <v>73</v>
      </c>
      <c r="D51">
        <v>0</v>
      </c>
      <c r="E51">
        <v>0</v>
      </c>
      <c r="F51" t="s">
        <v>75</v>
      </c>
    </row>
    <row r="52" spans="1:6" x14ac:dyDescent="0.3">
      <c r="A52" s="20">
        <v>45789</v>
      </c>
      <c r="B52">
        <v>9</v>
      </c>
      <c r="C52" t="s">
        <v>158</v>
      </c>
      <c r="D52">
        <v>9743</v>
      </c>
      <c r="E52">
        <v>646</v>
      </c>
      <c r="F52" t="s">
        <v>31</v>
      </c>
    </row>
    <row r="53" spans="1:6" x14ac:dyDescent="0.3">
      <c r="A53" s="20">
        <v>45789</v>
      </c>
      <c r="B53">
        <v>9</v>
      </c>
      <c r="C53" t="s">
        <v>48</v>
      </c>
      <c r="D53">
        <v>62844</v>
      </c>
      <c r="E53">
        <v>6406</v>
      </c>
      <c r="F53" t="s">
        <v>31</v>
      </c>
    </row>
    <row r="54" spans="1:6" x14ac:dyDescent="0.3">
      <c r="A54" s="20">
        <v>45789</v>
      </c>
      <c r="B54">
        <v>9</v>
      </c>
      <c r="C54" t="s">
        <v>48</v>
      </c>
      <c r="D54">
        <v>0</v>
      </c>
      <c r="E54">
        <v>0</v>
      </c>
      <c r="F54" t="s">
        <v>259</v>
      </c>
    </row>
    <row r="55" spans="1:6" x14ac:dyDescent="0.3">
      <c r="A55" s="20">
        <v>45789</v>
      </c>
      <c r="B55">
        <v>9</v>
      </c>
      <c r="C55" t="s">
        <v>238</v>
      </c>
      <c r="D55">
        <v>5727</v>
      </c>
      <c r="E55">
        <v>743</v>
      </c>
      <c r="F55" t="s">
        <v>229</v>
      </c>
    </row>
    <row r="56" spans="1:6" x14ac:dyDescent="0.3">
      <c r="A56" s="20">
        <v>45789</v>
      </c>
      <c r="B56">
        <v>9</v>
      </c>
      <c r="C56" t="s">
        <v>250</v>
      </c>
      <c r="D56">
        <v>988</v>
      </c>
      <c r="E56">
        <v>64</v>
      </c>
      <c r="F56" t="s">
        <v>86</v>
      </c>
    </row>
    <row r="57" spans="1:6" x14ac:dyDescent="0.3">
      <c r="A57" s="20">
        <v>45789</v>
      </c>
      <c r="B57">
        <v>9</v>
      </c>
      <c r="C57" t="s">
        <v>160</v>
      </c>
      <c r="D57">
        <v>6</v>
      </c>
      <c r="E57">
        <v>2</v>
      </c>
      <c r="F57" t="s">
        <v>138</v>
      </c>
    </row>
    <row r="58" spans="1:6" x14ac:dyDescent="0.3">
      <c r="A58" s="20">
        <v>45789</v>
      </c>
      <c r="B58">
        <v>9</v>
      </c>
      <c r="C58" t="s">
        <v>160</v>
      </c>
      <c r="D58">
        <v>115</v>
      </c>
      <c r="E58">
        <v>22</v>
      </c>
      <c r="F58" t="s">
        <v>72</v>
      </c>
    </row>
    <row r="59" spans="1:6" x14ac:dyDescent="0.3">
      <c r="A59" s="20">
        <v>45789</v>
      </c>
      <c r="B59">
        <v>9</v>
      </c>
      <c r="C59" t="s">
        <v>162</v>
      </c>
      <c r="D59">
        <v>6544</v>
      </c>
      <c r="E59">
        <v>1015</v>
      </c>
      <c r="F59" t="s">
        <v>47</v>
      </c>
    </row>
    <row r="60" spans="1:6" x14ac:dyDescent="0.3">
      <c r="A60" s="20">
        <v>45789</v>
      </c>
      <c r="B60">
        <v>9</v>
      </c>
      <c r="C60" t="s">
        <v>162</v>
      </c>
      <c r="D60">
        <v>11752</v>
      </c>
      <c r="E60">
        <v>1327</v>
      </c>
      <c r="F60" t="s">
        <v>44</v>
      </c>
    </row>
    <row r="61" spans="1:6" x14ac:dyDescent="0.3">
      <c r="A61" s="20">
        <v>45789</v>
      </c>
      <c r="B61">
        <v>9</v>
      </c>
      <c r="C61" t="s">
        <v>240</v>
      </c>
      <c r="D61">
        <v>18490</v>
      </c>
      <c r="E61">
        <v>622</v>
      </c>
      <c r="F61" t="s">
        <v>38</v>
      </c>
    </row>
    <row r="62" spans="1:6" x14ac:dyDescent="0.3">
      <c r="A62" s="20">
        <v>45789</v>
      </c>
      <c r="B62">
        <v>10</v>
      </c>
      <c r="C62" t="s">
        <v>73</v>
      </c>
      <c r="D62">
        <v>0</v>
      </c>
      <c r="E62">
        <v>0</v>
      </c>
      <c r="F62" t="s">
        <v>234</v>
      </c>
    </row>
    <row r="63" spans="1:6" x14ac:dyDescent="0.3">
      <c r="A63" s="20">
        <v>45789</v>
      </c>
      <c r="B63">
        <v>10</v>
      </c>
      <c r="C63" t="s">
        <v>73</v>
      </c>
      <c r="D63">
        <v>1</v>
      </c>
      <c r="E63">
        <v>1</v>
      </c>
      <c r="F63" t="s">
        <v>77</v>
      </c>
    </row>
    <row r="64" spans="1:6" x14ac:dyDescent="0.3">
      <c r="A64" s="20">
        <v>45789</v>
      </c>
      <c r="B64">
        <v>10</v>
      </c>
      <c r="C64" t="s">
        <v>156</v>
      </c>
      <c r="D64">
        <v>11181</v>
      </c>
      <c r="E64">
        <v>1818</v>
      </c>
      <c r="F64" t="s">
        <v>43</v>
      </c>
    </row>
    <row r="65" spans="1:6" x14ac:dyDescent="0.3">
      <c r="A65" s="20">
        <v>45789</v>
      </c>
      <c r="B65">
        <v>10</v>
      </c>
      <c r="C65" t="s">
        <v>67</v>
      </c>
      <c r="D65">
        <v>15702</v>
      </c>
      <c r="E65">
        <v>800</v>
      </c>
      <c r="F65" t="s">
        <v>31</v>
      </c>
    </row>
    <row r="66" spans="1:6" x14ac:dyDescent="0.3">
      <c r="A66" s="20">
        <v>45789</v>
      </c>
      <c r="B66">
        <v>10</v>
      </c>
      <c r="C66" t="s">
        <v>52</v>
      </c>
      <c r="D66">
        <v>24</v>
      </c>
      <c r="E66">
        <v>24</v>
      </c>
      <c r="F66" t="s">
        <v>259</v>
      </c>
    </row>
    <row r="67" spans="1:6" x14ac:dyDescent="0.3">
      <c r="A67" s="20">
        <v>45789</v>
      </c>
      <c r="B67">
        <v>10</v>
      </c>
      <c r="C67" t="s">
        <v>243</v>
      </c>
      <c r="D67">
        <v>11234</v>
      </c>
      <c r="E67">
        <v>916</v>
      </c>
      <c r="F67" t="s">
        <v>31</v>
      </c>
    </row>
    <row r="68" spans="1:6" x14ac:dyDescent="0.3">
      <c r="A68" s="20">
        <v>45789</v>
      </c>
      <c r="B68">
        <v>10</v>
      </c>
      <c r="C68" t="s">
        <v>232</v>
      </c>
      <c r="D68">
        <v>3239</v>
      </c>
      <c r="E68">
        <v>281</v>
      </c>
      <c r="F68" t="s">
        <v>39</v>
      </c>
    </row>
    <row r="69" spans="1:6" x14ac:dyDescent="0.3">
      <c r="A69" s="20">
        <v>45789</v>
      </c>
      <c r="B69">
        <v>10</v>
      </c>
      <c r="C69" t="s">
        <v>255</v>
      </c>
      <c r="D69">
        <v>9606</v>
      </c>
      <c r="E69">
        <v>1714</v>
      </c>
      <c r="F69" t="s">
        <v>74</v>
      </c>
    </row>
    <row r="70" spans="1:6" x14ac:dyDescent="0.3">
      <c r="A70" s="20">
        <v>45789</v>
      </c>
      <c r="B70">
        <v>10</v>
      </c>
      <c r="C70" t="s">
        <v>155</v>
      </c>
      <c r="D70">
        <v>1</v>
      </c>
      <c r="E70">
        <v>0</v>
      </c>
      <c r="F70" t="s">
        <v>229</v>
      </c>
    </row>
    <row r="71" spans="1:6" x14ac:dyDescent="0.3">
      <c r="A71" s="20">
        <v>45789</v>
      </c>
      <c r="B71">
        <v>10</v>
      </c>
      <c r="C71" t="s">
        <v>160</v>
      </c>
      <c r="D71">
        <v>370</v>
      </c>
      <c r="E71">
        <v>93</v>
      </c>
      <c r="F71" t="s">
        <v>45</v>
      </c>
    </row>
    <row r="72" spans="1:6" x14ac:dyDescent="0.3">
      <c r="A72" s="20">
        <v>45789</v>
      </c>
      <c r="B72">
        <v>10</v>
      </c>
      <c r="C72" t="s">
        <v>251</v>
      </c>
      <c r="D72">
        <v>4363</v>
      </c>
      <c r="E72">
        <v>861</v>
      </c>
      <c r="F72" t="s">
        <v>44</v>
      </c>
    </row>
    <row r="73" spans="1:6" x14ac:dyDescent="0.3">
      <c r="A73" s="20">
        <v>45789</v>
      </c>
      <c r="B73">
        <v>11</v>
      </c>
      <c r="C73" t="s">
        <v>73</v>
      </c>
      <c r="D73">
        <v>0</v>
      </c>
      <c r="E73">
        <v>0</v>
      </c>
    </row>
    <row r="74" spans="1:6" x14ac:dyDescent="0.3">
      <c r="A74" s="20">
        <v>45789</v>
      </c>
      <c r="B74">
        <v>11</v>
      </c>
      <c r="C74" t="s">
        <v>73</v>
      </c>
      <c r="D74">
        <v>0</v>
      </c>
      <c r="E74">
        <v>0</v>
      </c>
      <c r="F74" t="s">
        <v>163</v>
      </c>
    </row>
    <row r="75" spans="1:6" x14ac:dyDescent="0.3">
      <c r="A75" s="20">
        <v>45789</v>
      </c>
      <c r="B75">
        <v>11</v>
      </c>
      <c r="C75" t="s">
        <v>73</v>
      </c>
      <c r="D75">
        <v>0</v>
      </c>
      <c r="E75">
        <v>0</v>
      </c>
      <c r="F75" t="s">
        <v>229</v>
      </c>
    </row>
    <row r="76" spans="1:6" x14ac:dyDescent="0.3">
      <c r="A76" s="20">
        <v>45789</v>
      </c>
      <c r="B76">
        <v>11</v>
      </c>
      <c r="C76" t="s">
        <v>228</v>
      </c>
      <c r="D76">
        <v>12802</v>
      </c>
      <c r="E76">
        <v>2165</v>
      </c>
      <c r="F76" t="s">
        <v>45</v>
      </c>
    </row>
    <row r="77" spans="1:6" x14ac:dyDescent="0.3">
      <c r="A77" s="20">
        <v>45789</v>
      </c>
      <c r="B77">
        <v>11</v>
      </c>
      <c r="C77" t="s">
        <v>236</v>
      </c>
      <c r="D77">
        <v>775</v>
      </c>
      <c r="E77">
        <v>171</v>
      </c>
      <c r="F77" t="s">
        <v>42</v>
      </c>
    </row>
    <row r="78" spans="1:6" x14ac:dyDescent="0.3">
      <c r="A78" s="20">
        <v>45789</v>
      </c>
      <c r="B78">
        <v>11</v>
      </c>
      <c r="C78" t="s">
        <v>35</v>
      </c>
      <c r="D78">
        <v>4882</v>
      </c>
      <c r="E78">
        <v>435</v>
      </c>
      <c r="F78" t="s">
        <v>31</v>
      </c>
    </row>
    <row r="79" spans="1:6" x14ac:dyDescent="0.3">
      <c r="A79" s="20">
        <v>45789</v>
      </c>
      <c r="B79">
        <v>11</v>
      </c>
      <c r="C79" t="s">
        <v>36</v>
      </c>
      <c r="D79">
        <v>542</v>
      </c>
      <c r="E79">
        <v>130</v>
      </c>
      <c r="F79" t="s">
        <v>31</v>
      </c>
    </row>
    <row r="80" spans="1:6" x14ac:dyDescent="0.3">
      <c r="A80" s="20">
        <v>45789</v>
      </c>
      <c r="B80">
        <v>11</v>
      </c>
      <c r="C80" t="s">
        <v>232</v>
      </c>
      <c r="D80">
        <v>390</v>
      </c>
      <c r="E80">
        <v>31</v>
      </c>
      <c r="F80" t="s">
        <v>68</v>
      </c>
    </row>
    <row r="81" spans="1:6" x14ac:dyDescent="0.3">
      <c r="A81" s="20">
        <v>45789</v>
      </c>
      <c r="B81">
        <v>11</v>
      </c>
      <c r="C81" t="s">
        <v>262</v>
      </c>
      <c r="D81">
        <v>17178</v>
      </c>
      <c r="E81">
        <v>366</v>
      </c>
      <c r="F81" t="s">
        <v>86</v>
      </c>
    </row>
    <row r="82" spans="1:6" x14ac:dyDescent="0.3">
      <c r="A82" s="20">
        <v>45789</v>
      </c>
      <c r="B82">
        <v>11</v>
      </c>
      <c r="C82" t="s">
        <v>250</v>
      </c>
      <c r="D82">
        <v>10522</v>
      </c>
      <c r="E82">
        <v>1598</v>
      </c>
      <c r="F82" t="s">
        <v>164</v>
      </c>
    </row>
    <row r="83" spans="1:6" x14ac:dyDescent="0.3">
      <c r="A83" s="20">
        <v>45789</v>
      </c>
      <c r="B83">
        <v>11</v>
      </c>
      <c r="C83" t="s">
        <v>160</v>
      </c>
      <c r="D83">
        <v>179</v>
      </c>
      <c r="E83">
        <v>51</v>
      </c>
      <c r="F83" t="s">
        <v>44</v>
      </c>
    </row>
    <row r="84" spans="1:6" x14ac:dyDescent="0.3">
      <c r="A84" s="20">
        <v>45789</v>
      </c>
      <c r="B84">
        <v>11</v>
      </c>
      <c r="C84" t="s">
        <v>160</v>
      </c>
      <c r="D84">
        <v>5208</v>
      </c>
      <c r="E84">
        <v>1046</v>
      </c>
      <c r="F84" t="s">
        <v>231</v>
      </c>
    </row>
    <row r="85" spans="1:6" x14ac:dyDescent="0.3">
      <c r="A85" s="20">
        <v>45789</v>
      </c>
      <c r="B85">
        <v>11</v>
      </c>
      <c r="C85" t="s">
        <v>235</v>
      </c>
      <c r="D85">
        <v>973</v>
      </c>
      <c r="E85">
        <v>194</v>
      </c>
      <c r="F85" t="s">
        <v>161</v>
      </c>
    </row>
    <row r="86" spans="1:6" x14ac:dyDescent="0.3">
      <c r="A86" s="20">
        <v>45789</v>
      </c>
      <c r="B86">
        <v>12</v>
      </c>
      <c r="C86" t="s">
        <v>73</v>
      </c>
      <c r="D86">
        <v>0</v>
      </c>
      <c r="E86">
        <v>0</v>
      </c>
      <c r="F86" t="s">
        <v>74</v>
      </c>
    </row>
    <row r="87" spans="1:6" x14ac:dyDescent="0.3">
      <c r="A87" s="20">
        <v>45789</v>
      </c>
      <c r="B87">
        <v>12</v>
      </c>
      <c r="C87" t="s">
        <v>73</v>
      </c>
      <c r="D87">
        <v>0</v>
      </c>
      <c r="E87">
        <v>0</v>
      </c>
      <c r="F87" t="s">
        <v>38</v>
      </c>
    </row>
    <row r="88" spans="1:6" x14ac:dyDescent="0.3">
      <c r="A88" s="20">
        <v>45789</v>
      </c>
      <c r="B88">
        <v>12</v>
      </c>
      <c r="C88" t="s">
        <v>73</v>
      </c>
      <c r="D88">
        <v>0</v>
      </c>
      <c r="E88">
        <v>0</v>
      </c>
      <c r="F88" t="s">
        <v>75</v>
      </c>
    </row>
    <row r="89" spans="1:6" x14ac:dyDescent="0.3">
      <c r="A89" s="20">
        <v>45789</v>
      </c>
      <c r="B89">
        <v>12</v>
      </c>
      <c r="C89" t="s">
        <v>156</v>
      </c>
      <c r="D89">
        <v>2740</v>
      </c>
      <c r="E89">
        <v>528</v>
      </c>
      <c r="F89" t="s">
        <v>72</v>
      </c>
    </row>
    <row r="90" spans="1:6" x14ac:dyDescent="0.3">
      <c r="A90" s="20">
        <v>45789</v>
      </c>
      <c r="B90">
        <v>12</v>
      </c>
      <c r="C90" t="s">
        <v>158</v>
      </c>
      <c r="D90">
        <v>11131</v>
      </c>
      <c r="E90">
        <v>673</v>
      </c>
      <c r="F90" t="s">
        <v>31</v>
      </c>
    </row>
    <row r="91" spans="1:6" x14ac:dyDescent="0.3">
      <c r="A91" s="20">
        <v>45789</v>
      </c>
      <c r="B91">
        <v>12</v>
      </c>
      <c r="C91" t="s">
        <v>48</v>
      </c>
      <c r="D91">
        <v>58300</v>
      </c>
      <c r="E91">
        <v>4454</v>
      </c>
      <c r="F91" t="s">
        <v>31</v>
      </c>
    </row>
    <row r="92" spans="1:6" x14ac:dyDescent="0.3">
      <c r="A92" s="20">
        <v>45789</v>
      </c>
      <c r="B92">
        <v>12</v>
      </c>
      <c r="C92" t="s">
        <v>152</v>
      </c>
      <c r="D92">
        <v>3402</v>
      </c>
      <c r="E92">
        <v>391</v>
      </c>
      <c r="F92" t="s">
        <v>138</v>
      </c>
    </row>
    <row r="93" spans="1:6" x14ac:dyDescent="0.3">
      <c r="A93" s="20">
        <v>45789</v>
      </c>
      <c r="B93">
        <v>12</v>
      </c>
      <c r="C93" t="s">
        <v>233</v>
      </c>
      <c r="D93">
        <v>14573</v>
      </c>
      <c r="E93">
        <v>2228</v>
      </c>
      <c r="F93" t="s">
        <v>34</v>
      </c>
    </row>
    <row r="94" spans="1:6" x14ac:dyDescent="0.3">
      <c r="A94" s="20">
        <v>45789</v>
      </c>
      <c r="B94">
        <v>12</v>
      </c>
      <c r="C94" t="s">
        <v>238</v>
      </c>
      <c r="D94">
        <v>5643</v>
      </c>
      <c r="E94">
        <v>809</v>
      </c>
      <c r="F94" t="s">
        <v>229</v>
      </c>
    </row>
    <row r="95" spans="1:6" x14ac:dyDescent="0.3">
      <c r="A95" s="20">
        <v>45789</v>
      </c>
      <c r="B95">
        <v>12</v>
      </c>
      <c r="C95" t="s">
        <v>250</v>
      </c>
      <c r="D95">
        <v>5</v>
      </c>
      <c r="E95">
        <v>0</v>
      </c>
      <c r="F95" t="s">
        <v>86</v>
      </c>
    </row>
    <row r="96" spans="1:6" x14ac:dyDescent="0.3">
      <c r="A96" s="20">
        <v>45789</v>
      </c>
      <c r="B96">
        <v>12</v>
      </c>
      <c r="C96" t="s">
        <v>160</v>
      </c>
      <c r="D96">
        <v>18</v>
      </c>
      <c r="E96">
        <v>4</v>
      </c>
      <c r="F96" t="s">
        <v>72</v>
      </c>
    </row>
    <row r="97" spans="1:6" x14ac:dyDescent="0.3">
      <c r="A97" s="20">
        <v>45789</v>
      </c>
      <c r="B97">
        <v>12</v>
      </c>
      <c r="C97" t="s">
        <v>162</v>
      </c>
      <c r="D97">
        <v>8861</v>
      </c>
      <c r="E97">
        <v>1408</v>
      </c>
      <c r="F97" t="s">
        <v>47</v>
      </c>
    </row>
    <row r="98" spans="1:6" x14ac:dyDescent="0.3">
      <c r="A98" s="20">
        <v>45789</v>
      </c>
      <c r="B98">
        <v>12</v>
      </c>
      <c r="C98" t="s">
        <v>162</v>
      </c>
      <c r="D98">
        <v>11421</v>
      </c>
      <c r="E98">
        <v>1176</v>
      </c>
      <c r="F98" t="s">
        <v>44</v>
      </c>
    </row>
    <row r="99" spans="1:6" x14ac:dyDescent="0.3">
      <c r="A99" s="20">
        <v>45789</v>
      </c>
      <c r="B99">
        <v>12</v>
      </c>
      <c r="C99" t="s">
        <v>240</v>
      </c>
      <c r="D99">
        <v>19536</v>
      </c>
      <c r="E99">
        <v>641</v>
      </c>
      <c r="F99" t="s">
        <v>38</v>
      </c>
    </row>
    <row r="100" spans="1:6" x14ac:dyDescent="0.3">
      <c r="A100" s="20">
        <v>45789</v>
      </c>
      <c r="B100">
        <v>13</v>
      </c>
      <c r="C100" t="s">
        <v>73</v>
      </c>
      <c r="D100">
        <v>1</v>
      </c>
      <c r="E100">
        <v>1</v>
      </c>
      <c r="F100" t="s">
        <v>77</v>
      </c>
    </row>
    <row r="101" spans="1:6" x14ac:dyDescent="0.3">
      <c r="A101" s="20">
        <v>45789</v>
      </c>
      <c r="B101">
        <v>13</v>
      </c>
      <c r="C101" t="s">
        <v>67</v>
      </c>
      <c r="D101">
        <v>17301</v>
      </c>
      <c r="E101">
        <v>866</v>
      </c>
      <c r="F101" t="s">
        <v>31</v>
      </c>
    </row>
    <row r="102" spans="1:6" x14ac:dyDescent="0.3">
      <c r="A102" s="20">
        <v>45789</v>
      </c>
      <c r="B102">
        <v>13</v>
      </c>
      <c r="C102" t="s">
        <v>52</v>
      </c>
      <c r="D102">
        <v>29</v>
      </c>
      <c r="E102">
        <v>29</v>
      </c>
      <c r="F102" t="s">
        <v>259</v>
      </c>
    </row>
    <row r="103" spans="1:6" x14ac:dyDescent="0.3">
      <c r="A103" s="20">
        <v>45789</v>
      </c>
      <c r="B103">
        <v>13</v>
      </c>
      <c r="C103" t="s">
        <v>71</v>
      </c>
      <c r="D103">
        <v>8677</v>
      </c>
      <c r="E103">
        <v>2820</v>
      </c>
      <c r="F103" t="s">
        <v>32</v>
      </c>
    </row>
    <row r="104" spans="1:6" x14ac:dyDescent="0.3">
      <c r="A104" s="20">
        <v>45789</v>
      </c>
      <c r="B104">
        <v>13</v>
      </c>
      <c r="C104" t="s">
        <v>255</v>
      </c>
      <c r="D104">
        <v>8341</v>
      </c>
      <c r="E104">
        <v>1519</v>
      </c>
      <c r="F104" t="s">
        <v>74</v>
      </c>
    </row>
    <row r="105" spans="1:6" x14ac:dyDescent="0.3">
      <c r="A105" s="20">
        <v>45789</v>
      </c>
      <c r="B105">
        <v>13</v>
      </c>
      <c r="C105" t="s">
        <v>250</v>
      </c>
      <c r="D105">
        <v>6264</v>
      </c>
      <c r="E105">
        <v>1050</v>
      </c>
      <c r="F105" t="s">
        <v>252</v>
      </c>
    </row>
    <row r="106" spans="1:6" x14ac:dyDescent="0.3">
      <c r="A106" s="20">
        <v>45789</v>
      </c>
      <c r="B106">
        <v>13</v>
      </c>
      <c r="C106" t="s">
        <v>160</v>
      </c>
      <c r="D106">
        <v>7724</v>
      </c>
      <c r="E106">
        <v>709</v>
      </c>
      <c r="F106" t="s">
        <v>234</v>
      </c>
    </row>
    <row r="107" spans="1:6" x14ac:dyDescent="0.3">
      <c r="A107" s="20">
        <v>45789</v>
      </c>
      <c r="B107">
        <v>13</v>
      </c>
      <c r="C107" t="s">
        <v>160</v>
      </c>
      <c r="D107">
        <v>308</v>
      </c>
      <c r="E107">
        <v>71</v>
      </c>
      <c r="F107" t="s">
        <v>45</v>
      </c>
    </row>
    <row r="108" spans="1:6" x14ac:dyDescent="0.3">
      <c r="A108" s="20">
        <v>45789</v>
      </c>
      <c r="B108">
        <v>13</v>
      </c>
      <c r="C108" t="s">
        <v>125</v>
      </c>
      <c r="D108">
        <v>112626</v>
      </c>
      <c r="E108">
        <v>6468</v>
      </c>
      <c r="F108" t="s">
        <v>38</v>
      </c>
    </row>
    <row r="109" spans="1:6" x14ac:dyDescent="0.3">
      <c r="A109" s="20">
        <v>45789</v>
      </c>
      <c r="B109">
        <v>14</v>
      </c>
      <c r="C109" t="s">
        <v>228</v>
      </c>
      <c r="D109">
        <v>11139</v>
      </c>
      <c r="E109">
        <v>2172</v>
      </c>
      <c r="F109" t="s">
        <v>45</v>
      </c>
    </row>
    <row r="110" spans="1:6" x14ac:dyDescent="0.3">
      <c r="A110" s="20">
        <v>45789</v>
      </c>
      <c r="B110">
        <v>14</v>
      </c>
      <c r="C110" t="s">
        <v>236</v>
      </c>
      <c r="D110">
        <v>781</v>
      </c>
      <c r="E110">
        <v>169</v>
      </c>
      <c r="F110" t="s">
        <v>42</v>
      </c>
    </row>
    <row r="111" spans="1:6" x14ac:dyDescent="0.3">
      <c r="A111" s="20">
        <v>45789</v>
      </c>
      <c r="B111">
        <v>14</v>
      </c>
      <c r="C111" t="s">
        <v>35</v>
      </c>
      <c r="D111">
        <v>5170</v>
      </c>
      <c r="E111">
        <v>320</v>
      </c>
      <c r="F111" t="s">
        <v>31</v>
      </c>
    </row>
    <row r="112" spans="1:6" x14ac:dyDescent="0.3">
      <c r="A112" s="20">
        <v>45789</v>
      </c>
      <c r="B112">
        <v>14</v>
      </c>
      <c r="C112" t="s">
        <v>53</v>
      </c>
      <c r="D112">
        <v>2156</v>
      </c>
      <c r="E112">
        <v>76</v>
      </c>
      <c r="F112" t="s">
        <v>31</v>
      </c>
    </row>
    <row r="113" spans="1:6" x14ac:dyDescent="0.3">
      <c r="A113" s="20">
        <v>45789</v>
      </c>
      <c r="B113">
        <v>14</v>
      </c>
      <c r="C113" t="s">
        <v>36</v>
      </c>
      <c r="D113">
        <v>453</v>
      </c>
      <c r="E113">
        <v>102</v>
      </c>
      <c r="F113" t="s">
        <v>31</v>
      </c>
    </row>
    <row r="114" spans="1:6" x14ac:dyDescent="0.3">
      <c r="A114" s="20">
        <v>45789</v>
      </c>
      <c r="B114">
        <v>14</v>
      </c>
      <c r="C114" t="s">
        <v>232</v>
      </c>
      <c r="D114">
        <v>516</v>
      </c>
      <c r="E114">
        <v>55</v>
      </c>
      <c r="F114" t="s">
        <v>68</v>
      </c>
    </row>
    <row r="115" spans="1:6" x14ac:dyDescent="0.3">
      <c r="A115" s="20">
        <v>45789</v>
      </c>
      <c r="B115">
        <v>14</v>
      </c>
      <c r="C115" t="s">
        <v>262</v>
      </c>
      <c r="D115">
        <v>19278</v>
      </c>
      <c r="E115">
        <v>389</v>
      </c>
      <c r="F115" t="s">
        <v>86</v>
      </c>
    </row>
    <row r="116" spans="1:6" x14ac:dyDescent="0.3">
      <c r="A116" s="20">
        <v>45789</v>
      </c>
      <c r="B116">
        <v>14</v>
      </c>
      <c r="C116" t="s">
        <v>160</v>
      </c>
      <c r="D116">
        <v>3813</v>
      </c>
      <c r="E116">
        <v>489</v>
      </c>
      <c r="F116" t="s">
        <v>229</v>
      </c>
    </row>
    <row r="117" spans="1:6" x14ac:dyDescent="0.3">
      <c r="A117" s="20">
        <v>45789</v>
      </c>
      <c r="B117">
        <v>14</v>
      </c>
      <c r="C117" t="s">
        <v>51</v>
      </c>
      <c r="D117">
        <v>70848</v>
      </c>
      <c r="E117">
        <v>2643</v>
      </c>
      <c r="F117" t="s">
        <v>38</v>
      </c>
    </row>
    <row r="118" spans="1:6" x14ac:dyDescent="0.3">
      <c r="A118" s="20">
        <v>45789</v>
      </c>
      <c r="B118">
        <v>14</v>
      </c>
      <c r="C118" t="s">
        <v>258</v>
      </c>
      <c r="D118">
        <v>4450</v>
      </c>
      <c r="E118">
        <v>570</v>
      </c>
      <c r="F118" t="s">
        <v>229</v>
      </c>
    </row>
    <row r="119" spans="1:6" x14ac:dyDescent="0.3">
      <c r="A119" s="20">
        <v>45789</v>
      </c>
      <c r="B119">
        <v>15</v>
      </c>
      <c r="C119" t="s">
        <v>73</v>
      </c>
      <c r="D119">
        <v>0</v>
      </c>
      <c r="E119">
        <v>0</v>
      </c>
      <c r="F119" t="s">
        <v>74</v>
      </c>
    </row>
    <row r="120" spans="1:6" x14ac:dyDescent="0.3">
      <c r="A120" s="20">
        <v>45789</v>
      </c>
      <c r="B120">
        <v>15</v>
      </c>
      <c r="C120" t="s">
        <v>73</v>
      </c>
      <c r="D120">
        <v>1</v>
      </c>
      <c r="E120">
        <v>1</v>
      </c>
      <c r="F120" t="s">
        <v>38</v>
      </c>
    </row>
    <row r="121" spans="1:6" x14ac:dyDescent="0.3">
      <c r="A121" s="20">
        <v>45789</v>
      </c>
      <c r="B121">
        <v>15</v>
      </c>
      <c r="C121" t="s">
        <v>156</v>
      </c>
      <c r="D121">
        <v>1372</v>
      </c>
      <c r="E121">
        <v>196</v>
      </c>
      <c r="F121" t="s">
        <v>72</v>
      </c>
    </row>
    <row r="122" spans="1:6" x14ac:dyDescent="0.3">
      <c r="A122" s="20">
        <v>45789</v>
      </c>
      <c r="B122">
        <v>15</v>
      </c>
      <c r="C122" t="s">
        <v>158</v>
      </c>
      <c r="D122">
        <v>11152</v>
      </c>
      <c r="E122">
        <v>554</v>
      </c>
      <c r="F122" t="s">
        <v>31</v>
      </c>
    </row>
    <row r="123" spans="1:6" x14ac:dyDescent="0.3">
      <c r="A123" s="20">
        <v>45789</v>
      </c>
      <c r="B123">
        <v>15</v>
      </c>
      <c r="C123" t="s">
        <v>48</v>
      </c>
      <c r="D123">
        <v>57226</v>
      </c>
      <c r="E123">
        <v>3322</v>
      </c>
      <c r="F123" t="s">
        <v>31</v>
      </c>
    </row>
    <row r="124" spans="1:6" x14ac:dyDescent="0.3">
      <c r="A124" s="20">
        <v>45789</v>
      </c>
      <c r="B124">
        <v>15</v>
      </c>
      <c r="C124" t="s">
        <v>50</v>
      </c>
      <c r="D124">
        <v>381</v>
      </c>
      <c r="E124">
        <v>77</v>
      </c>
      <c r="F124" t="s">
        <v>31</v>
      </c>
    </row>
    <row r="125" spans="1:6" x14ac:dyDescent="0.3">
      <c r="A125" s="20">
        <v>45789</v>
      </c>
      <c r="B125">
        <v>15</v>
      </c>
      <c r="C125" t="s">
        <v>152</v>
      </c>
      <c r="D125">
        <v>6042</v>
      </c>
      <c r="E125">
        <v>505</v>
      </c>
      <c r="F125" t="s">
        <v>138</v>
      </c>
    </row>
    <row r="126" spans="1:6" x14ac:dyDescent="0.3">
      <c r="A126" s="20">
        <v>45789</v>
      </c>
      <c r="B126">
        <v>15</v>
      </c>
      <c r="C126" t="s">
        <v>233</v>
      </c>
      <c r="D126">
        <v>15443</v>
      </c>
      <c r="E126">
        <v>2313</v>
      </c>
      <c r="F126" t="s">
        <v>34</v>
      </c>
    </row>
    <row r="127" spans="1:6" x14ac:dyDescent="0.3">
      <c r="A127" s="20">
        <v>45789</v>
      </c>
      <c r="B127">
        <v>15</v>
      </c>
      <c r="C127" t="s">
        <v>238</v>
      </c>
      <c r="D127">
        <v>5826</v>
      </c>
      <c r="E127">
        <v>730</v>
      </c>
      <c r="F127" t="s">
        <v>229</v>
      </c>
    </row>
    <row r="128" spans="1:6" x14ac:dyDescent="0.3">
      <c r="A128" s="20">
        <v>45789</v>
      </c>
      <c r="B128">
        <v>15</v>
      </c>
      <c r="C128" t="s">
        <v>261</v>
      </c>
      <c r="D128">
        <v>17018</v>
      </c>
      <c r="E128">
        <v>1839</v>
      </c>
      <c r="F128" t="s">
        <v>31</v>
      </c>
    </row>
    <row r="129" spans="1:6" x14ac:dyDescent="0.3">
      <c r="A129" s="20">
        <v>45789</v>
      </c>
      <c r="B129">
        <v>15</v>
      </c>
      <c r="C129" t="s">
        <v>250</v>
      </c>
      <c r="D129">
        <v>1115</v>
      </c>
      <c r="E129">
        <v>164</v>
      </c>
      <c r="F129" t="s">
        <v>86</v>
      </c>
    </row>
    <row r="130" spans="1:6" x14ac:dyDescent="0.3">
      <c r="A130" s="20">
        <v>45789</v>
      </c>
      <c r="B130">
        <v>15</v>
      </c>
      <c r="C130" t="s">
        <v>250</v>
      </c>
      <c r="D130">
        <v>316</v>
      </c>
      <c r="E130">
        <v>79</v>
      </c>
      <c r="F130" t="s">
        <v>257</v>
      </c>
    </row>
    <row r="131" spans="1:6" x14ac:dyDescent="0.3">
      <c r="A131" s="20">
        <v>45789</v>
      </c>
      <c r="B131">
        <v>15</v>
      </c>
      <c r="C131" t="s">
        <v>162</v>
      </c>
      <c r="D131">
        <v>12035</v>
      </c>
      <c r="E131">
        <v>1615</v>
      </c>
      <c r="F131" t="s">
        <v>47</v>
      </c>
    </row>
    <row r="132" spans="1:6" x14ac:dyDescent="0.3">
      <c r="A132" s="20">
        <v>45789</v>
      </c>
      <c r="B132">
        <v>15</v>
      </c>
      <c r="C132" t="s">
        <v>162</v>
      </c>
      <c r="D132">
        <v>11038</v>
      </c>
      <c r="E132">
        <v>1006</v>
      </c>
      <c r="F132" t="s">
        <v>44</v>
      </c>
    </row>
    <row r="133" spans="1:6" x14ac:dyDescent="0.3">
      <c r="A133" s="20">
        <v>45789</v>
      </c>
      <c r="B133">
        <v>15</v>
      </c>
      <c r="C133" t="s">
        <v>37</v>
      </c>
      <c r="D133">
        <v>558</v>
      </c>
      <c r="E133">
        <v>113</v>
      </c>
      <c r="F133" t="s">
        <v>38</v>
      </c>
    </row>
    <row r="134" spans="1:6" x14ac:dyDescent="0.3">
      <c r="A134" s="20">
        <v>45789</v>
      </c>
      <c r="B134">
        <v>15</v>
      </c>
      <c r="C134" t="s">
        <v>240</v>
      </c>
      <c r="D134">
        <v>18239</v>
      </c>
      <c r="E134">
        <v>534</v>
      </c>
      <c r="F134" t="s">
        <v>38</v>
      </c>
    </row>
    <row r="135" spans="1:6" x14ac:dyDescent="0.3">
      <c r="A135" s="20">
        <v>45789</v>
      </c>
      <c r="B135">
        <v>15</v>
      </c>
      <c r="C135" t="s">
        <v>235</v>
      </c>
      <c r="D135">
        <v>8346</v>
      </c>
      <c r="E135">
        <v>861</v>
      </c>
      <c r="F135" t="s">
        <v>234</v>
      </c>
    </row>
    <row r="136" spans="1:6" x14ac:dyDescent="0.3">
      <c r="A136" s="20">
        <v>45789</v>
      </c>
      <c r="B136">
        <v>16</v>
      </c>
      <c r="C136" t="s">
        <v>73</v>
      </c>
      <c r="D136">
        <v>0</v>
      </c>
      <c r="E136">
        <v>0</v>
      </c>
      <c r="F136" t="s">
        <v>39</v>
      </c>
    </row>
    <row r="137" spans="1:6" x14ac:dyDescent="0.3">
      <c r="A137" s="20">
        <v>45789</v>
      </c>
      <c r="B137">
        <v>16</v>
      </c>
      <c r="C137" t="s">
        <v>73</v>
      </c>
      <c r="D137">
        <v>0</v>
      </c>
      <c r="E137">
        <v>0</v>
      </c>
      <c r="F137" t="s">
        <v>46</v>
      </c>
    </row>
    <row r="138" spans="1:6" x14ac:dyDescent="0.3">
      <c r="A138" s="20">
        <v>45789</v>
      </c>
      <c r="B138">
        <v>16</v>
      </c>
      <c r="C138" t="s">
        <v>73</v>
      </c>
      <c r="D138">
        <v>0</v>
      </c>
      <c r="E138">
        <v>0</v>
      </c>
      <c r="F138" t="s">
        <v>43</v>
      </c>
    </row>
    <row r="139" spans="1:6" x14ac:dyDescent="0.3">
      <c r="A139" s="20">
        <v>45789</v>
      </c>
      <c r="B139">
        <v>16</v>
      </c>
      <c r="C139" t="s">
        <v>228</v>
      </c>
      <c r="D139">
        <v>2</v>
      </c>
      <c r="E139">
        <v>2</v>
      </c>
      <c r="F139" t="s">
        <v>77</v>
      </c>
    </row>
    <row r="140" spans="1:6" x14ac:dyDescent="0.3">
      <c r="A140" s="20">
        <v>45789</v>
      </c>
      <c r="B140">
        <v>16</v>
      </c>
      <c r="C140" t="s">
        <v>67</v>
      </c>
      <c r="D140">
        <v>5722</v>
      </c>
      <c r="E140">
        <v>232</v>
      </c>
      <c r="F140" t="s">
        <v>31</v>
      </c>
    </row>
    <row r="141" spans="1:6" x14ac:dyDescent="0.3">
      <c r="A141" s="20">
        <v>45789</v>
      </c>
      <c r="B141">
        <v>16</v>
      </c>
      <c r="C141" t="s">
        <v>52</v>
      </c>
      <c r="D141">
        <v>35319</v>
      </c>
      <c r="E141">
        <v>1434</v>
      </c>
      <c r="F141" t="s">
        <v>31</v>
      </c>
    </row>
    <row r="142" spans="1:6" x14ac:dyDescent="0.3">
      <c r="A142" s="20">
        <v>45789</v>
      </c>
      <c r="B142">
        <v>16</v>
      </c>
      <c r="C142" t="s">
        <v>52</v>
      </c>
      <c r="D142">
        <v>34</v>
      </c>
      <c r="E142">
        <v>34</v>
      </c>
      <c r="F142" t="s">
        <v>259</v>
      </c>
    </row>
    <row r="143" spans="1:6" x14ac:dyDescent="0.3">
      <c r="A143" s="20">
        <v>45789</v>
      </c>
      <c r="B143">
        <v>16</v>
      </c>
      <c r="C143" t="s">
        <v>71</v>
      </c>
      <c r="D143">
        <v>6175</v>
      </c>
      <c r="E143">
        <v>940</v>
      </c>
      <c r="F143" t="s">
        <v>32</v>
      </c>
    </row>
    <row r="144" spans="1:6" x14ac:dyDescent="0.3">
      <c r="A144" s="20">
        <v>45789</v>
      </c>
      <c r="B144">
        <v>16</v>
      </c>
      <c r="C144" t="s">
        <v>71</v>
      </c>
      <c r="D144">
        <v>18852</v>
      </c>
      <c r="E144">
        <v>2709</v>
      </c>
      <c r="F144" t="s">
        <v>164</v>
      </c>
    </row>
    <row r="145" spans="1:6" x14ac:dyDescent="0.3">
      <c r="A145" s="20">
        <v>45789</v>
      </c>
      <c r="B145">
        <v>16</v>
      </c>
      <c r="C145" t="s">
        <v>255</v>
      </c>
      <c r="D145">
        <v>8913</v>
      </c>
      <c r="E145">
        <v>1589</v>
      </c>
      <c r="F145" t="s">
        <v>74</v>
      </c>
    </row>
    <row r="146" spans="1:6" x14ac:dyDescent="0.3">
      <c r="A146" s="20">
        <v>45789</v>
      </c>
      <c r="B146">
        <v>16</v>
      </c>
      <c r="C146" t="s">
        <v>155</v>
      </c>
      <c r="D146">
        <v>22</v>
      </c>
      <c r="E146">
        <v>12</v>
      </c>
      <c r="F146" t="s">
        <v>32</v>
      </c>
    </row>
    <row r="147" spans="1:6" x14ac:dyDescent="0.3">
      <c r="A147" s="20">
        <v>45789</v>
      </c>
      <c r="B147">
        <v>16</v>
      </c>
      <c r="C147" t="s">
        <v>250</v>
      </c>
      <c r="D147">
        <v>6752</v>
      </c>
      <c r="E147">
        <v>995</v>
      </c>
      <c r="F147" t="s">
        <v>252</v>
      </c>
    </row>
    <row r="148" spans="1:6" x14ac:dyDescent="0.3">
      <c r="A148" s="20">
        <v>45789</v>
      </c>
      <c r="B148">
        <v>16</v>
      </c>
      <c r="C148" t="s">
        <v>160</v>
      </c>
      <c r="D148">
        <v>14219</v>
      </c>
      <c r="E148">
        <v>1609</v>
      </c>
      <c r="F148" t="s">
        <v>234</v>
      </c>
    </row>
    <row r="149" spans="1:6" x14ac:dyDescent="0.3">
      <c r="A149" s="20">
        <v>45789</v>
      </c>
      <c r="B149">
        <v>16</v>
      </c>
      <c r="C149" t="s">
        <v>160</v>
      </c>
      <c r="D149">
        <v>383</v>
      </c>
      <c r="E149">
        <v>84</v>
      </c>
      <c r="F149" t="s">
        <v>45</v>
      </c>
    </row>
    <row r="150" spans="1:6" x14ac:dyDescent="0.3">
      <c r="A150" s="20">
        <v>45789</v>
      </c>
      <c r="B150">
        <v>16</v>
      </c>
      <c r="C150" t="s">
        <v>125</v>
      </c>
      <c r="D150">
        <v>110692</v>
      </c>
      <c r="E150">
        <v>5989</v>
      </c>
      <c r="F150" t="s">
        <v>38</v>
      </c>
    </row>
    <row r="151" spans="1:6" x14ac:dyDescent="0.3">
      <c r="A151" s="20">
        <v>45789</v>
      </c>
      <c r="B151">
        <v>16</v>
      </c>
      <c r="C151" t="s">
        <v>253</v>
      </c>
      <c r="D151">
        <v>953</v>
      </c>
      <c r="E151">
        <v>231</v>
      </c>
      <c r="F151" t="s">
        <v>47</v>
      </c>
    </row>
    <row r="152" spans="1:6" x14ac:dyDescent="0.3">
      <c r="A152" s="20">
        <v>45789</v>
      </c>
      <c r="B152">
        <v>16</v>
      </c>
      <c r="C152" t="s">
        <v>235</v>
      </c>
      <c r="D152">
        <v>2898</v>
      </c>
      <c r="E152">
        <v>372</v>
      </c>
      <c r="F152" t="s">
        <v>229</v>
      </c>
    </row>
    <row r="153" spans="1:6" x14ac:dyDescent="0.3">
      <c r="A153" s="20">
        <v>45789</v>
      </c>
      <c r="B153">
        <v>17</v>
      </c>
      <c r="C153" t="s">
        <v>73</v>
      </c>
      <c r="D153">
        <v>0</v>
      </c>
      <c r="E153">
        <v>0</v>
      </c>
      <c r="F153" t="s">
        <v>161</v>
      </c>
    </row>
    <row r="154" spans="1:6" x14ac:dyDescent="0.3">
      <c r="A154" s="20">
        <v>45789</v>
      </c>
      <c r="B154">
        <v>17</v>
      </c>
      <c r="C154" t="s">
        <v>153</v>
      </c>
      <c r="D154">
        <v>1956</v>
      </c>
      <c r="E154">
        <v>71</v>
      </c>
      <c r="F154" t="s">
        <v>248</v>
      </c>
    </row>
    <row r="155" spans="1:6" x14ac:dyDescent="0.3">
      <c r="A155" s="20">
        <v>45789</v>
      </c>
      <c r="B155">
        <v>17</v>
      </c>
      <c r="C155" t="s">
        <v>66</v>
      </c>
      <c r="D155">
        <v>5702</v>
      </c>
      <c r="E155">
        <v>566</v>
      </c>
      <c r="F155" t="s">
        <v>31</v>
      </c>
    </row>
    <row r="156" spans="1:6" x14ac:dyDescent="0.3">
      <c r="A156" s="20">
        <v>45789</v>
      </c>
      <c r="B156">
        <v>17</v>
      </c>
      <c r="C156" t="s">
        <v>236</v>
      </c>
      <c r="D156">
        <v>218</v>
      </c>
      <c r="E156">
        <v>27</v>
      </c>
      <c r="F156" t="s">
        <v>42</v>
      </c>
    </row>
    <row r="157" spans="1:6" x14ac:dyDescent="0.3">
      <c r="A157" s="20">
        <v>45789</v>
      </c>
      <c r="B157">
        <v>17</v>
      </c>
      <c r="C157" t="s">
        <v>53</v>
      </c>
      <c r="D157">
        <v>2385</v>
      </c>
      <c r="E157">
        <v>96</v>
      </c>
      <c r="F157" t="s">
        <v>31</v>
      </c>
    </row>
    <row r="158" spans="1:6" x14ac:dyDescent="0.3">
      <c r="A158" s="20">
        <v>45789</v>
      </c>
      <c r="B158">
        <v>17</v>
      </c>
      <c r="C158" t="s">
        <v>36</v>
      </c>
      <c r="D158">
        <v>146</v>
      </c>
      <c r="E158">
        <v>34</v>
      </c>
      <c r="F158" t="s">
        <v>31</v>
      </c>
    </row>
    <row r="159" spans="1:6" x14ac:dyDescent="0.3">
      <c r="A159" s="20">
        <v>45789</v>
      </c>
      <c r="B159">
        <v>17</v>
      </c>
      <c r="C159" t="s">
        <v>243</v>
      </c>
      <c r="D159">
        <v>70</v>
      </c>
      <c r="E159">
        <v>9</v>
      </c>
      <c r="F159" t="s">
        <v>42</v>
      </c>
    </row>
    <row r="160" spans="1:6" x14ac:dyDescent="0.3">
      <c r="A160" s="20">
        <v>45789</v>
      </c>
      <c r="B160">
        <v>17</v>
      </c>
      <c r="C160" t="s">
        <v>250</v>
      </c>
      <c r="D160">
        <v>155</v>
      </c>
      <c r="E160">
        <v>31</v>
      </c>
      <c r="F160" t="s">
        <v>34</v>
      </c>
    </row>
    <row r="161" spans="1:6" x14ac:dyDescent="0.3">
      <c r="A161" s="20">
        <v>45789</v>
      </c>
      <c r="B161">
        <v>17</v>
      </c>
      <c r="C161" t="s">
        <v>250</v>
      </c>
      <c r="D161">
        <v>558</v>
      </c>
      <c r="E161">
        <v>88</v>
      </c>
      <c r="F161" t="s">
        <v>75</v>
      </c>
    </row>
    <row r="162" spans="1:6" x14ac:dyDescent="0.3">
      <c r="A162" s="20">
        <v>45789</v>
      </c>
      <c r="B162">
        <v>17</v>
      </c>
      <c r="C162" t="s">
        <v>160</v>
      </c>
      <c r="D162">
        <v>4737</v>
      </c>
      <c r="E162">
        <v>951</v>
      </c>
      <c r="F162" t="s">
        <v>229</v>
      </c>
    </row>
    <row r="163" spans="1:6" x14ac:dyDescent="0.3">
      <c r="A163" s="20">
        <v>45789</v>
      </c>
      <c r="B163">
        <v>17</v>
      </c>
      <c r="C163" t="s">
        <v>51</v>
      </c>
      <c r="D163">
        <v>52580</v>
      </c>
      <c r="E163">
        <v>1656</v>
      </c>
      <c r="F163" t="s">
        <v>38</v>
      </c>
    </row>
    <row r="164" spans="1:6" x14ac:dyDescent="0.3">
      <c r="A164" s="20">
        <v>45789</v>
      </c>
      <c r="B164">
        <v>17</v>
      </c>
      <c r="C164" t="s">
        <v>235</v>
      </c>
      <c r="D164">
        <v>13041</v>
      </c>
      <c r="E164">
        <v>1958</v>
      </c>
      <c r="F164" t="s">
        <v>75</v>
      </c>
    </row>
    <row r="165" spans="1:6" x14ac:dyDescent="0.3">
      <c r="A165" s="20">
        <v>45789</v>
      </c>
      <c r="B165">
        <v>17</v>
      </c>
      <c r="C165" t="s">
        <v>258</v>
      </c>
      <c r="D165">
        <v>6594</v>
      </c>
      <c r="E165">
        <v>813</v>
      </c>
      <c r="F165" t="s">
        <v>229</v>
      </c>
    </row>
    <row r="166" spans="1:6" x14ac:dyDescent="0.3">
      <c r="A166" s="20">
        <v>45789</v>
      </c>
      <c r="B166">
        <v>18</v>
      </c>
      <c r="C166" t="s">
        <v>73</v>
      </c>
      <c r="D166">
        <v>0</v>
      </c>
      <c r="E166">
        <v>0</v>
      </c>
      <c r="F166" t="s">
        <v>74</v>
      </c>
    </row>
    <row r="167" spans="1:6" x14ac:dyDescent="0.3">
      <c r="A167" s="20">
        <v>45789</v>
      </c>
      <c r="B167">
        <v>18</v>
      </c>
      <c r="C167" t="s">
        <v>156</v>
      </c>
      <c r="D167">
        <v>1493</v>
      </c>
      <c r="E167">
        <v>246</v>
      </c>
      <c r="F167" t="s">
        <v>72</v>
      </c>
    </row>
    <row r="168" spans="1:6" x14ac:dyDescent="0.3">
      <c r="A168" s="20">
        <v>45789</v>
      </c>
      <c r="B168">
        <v>18</v>
      </c>
      <c r="C168" t="s">
        <v>158</v>
      </c>
      <c r="D168">
        <v>45582</v>
      </c>
      <c r="E168">
        <v>2015</v>
      </c>
      <c r="F168" t="s">
        <v>31</v>
      </c>
    </row>
    <row r="169" spans="1:6" x14ac:dyDescent="0.3">
      <c r="A169" s="20">
        <v>45789</v>
      </c>
      <c r="B169">
        <v>18</v>
      </c>
      <c r="C169" t="s">
        <v>239</v>
      </c>
      <c r="D169">
        <v>87036</v>
      </c>
      <c r="E169">
        <v>6252</v>
      </c>
      <c r="F169" t="s">
        <v>31</v>
      </c>
    </row>
    <row r="170" spans="1:6" x14ac:dyDescent="0.3">
      <c r="A170" s="20">
        <v>45789</v>
      </c>
      <c r="B170">
        <v>18</v>
      </c>
      <c r="C170" t="s">
        <v>50</v>
      </c>
      <c r="D170">
        <v>262</v>
      </c>
      <c r="E170">
        <v>67</v>
      </c>
      <c r="F170" t="s">
        <v>31</v>
      </c>
    </row>
    <row r="171" spans="1:6" x14ac:dyDescent="0.3">
      <c r="A171" s="20">
        <v>45789</v>
      </c>
      <c r="B171">
        <v>18</v>
      </c>
      <c r="C171" t="s">
        <v>152</v>
      </c>
      <c r="D171">
        <v>2211</v>
      </c>
      <c r="E171">
        <v>266</v>
      </c>
      <c r="F171" t="s">
        <v>138</v>
      </c>
    </row>
    <row r="172" spans="1:6" x14ac:dyDescent="0.3">
      <c r="A172" s="20">
        <v>45789</v>
      </c>
      <c r="B172">
        <v>18</v>
      </c>
      <c r="C172" t="s">
        <v>233</v>
      </c>
      <c r="D172">
        <v>9074</v>
      </c>
      <c r="E172">
        <v>1600</v>
      </c>
      <c r="F172" t="s">
        <v>34</v>
      </c>
    </row>
    <row r="173" spans="1:6" x14ac:dyDescent="0.3">
      <c r="A173" s="20">
        <v>45789</v>
      </c>
      <c r="B173">
        <v>18</v>
      </c>
      <c r="C173" t="s">
        <v>255</v>
      </c>
      <c r="D173">
        <v>13620</v>
      </c>
      <c r="E173">
        <v>1889</v>
      </c>
      <c r="F173" t="s">
        <v>39</v>
      </c>
    </row>
    <row r="174" spans="1:6" x14ac:dyDescent="0.3">
      <c r="A174" s="20">
        <v>45789</v>
      </c>
      <c r="B174">
        <v>18</v>
      </c>
      <c r="C174" t="s">
        <v>256</v>
      </c>
      <c r="D174">
        <v>12930</v>
      </c>
      <c r="E174">
        <v>220</v>
      </c>
      <c r="F174" t="s">
        <v>163</v>
      </c>
    </row>
    <row r="175" spans="1:6" x14ac:dyDescent="0.3">
      <c r="A175" s="20">
        <v>45789</v>
      </c>
      <c r="B175">
        <v>18</v>
      </c>
      <c r="C175" t="s">
        <v>250</v>
      </c>
      <c r="D175">
        <v>1</v>
      </c>
      <c r="E175">
        <v>1</v>
      </c>
      <c r="F175" t="s">
        <v>86</v>
      </c>
    </row>
    <row r="176" spans="1:6" x14ac:dyDescent="0.3">
      <c r="A176" s="20">
        <v>45789</v>
      </c>
      <c r="B176">
        <v>18</v>
      </c>
      <c r="C176" t="s">
        <v>250</v>
      </c>
      <c r="D176">
        <v>344</v>
      </c>
      <c r="E176">
        <v>56</v>
      </c>
      <c r="F176" t="s">
        <v>257</v>
      </c>
    </row>
    <row r="177" spans="1:6" x14ac:dyDescent="0.3">
      <c r="A177" s="20">
        <v>45789</v>
      </c>
      <c r="B177">
        <v>18</v>
      </c>
      <c r="C177" t="s">
        <v>160</v>
      </c>
      <c r="D177">
        <v>359</v>
      </c>
      <c r="E177">
        <v>58</v>
      </c>
      <c r="F177" t="s">
        <v>74</v>
      </c>
    </row>
    <row r="178" spans="1:6" x14ac:dyDescent="0.3">
      <c r="A178" s="20">
        <v>45789</v>
      </c>
      <c r="B178">
        <v>18</v>
      </c>
      <c r="C178" t="s">
        <v>162</v>
      </c>
      <c r="D178">
        <v>4623</v>
      </c>
      <c r="E178">
        <v>197</v>
      </c>
      <c r="F178" t="s">
        <v>44</v>
      </c>
    </row>
    <row r="179" spans="1:6" x14ac:dyDescent="0.3">
      <c r="A179" s="20">
        <v>45789</v>
      </c>
      <c r="B179">
        <v>18</v>
      </c>
      <c r="C179" t="s">
        <v>37</v>
      </c>
      <c r="D179">
        <v>17282</v>
      </c>
      <c r="E179">
        <v>634</v>
      </c>
      <c r="F179" t="s">
        <v>38</v>
      </c>
    </row>
    <row r="180" spans="1:6" x14ac:dyDescent="0.3">
      <c r="A180" s="20">
        <v>45789</v>
      </c>
      <c r="B180">
        <v>18</v>
      </c>
      <c r="C180" t="s">
        <v>235</v>
      </c>
      <c r="D180">
        <v>7969</v>
      </c>
      <c r="E180">
        <v>775</v>
      </c>
      <c r="F180" t="s">
        <v>234</v>
      </c>
    </row>
    <row r="181" spans="1:6" x14ac:dyDescent="0.3">
      <c r="A181" s="20">
        <v>45789</v>
      </c>
      <c r="B181">
        <v>19</v>
      </c>
      <c r="C181" t="s">
        <v>73</v>
      </c>
      <c r="D181">
        <v>0</v>
      </c>
      <c r="E181">
        <v>0</v>
      </c>
      <c r="F181" t="s">
        <v>39</v>
      </c>
    </row>
    <row r="182" spans="1:6" x14ac:dyDescent="0.3">
      <c r="A182" s="20">
        <v>45789</v>
      </c>
      <c r="B182">
        <v>19</v>
      </c>
      <c r="C182" t="s">
        <v>73</v>
      </c>
      <c r="D182">
        <v>0</v>
      </c>
      <c r="E182">
        <v>0</v>
      </c>
      <c r="F182" t="s">
        <v>43</v>
      </c>
    </row>
    <row r="183" spans="1:6" x14ac:dyDescent="0.3">
      <c r="A183" s="20">
        <v>45789</v>
      </c>
      <c r="B183">
        <v>19</v>
      </c>
      <c r="C183" t="s">
        <v>156</v>
      </c>
      <c r="D183">
        <v>10836</v>
      </c>
      <c r="E183">
        <v>1220</v>
      </c>
      <c r="F183" t="s">
        <v>45</v>
      </c>
    </row>
    <row r="184" spans="1:6" x14ac:dyDescent="0.3">
      <c r="A184" s="20">
        <v>45789</v>
      </c>
      <c r="B184">
        <v>19</v>
      </c>
      <c r="C184" t="s">
        <v>228</v>
      </c>
      <c r="D184">
        <v>637</v>
      </c>
      <c r="E184">
        <v>63</v>
      </c>
      <c r="F184" t="s">
        <v>43</v>
      </c>
    </row>
    <row r="185" spans="1:6" x14ac:dyDescent="0.3">
      <c r="A185" s="20">
        <v>45789</v>
      </c>
      <c r="B185">
        <v>19</v>
      </c>
      <c r="C185" t="s">
        <v>52</v>
      </c>
      <c r="D185">
        <v>38675</v>
      </c>
      <c r="E185">
        <v>1333</v>
      </c>
      <c r="F185" t="s">
        <v>31</v>
      </c>
    </row>
    <row r="186" spans="1:6" x14ac:dyDescent="0.3">
      <c r="A186" s="20">
        <v>45789</v>
      </c>
      <c r="B186">
        <v>19</v>
      </c>
      <c r="C186" t="s">
        <v>71</v>
      </c>
      <c r="D186">
        <v>1152</v>
      </c>
      <c r="E186">
        <v>140</v>
      </c>
      <c r="F186" t="s">
        <v>32</v>
      </c>
    </row>
    <row r="187" spans="1:6" x14ac:dyDescent="0.3">
      <c r="A187" s="20">
        <v>45789</v>
      </c>
      <c r="B187">
        <v>19</v>
      </c>
      <c r="C187" t="s">
        <v>71</v>
      </c>
      <c r="D187">
        <v>7999</v>
      </c>
      <c r="E187">
        <v>1065</v>
      </c>
      <c r="F187" t="s">
        <v>164</v>
      </c>
    </row>
    <row r="188" spans="1:6" x14ac:dyDescent="0.3">
      <c r="A188" s="20">
        <v>45789</v>
      </c>
      <c r="B188">
        <v>19</v>
      </c>
      <c r="C188" t="s">
        <v>233</v>
      </c>
      <c r="D188">
        <v>991</v>
      </c>
      <c r="E188">
        <v>162</v>
      </c>
      <c r="F188" t="s">
        <v>85</v>
      </c>
    </row>
    <row r="189" spans="1:6" x14ac:dyDescent="0.3">
      <c r="A189" s="20">
        <v>45789</v>
      </c>
      <c r="B189">
        <v>19</v>
      </c>
      <c r="C189" t="s">
        <v>155</v>
      </c>
      <c r="D189">
        <v>2</v>
      </c>
      <c r="E189">
        <v>0</v>
      </c>
      <c r="F189" t="s">
        <v>32</v>
      </c>
    </row>
    <row r="190" spans="1:6" x14ac:dyDescent="0.3">
      <c r="A190" s="20">
        <v>45789</v>
      </c>
      <c r="B190">
        <v>19</v>
      </c>
      <c r="C190" t="s">
        <v>250</v>
      </c>
      <c r="D190">
        <v>3930</v>
      </c>
      <c r="E190">
        <v>633</v>
      </c>
      <c r="F190" t="s">
        <v>252</v>
      </c>
    </row>
    <row r="191" spans="1:6" x14ac:dyDescent="0.3">
      <c r="A191" s="20">
        <v>45789</v>
      </c>
      <c r="B191">
        <v>19</v>
      </c>
      <c r="C191" t="s">
        <v>160</v>
      </c>
      <c r="D191">
        <v>66</v>
      </c>
      <c r="E191">
        <v>13</v>
      </c>
      <c r="F191" t="s">
        <v>234</v>
      </c>
    </row>
    <row r="192" spans="1:6" x14ac:dyDescent="0.3">
      <c r="A192" s="20">
        <v>45789</v>
      </c>
      <c r="B192">
        <v>19</v>
      </c>
      <c r="C192" t="s">
        <v>160</v>
      </c>
      <c r="D192">
        <v>248</v>
      </c>
      <c r="E192">
        <v>40</v>
      </c>
      <c r="F192" t="s">
        <v>45</v>
      </c>
    </row>
    <row r="193" spans="1:6" x14ac:dyDescent="0.3">
      <c r="A193" s="20">
        <v>45789</v>
      </c>
      <c r="B193">
        <v>19</v>
      </c>
      <c r="C193" t="s">
        <v>125</v>
      </c>
      <c r="D193">
        <v>108443</v>
      </c>
      <c r="E193">
        <v>4661</v>
      </c>
      <c r="F193" t="s">
        <v>38</v>
      </c>
    </row>
    <row r="194" spans="1:6" x14ac:dyDescent="0.3">
      <c r="A194" s="20">
        <v>45789</v>
      </c>
      <c r="B194">
        <v>19</v>
      </c>
      <c r="C194" t="s">
        <v>253</v>
      </c>
      <c r="D194">
        <v>1073</v>
      </c>
      <c r="E194">
        <v>236</v>
      </c>
      <c r="F194" t="s">
        <v>47</v>
      </c>
    </row>
    <row r="195" spans="1:6" x14ac:dyDescent="0.3">
      <c r="A195" s="20">
        <v>45789</v>
      </c>
      <c r="B195">
        <v>19</v>
      </c>
      <c r="C195" t="s">
        <v>235</v>
      </c>
      <c r="D195">
        <v>1982</v>
      </c>
      <c r="E195">
        <v>152</v>
      </c>
      <c r="F195" t="s">
        <v>229</v>
      </c>
    </row>
    <row r="196" spans="1:6" x14ac:dyDescent="0.3">
      <c r="A196" s="20">
        <v>45789</v>
      </c>
      <c r="B196">
        <v>20</v>
      </c>
      <c r="C196" t="s">
        <v>73</v>
      </c>
      <c r="D196">
        <v>0</v>
      </c>
      <c r="E196">
        <v>0</v>
      </c>
      <c r="F196" t="s">
        <v>31</v>
      </c>
    </row>
    <row r="197" spans="1:6" x14ac:dyDescent="0.3">
      <c r="A197" s="20">
        <v>45789</v>
      </c>
      <c r="B197">
        <v>20</v>
      </c>
      <c r="C197" t="s">
        <v>73</v>
      </c>
      <c r="D197">
        <v>0</v>
      </c>
      <c r="E197">
        <v>0</v>
      </c>
      <c r="F197" t="s">
        <v>161</v>
      </c>
    </row>
    <row r="198" spans="1:6" x14ac:dyDescent="0.3">
      <c r="A198" s="20">
        <v>45789</v>
      </c>
      <c r="B198">
        <v>20</v>
      </c>
      <c r="C198" t="s">
        <v>66</v>
      </c>
      <c r="D198">
        <v>35742</v>
      </c>
      <c r="E198">
        <v>1126</v>
      </c>
      <c r="F198" t="s">
        <v>31</v>
      </c>
    </row>
    <row r="199" spans="1:6" x14ac:dyDescent="0.3">
      <c r="A199" s="20">
        <v>45789</v>
      </c>
      <c r="B199">
        <v>20</v>
      </c>
      <c r="C199" t="s">
        <v>250</v>
      </c>
      <c r="D199">
        <v>31</v>
      </c>
      <c r="E199">
        <v>11</v>
      </c>
      <c r="F199" t="s">
        <v>34</v>
      </c>
    </row>
    <row r="200" spans="1:6" x14ac:dyDescent="0.3">
      <c r="A200" s="20">
        <v>45789</v>
      </c>
      <c r="B200">
        <v>20</v>
      </c>
      <c r="C200" t="s">
        <v>250</v>
      </c>
      <c r="D200">
        <v>53</v>
      </c>
      <c r="E200">
        <v>4</v>
      </c>
      <c r="F200" t="s">
        <v>75</v>
      </c>
    </row>
    <row r="201" spans="1:6" x14ac:dyDescent="0.3">
      <c r="A201" s="20">
        <v>45789</v>
      </c>
      <c r="B201">
        <v>20</v>
      </c>
      <c r="C201" t="s">
        <v>160</v>
      </c>
      <c r="D201">
        <v>2045</v>
      </c>
      <c r="E201">
        <v>65</v>
      </c>
      <c r="F201" t="s">
        <v>229</v>
      </c>
    </row>
    <row r="202" spans="1:6" x14ac:dyDescent="0.3">
      <c r="A202" s="20">
        <v>45789</v>
      </c>
      <c r="B202">
        <v>20</v>
      </c>
      <c r="C202" t="s">
        <v>51</v>
      </c>
      <c r="D202">
        <v>25864</v>
      </c>
      <c r="E202">
        <v>811</v>
      </c>
      <c r="F202" t="s">
        <v>38</v>
      </c>
    </row>
    <row r="203" spans="1:6" x14ac:dyDescent="0.3">
      <c r="A203" s="20">
        <v>45789</v>
      </c>
      <c r="B203">
        <v>20</v>
      </c>
      <c r="C203" t="s">
        <v>235</v>
      </c>
      <c r="D203">
        <v>2719</v>
      </c>
      <c r="E203">
        <v>338</v>
      </c>
      <c r="F203" t="s">
        <v>75</v>
      </c>
    </row>
    <row r="204" spans="1:6" x14ac:dyDescent="0.3">
      <c r="A204" s="20">
        <v>45789</v>
      </c>
      <c r="B204">
        <v>20</v>
      </c>
      <c r="C204" t="s">
        <v>258</v>
      </c>
      <c r="D204">
        <v>1268</v>
      </c>
      <c r="E204">
        <v>148</v>
      </c>
      <c r="F204" t="s">
        <v>229</v>
      </c>
    </row>
    <row r="205" spans="1:6" x14ac:dyDescent="0.3">
      <c r="A205" s="20">
        <v>45789</v>
      </c>
      <c r="B205">
        <v>8</v>
      </c>
      <c r="C205" t="s">
        <v>73</v>
      </c>
      <c r="D205">
        <v>0</v>
      </c>
      <c r="E205">
        <v>0</v>
      </c>
    </row>
    <row r="206" spans="1:6" x14ac:dyDescent="0.3">
      <c r="A206" s="20">
        <v>45789</v>
      </c>
      <c r="B206">
        <v>8</v>
      </c>
      <c r="C206" t="s">
        <v>73</v>
      </c>
      <c r="D206">
        <v>0</v>
      </c>
      <c r="E206">
        <v>0</v>
      </c>
      <c r="F206" t="s">
        <v>231</v>
      </c>
    </row>
    <row r="207" spans="1:6" x14ac:dyDescent="0.3">
      <c r="A207" s="20">
        <v>45789</v>
      </c>
      <c r="B207">
        <v>8</v>
      </c>
      <c r="C207" t="s">
        <v>73</v>
      </c>
      <c r="D207">
        <v>0</v>
      </c>
      <c r="E207">
        <v>0</v>
      </c>
      <c r="F207" t="s">
        <v>161</v>
      </c>
    </row>
    <row r="208" spans="1:6" x14ac:dyDescent="0.3">
      <c r="A208" s="20">
        <v>45789</v>
      </c>
      <c r="B208">
        <v>8</v>
      </c>
      <c r="C208" t="s">
        <v>228</v>
      </c>
      <c r="D208">
        <v>212</v>
      </c>
      <c r="E208">
        <v>35</v>
      </c>
      <c r="F208" t="s">
        <v>43</v>
      </c>
    </row>
    <row r="209" spans="1:6" x14ac:dyDescent="0.3">
      <c r="A209" s="20">
        <v>45789</v>
      </c>
      <c r="B209">
        <v>8</v>
      </c>
      <c r="C209" t="s">
        <v>66</v>
      </c>
      <c r="D209">
        <v>19537</v>
      </c>
      <c r="E209">
        <v>2277</v>
      </c>
      <c r="F209" t="s">
        <v>31</v>
      </c>
    </row>
    <row r="210" spans="1:6" x14ac:dyDescent="0.3">
      <c r="A210" s="20">
        <v>45789</v>
      </c>
      <c r="B210">
        <v>8</v>
      </c>
      <c r="C210" t="s">
        <v>230</v>
      </c>
      <c r="D210">
        <v>22207</v>
      </c>
      <c r="E210">
        <v>2454</v>
      </c>
      <c r="F210" t="s">
        <v>31</v>
      </c>
    </row>
    <row r="211" spans="1:6" x14ac:dyDescent="0.3">
      <c r="A211" s="20">
        <v>45789</v>
      </c>
      <c r="B211">
        <v>8</v>
      </c>
      <c r="C211" t="s">
        <v>53</v>
      </c>
      <c r="D211">
        <v>3835</v>
      </c>
      <c r="E211">
        <v>206</v>
      </c>
      <c r="F211" t="s">
        <v>31</v>
      </c>
    </row>
    <row r="212" spans="1:6" x14ac:dyDescent="0.3">
      <c r="A212" s="20">
        <v>45789</v>
      </c>
      <c r="B212">
        <v>8</v>
      </c>
      <c r="C212" t="s">
        <v>49</v>
      </c>
      <c r="D212">
        <v>23353</v>
      </c>
      <c r="E212">
        <v>685</v>
      </c>
      <c r="F212" t="s">
        <v>31</v>
      </c>
    </row>
    <row r="213" spans="1:6" x14ac:dyDescent="0.3">
      <c r="A213" s="20">
        <v>45789</v>
      </c>
      <c r="B213">
        <v>8</v>
      </c>
      <c r="C213" t="s">
        <v>233</v>
      </c>
      <c r="D213">
        <v>2478</v>
      </c>
      <c r="E213">
        <v>515</v>
      </c>
      <c r="F213" t="s">
        <v>85</v>
      </c>
    </row>
    <row r="214" spans="1:6" x14ac:dyDescent="0.3">
      <c r="A214" s="20">
        <v>45789</v>
      </c>
      <c r="B214">
        <v>8</v>
      </c>
      <c r="C214" t="s">
        <v>250</v>
      </c>
      <c r="D214">
        <v>109</v>
      </c>
      <c r="E214">
        <v>20</v>
      </c>
      <c r="F214" t="s">
        <v>34</v>
      </c>
    </row>
    <row r="215" spans="1:6" x14ac:dyDescent="0.3">
      <c r="A215" s="20">
        <v>45789</v>
      </c>
      <c r="B215">
        <v>8</v>
      </c>
      <c r="C215" t="s">
        <v>160</v>
      </c>
      <c r="D215">
        <v>1041</v>
      </c>
      <c r="E215">
        <v>197</v>
      </c>
      <c r="F215" t="s">
        <v>39</v>
      </c>
    </row>
    <row r="216" spans="1:6" x14ac:dyDescent="0.3">
      <c r="A216" s="20">
        <v>45789</v>
      </c>
      <c r="B216">
        <v>8</v>
      </c>
      <c r="C216" t="s">
        <v>160</v>
      </c>
      <c r="D216">
        <v>5779</v>
      </c>
      <c r="E216">
        <v>854</v>
      </c>
      <c r="F216" t="s">
        <v>229</v>
      </c>
    </row>
    <row r="217" spans="1:6" x14ac:dyDescent="0.3">
      <c r="A217" s="20">
        <v>45789</v>
      </c>
      <c r="B217">
        <v>8</v>
      </c>
      <c r="C217" t="s">
        <v>40</v>
      </c>
      <c r="D217">
        <v>96251</v>
      </c>
      <c r="E217">
        <v>5549</v>
      </c>
      <c r="F217" t="s">
        <v>38</v>
      </c>
    </row>
    <row r="218" spans="1:6" x14ac:dyDescent="0.3">
      <c r="A218" s="20">
        <v>45789</v>
      </c>
      <c r="B218">
        <v>8</v>
      </c>
      <c r="C218" t="s">
        <v>76</v>
      </c>
      <c r="D218">
        <v>72851</v>
      </c>
      <c r="E218">
        <v>3698</v>
      </c>
      <c r="F218" t="s">
        <v>38</v>
      </c>
    </row>
    <row r="219" spans="1:6" x14ac:dyDescent="0.3">
      <c r="A219" s="20">
        <v>45789</v>
      </c>
      <c r="B219">
        <v>8</v>
      </c>
      <c r="C219" t="s">
        <v>235</v>
      </c>
      <c r="D219">
        <v>16374</v>
      </c>
      <c r="E219">
        <v>2189</v>
      </c>
      <c r="F219" t="s">
        <v>75</v>
      </c>
    </row>
    <row r="220" spans="1:6" x14ac:dyDescent="0.3">
      <c r="A220" s="20">
        <v>45789</v>
      </c>
      <c r="B220">
        <v>8</v>
      </c>
      <c r="C220" t="s">
        <v>258</v>
      </c>
      <c r="D220">
        <v>8968</v>
      </c>
      <c r="E220">
        <v>828</v>
      </c>
      <c r="F220" t="s">
        <v>229</v>
      </c>
    </row>
    <row r="221" spans="1:6" x14ac:dyDescent="0.3">
      <c r="A221" s="20">
        <v>45789</v>
      </c>
      <c r="B221">
        <v>9</v>
      </c>
      <c r="C221" t="s">
        <v>73</v>
      </c>
      <c r="D221">
        <v>5</v>
      </c>
      <c r="E221">
        <v>5</v>
      </c>
      <c r="F221" t="s">
        <v>31</v>
      </c>
    </row>
    <row r="222" spans="1:6" x14ac:dyDescent="0.3">
      <c r="A222" s="20">
        <v>45789</v>
      </c>
      <c r="B222">
        <v>9</v>
      </c>
      <c r="C222" t="s">
        <v>156</v>
      </c>
      <c r="D222">
        <v>5961</v>
      </c>
      <c r="E222">
        <v>696</v>
      </c>
      <c r="F222" t="s">
        <v>229</v>
      </c>
    </row>
    <row r="223" spans="1:6" x14ac:dyDescent="0.3">
      <c r="A223" s="20">
        <v>45789</v>
      </c>
      <c r="B223">
        <v>9</v>
      </c>
      <c r="C223" t="s">
        <v>156</v>
      </c>
      <c r="D223">
        <v>78</v>
      </c>
      <c r="E223">
        <v>5</v>
      </c>
      <c r="F223" t="s">
        <v>33</v>
      </c>
    </row>
    <row r="224" spans="1:6" x14ac:dyDescent="0.3">
      <c r="A224" s="20">
        <v>45789</v>
      </c>
      <c r="B224">
        <v>9</v>
      </c>
      <c r="C224" t="s">
        <v>158</v>
      </c>
      <c r="D224">
        <v>28774</v>
      </c>
      <c r="E224">
        <v>869</v>
      </c>
      <c r="F224" t="s">
        <v>42</v>
      </c>
    </row>
    <row r="225" spans="1:6" x14ac:dyDescent="0.3">
      <c r="A225" s="20">
        <v>45789</v>
      </c>
      <c r="B225">
        <v>9</v>
      </c>
      <c r="C225" t="s">
        <v>35</v>
      </c>
      <c r="D225">
        <v>85</v>
      </c>
      <c r="E225">
        <v>10</v>
      </c>
      <c r="F225" t="s">
        <v>42</v>
      </c>
    </row>
    <row r="226" spans="1:6" x14ac:dyDescent="0.3">
      <c r="A226" s="20">
        <v>45789</v>
      </c>
      <c r="B226">
        <v>9</v>
      </c>
      <c r="C226" t="s">
        <v>50</v>
      </c>
      <c r="D226">
        <v>713</v>
      </c>
      <c r="E226">
        <v>220</v>
      </c>
      <c r="F226" t="s">
        <v>31</v>
      </c>
    </row>
    <row r="227" spans="1:6" x14ac:dyDescent="0.3">
      <c r="A227" s="20">
        <v>45789</v>
      </c>
      <c r="B227">
        <v>9</v>
      </c>
      <c r="C227" t="s">
        <v>247</v>
      </c>
      <c r="D227">
        <v>9865</v>
      </c>
      <c r="E227">
        <v>1314</v>
      </c>
      <c r="F227" t="s">
        <v>31</v>
      </c>
    </row>
    <row r="228" spans="1:6" x14ac:dyDescent="0.3">
      <c r="A228" s="20">
        <v>45789</v>
      </c>
      <c r="B228">
        <v>9</v>
      </c>
      <c r="C228" t="s">
        <v>254</v>
      </c>
      <c r="D228">
        <v>14844</v>
      </c>
      <c r="E228">
        <v>2104</v>
      </c>
      <c r="F228" t="s">
        <v>31</v>
      </c>
    </row>
    <row r="229" spans="1:6" x14ac:dyDescent="0.3">
      <c r="A229" s="20">
        <v>45789</v>
      </c>
      <c r="B229">
        <v>9</v>
      </c>
      <c r="C229" t="s">
        <v>152</v>
      </c>
      <c r="D229">
        <v>3605</v>
      </c>
      <c r="E229">
        <v>466</v>
      </c>
      <c r="F229" t="s">
        <v>138</v>
      </c>
    </row>
    <row r="230" spans="1:6" x14ac:dyDescent="0.3">
      <c r="A230" s="20">
        <v>45789</v>
      </c>
      <c r="B230">
        <v>9</v>
      </c>
      <c r="C230" t="s">
        <v>232</v>
      </c>
      <c r="D230">
        <v>5471</v>
      </c>
      <c r="E230">
        <v>353</v>
      </c>
      <c r="F230" t="s">
        <v>74</v>
      </c>
    </row>
    <row r="231" spans="1:6" x14ac:dyDescent="0.3">
      <c r="A231" s="20">
        <v>45789</v>
      </c>
      <c r="B231">
        <v>9</v>
      </c>
      <c r="C231" t="s">
        <v>232</v>
      </c>
      <c r="D231">
        <v>17435</v>
      </c>
      <c r="E231">
        <v>2925</v>
      </c>
      <c r="F231" t="s">
        <v>229</v>
      </c>
    </row>
    <row r="232" spans="1:6" x14ac:dyDescent="0.3">
      <c r="A232" s="20">
        <v>45789</v>
      </c>
      <c r="B232">
        <v>9</v>
      </c>
      <c r="C232" t="s">
        <v>233</v>
      </c>
      <c r="D232">
        <v>15266</v>
      </c>
      <c r="E232">
        <v>2214</v>
      </c>
      <c r="F232" t="s">
        <v>34</v>
      </c>
    </row>
    <row r="233" spans="1:6" x14ac:dyDescent="0.3">
      <c r="A233" s="20">
        <v>45789</v>
      </c>
      <c r="B233">
        <v>9</v>
      </c>
      <c r="C233" t="s">
        <v>261</v>
      </c>
      <c r="D233">
        <v>19789</v>
      </c>
      <c r="E233">
        <v>2337</v>
      </c>
      <c r="F233" t="s">
        <v>31</v>
      </c>
    </row>
    <row r="234" spans="1:6" x14ac:dyDescent="0.3">
      <c r="A234" s="20">
        <v>45789</v>
      </c>
      <c r="B234">
        <v>9</v>
      </c>
      <c r="C234" t="s">
        <v>250</v>
      </c>
      <c r="D234">
        <v>129</v>
      </c>
      <c r="E234">
        <v>14</v>
      </c>
      <c r="F234" t="s">
        <v>74</v>
      </c>
    </row>
    <row r="235" spans="1:6" x14ac:dyDescent="0.3">
      <c r="A235" s="20">
        <v>45789</v>
      </c>
      <c r="B235">
        <v>9</v>
      </c>
      <c r="C235" t="s">
        <v>250</v>
      </c>
      <c r="D235">
        <v>138</v>
      </c>
      <c r="E235">
        <v>22</v>
      </c>
      <c r="F235" t="s">
        <v>257</v>
      </c>
    </row>
    <row r="236" spans="1:6" x14ac:dyDescent="0.3">
      <c r="A236" s="20">
        <v>45789</v>
      </c>
      <c r="B236">
        <v>9</v>
      </c>
      <c r="C236" t="s">
        <v>160</v>
      </c>
      <c r="D236">
        <v>405</v>
      </c>
      <c r="E236">
        <v>93</v>
      </c>
      <c r="F236" t="s">
        <v>32</v>
      </c>
    </row>
    <row r="237" spans="1:6" x14ac:dyDescent="0.3">
      <c r="A237" s="20">
        <v>45789</v>
      </c>
      <c r="B237">
        <v>9</v>
      </c>
      <c r="C237" t="s">
        <v>160</v>
      </c>
      <c r="D237">
        <v>494</v>
      </c>
      <c r="E237">
        <v>90</v>
      </c>
      <c r="F237" t="s">
        <v>74</v>
      </c>
    </row>
    <row r="238" spans="1:6" x14ac:dyDescent="0.3">
      <c r="A238" s="20">
        <v>45789</v>
      </c>
      <c r="B238">
        <v>9</v>
      </c>
      <c r="C238" t="s">
        <v>55</v>
      </c>
      <c r="D238">
        <v>86383</v>
      </c>
      <c r="E238">
        <v>5512</v>
      </c>
      <c r="F238" t="s">
        <v>38</v>
      </c>
    </row>
    <row r="239" spans="1:6" x14ac:dyDescent="0.3">
      <c r="A239" s="20">
        <v>45789</v>
      </c>
      <c r="B239">
        <v>10</v>
      </c>
      <c r="C239" t="s">
        <v>73</v>
      </c>
      <c r="D239">
        <v>0</v>
      </c>
      <c r="E239">
        <v>0</v>
      </c>
      <c r="F239" t="s">
        <v>86</v>
      </c>
    </row>
    <row r="240" spans="1:6" x14ac:dyDescent="0.3">
      <c r="A240" s="20">
        <v>45789</v>
      </c>
      <c r="B240">
        <v>10</v>
      </c>
      <c r="C240" t="s">
        <v>73</v>
      </c>
      <c r="D240">
        <v>0</v>
      </c>
      <c r="E240">
        <v>0</v>
      </c>
      <c r="F240" t="s">
        <v>45</v>
      </c>
    </row>
    <row r="241" spans="1:6" x14ac:dyDescent="0.3">
      <c r="A241" s="20">
        <v>45789</v>
      </c>
      <c r="B241">
        <v>10</v>
      </c>
      <c r="C241" t="s">
        <v>73</v>
      </c>
      <c r="D241">
        <v>0</v>
      </c>
      <c r="E241">
        <v>0</v>
      </c>
      <c r="F241" t="s">
        <v>43</v>
      </c>
    </row>
    <row r="242" spans="1:6" x14ac:dyDescent="0.3">
      <c r="A242" s="20">
        <v>45789</v>
      </c>
      <c r="B242">
        <v>10</v>
      </c>
      <c r="C242" t="s">
        <v>156</v>
      </c>
      <c r="D242">
        <v>8386</v>
      </c>
      <c r="E242">
        <v>1766</v>
      </c>
      <c r="F242" t="s">
        <v>45</v>
      </c>
    </row>
    <row r="243" spans="1:6" x14ac:dyDescent="0.3">
      <c r="A243" s="20">
        <v>45789</v>
      </c>
      <c r="B243">
        <v>10</v>
      </c>
      <c r="C243" t="s">
        <v>228</v>
      </c>
      <c r="D243">
        <v>23880</v>
      </c>
      <c r="E243">
        <v>3469</v>
      </c>
      <c r="F243" t="s">
        <v>231</v>
      </c>
    </row>
    <row r="244" spans="1:6" x14ac:dyDescent="0.3">
      <c r="A244" s="20">
        <v>45789</v>
      </c>
      <c r="B244">
        <v>10</v>
      </c>
      <c r="C244" t="s">
        <v>228</v>
      </c>
      <c r="D244">
        <v>166</v>
      </c>
      <c r="E244">
        <v>35</v>
      </c>
      <c r="F244" t="s">
        <v>72</v>
      </c>
    </row>
    <row r="245" spans="1:6" x14ac:dyDescent="0.3">
      <c r="A245" s="20">
        <v>45789</v>
      </c>
      <c r="B245">
        <v>10</v>
      </c>
      <c r="C245" t="s">
        <v>159</v>
      </c>
      <c r="D245">
        <v>32740</v>
      </c>
      <c r="E245">
        <v>1650</v>
      </c>
      <c r="F245" t="s">
        <v>31</v>
      </c>
    </row>
    <row r="246" spans="1:6" x14ac:dyDescent="0.3">
      <c r="A246" s="20">
        <v>45789</v>
      </c>
      <c r="B246">
        <v>10</v>
      </c>
      <c r="C246" t="s">
        <v>157</v>
      </c>
      <c r="D246">
        <v>17059</v>
      </c>
      <c r="E246">
        <v>4464</v>
      </c>
      <c r="F246" t="s">
        <v>31</v>
      </c>
    </row>
    <row r="247" spans="1:6" x14ac:dyDescent="0.3">
      <c r="A247" s="20">
        <v>45789</v>
      </c>
      <c r="B247">
        <v>10</v>
      </c>
      <c r="C247" t="s">
        <v>139</v>
      </c>
      <c r="D247">
        <v>31131</v>
      </c>
      <c r="E247">
        <v>954</v>
      </c>
      <c r="F247" t="s">
        <v>46</v>
      </c>
    </row>
    <row r="248" spans="1:6" x14ac:dyDescent="0.3">
      <c r="A248" s="20">
        <v>45789</v>
      </c>
      <c r="B248">
        <v>10</v>
      </c>
      <c r="C248" t="s">
        <v>238</v>
      </c>
      <c r="D248">
        <v>17459</v>
      </c>
      <c r="E248">
        <v>1642</v>
      </c>
      <c r="F248" t="s">
        <v>32</v>
      </c>
    </row>
    <row r="249" spans="1:6" x14ac:dyDescent="0.3">
      <c r="A249" s="20">
        <v>45789</v>
      </c>
      <c r="B249">
        <v>10</v>
      </c>
      <c r="C249" t="s">
        <v>255</v>
      </c>
      <c r="D249">
        <v>13451</v>
      </c>
      <c r="E249">
        <v>1965</v>
      </c>
      <c r="F249" t="s">
        <v>39</v>
      </c>
    </row>
    <row r="250" spans="1:6" x14ac:dyDescent="0.3">
      <c r="A250" s="20">
        <v>45789</v>
      </c>
      <c r="B250">
        <v>10</v>
      </c>
      <c r="C250" t="s">
        <v>155</v>
      </c>
      <c r="D250">
        <v>98</v>
      </c>
      <c r="E250">
        <v>66</v>
      </c>
      <c r="F250" t="s">
        <v>32</v>
      </c>
    </row>
    <row r="251" spans="1:6" x14ac:dyDescent="0.3">
      <c r="A251" s="20">
        <v>45789</v>
      </c>
      <c r="B251">
        <v>10</v>
      </c>
      <c r="C251" t="s">
        <v>155</v>
      </c>
      <c r="D251">
        <v>0</v>
      </c>
      <c r="E251">
        <v>0</v>
      </c>
      <c r="F251" t="s">
        <v>33</v>
      </c>
    </row>
    <row r="252" spans="1:6" x14ac:dyDescent="0.3">
      <c r="A252" s="20">
        <v>45789</v>
      </c>
      <c r="B252">
        <v>10</v>
      </c>
      <c r="C252" t="s">
        <v>250</v>
      </c>
      <c r="D252">
        <v>23</v>
      </c>
      <c r="E252">
        <v>4</v>
      </c>
      <c r="F252" t="s">
        <v>85</v>
      </c>
    </row>
    <row r="253" spans="1:6" x14ac:dyDescent="0.3">
      <c r="A253" s="20">
        <v>45789</v>
      </c>
      <c r="B253">
        <v>10</v>
      </c>
      <c r="C253" t="s">
        <v>250</v>
      </c>
      <c r="D253">
        <v>6966</v>
      </c>
      <c r="E253">
        <v>1014</v>
      </c>
      <c r="F253" t="s">
        <v>252</v>
      </c>
    </row>
    <row r="254" spans="1:6" x14ac:dyDescent="0.3">
      <c r="A254" s="20">
        <v>45789</v>
      </c>
      <c r="B254">
        <v>10</v>
      </c>
      <c r="C254" t="s">
        <v>165</v>
      </c>
      <c r="D254">
        <v>6</v>
      </c>
      <c r="E254">
        <v>6</v>
      </c>
      <c r="F254" t="s">
        <v>38</v>
      </c>
    </row>
    <row r="255" spans="1:6" x14ac:dyDescent="0.3">
      <c r="A255" s="20">
        <v>45789</v>
      </c>
      <c r="B255">
        <v>10</v>
      </c>
      <c r="C255" t="s">
        <v>40</v>
      </c>
      <c r="D255">
        <v>5580</v>
      </c>
      <c r="E255">
        <v>537</v>
      </c>
    </row>
    <row r="256" spans="1:6" x14ac:dyDescent="0.3">
      <c r="A256" s="20">
        <v>45789</v>
      </c>
      <c r="B256">
        <v>10</v>
      </c>
      <c r="C256" t="s">
        <v>251</v>
      </c>
      <c r="D256">
        <v>2768</v>
      </c>
      <c r="E256">
        <v>278</v>
      </c>
      <c r="F256" t="s">
        <v>47</v>
      </c>
    </row>
    <row r="257" spans="1:6" x14ac:dyDescent="0.3">
      <c r="A257" s="20">
        <v>45789</v>
      </c>
      <c r="B257">
        <v>10</v>
      </c>
      <c r="C257" t="s">
        <v>235</v>
      </c>
      <c r="D257">
        <v>2430</v>
      </c>
      <c r="E257">
        <v>304</v>
      </c>
      <c r="F257" t="s">
        <v>229</v>
      </c>
    </row>
    <row r="258" spans="1:6" x14ac:dyDescent="0.3">
      <c r="A258" s="20">
        <v>45789</v>
      </c>
      <c r="B258">
        <v>11</v>
      </c>
      <c r="C258" t="s">
        <v>73</v>
      </c>
      <c r="D258">
        <v>0</v>
      </c>
      <c r="E258">
        <v>0</v>
      </c>
      <c r="F258" t="s">
        <v>231</v>
      </c>
    </row>
    <row r="259" spans="1:6" x14ac:dyDescent="0.3">
      <c r="A259" s="20">
        <v>45789</v>
      </c>
      <c r="B259">
        <v>11</v>
      </c>
      <c r="C259" t="s">
        <v>73</v>
      </c>
      <c r="D259">
        <v>0</v>
      </c>
      <c r="E259">
        <v>0</v>
      </c>
      <c r="F259" t="s">
        <v>161</v>
      </c>
    </row>
    <row r="260" spans="1:6" x14ac:dyDescent="0.3">
      <c r="A260" s="20">
        <v>45789</v>
      </c>
      <c r="B260">
        <v>11</v>
      </c>
      <c r="C260" t="s">
        <v>73</v>
      </c>
      <c r="D260">
        <v>0</v>
      </c>
      <c r="E260">
        <v>0</v>
      </c>
      <c r="F260" t="s">
        <v>72</v>
      </c>
    </row>
    <row r="261" spans="1:6" x14ac:dyDescent="0.3">
      <c r="A261" s="20">
        <v>45789</v>
      </c>
      <c r="B261">
        <v>11</v>
      </c>
      <c r="C261" t="s">
        <v>66</v>
      </c>
      <c r="D261">
        <v>19248</v>
      </c>
      <c r="E261">
        <v>2324</v>
      </c>
      <c r="F261" t="s">
        <v>31</v>
      </c>
    </row>
    <row r="262" spans="1:6" x14ac:dyDescent="0.3">
      <c r="A262" s="20">
        <v>45789</v>
      </c>
      <c r="B262">
        <v>11</v>
      </c>
      <c r="C262" t="s">
        <v>230</v>
      </c>
      <c r="D262">
        <v>31555</v>
      </c>
      <c r="E262">
        <v>3284</v>
      </c>
      <c r="F262" t="s">
        <v>31</v>
      </c>
    </row>
    <row r="263" spans="1:6" x14ac:dyDescent="0.3">
      <c r="A263" s="20">
        <v>45789</v>
      </c>
      <c r="B263">
        <v>11</v>
      </c>
      <c r="C263" t="s">
        <v>244</v>
      </c>
      <c r="D263">
        <v>47970</v>
      </c>
      <c r="E263">
        <v>5731</v>
      </c>
      <c r="F263" t="s">
        <v>31</v>
      </c>
    </row>
    <row r="264" spans="1:6" x14ac:dyDescent="0.3">
      <c r="A264" s="20">
        <v>45789</v>
      </c>
      <c r="B264">
        <v>11</v>
      </c>
      <c r="C264" t="s">
        <v>53</v>
      </c>
      <c r="D264">
        <v>2042</v>
      </c>
      <c r="E264">
        <v>76</v>
      </c>
      <c r="F264" t="s">
        <v>31</v>
      </c>
    </row>
    <row r="265" spans="1:6" x14ac:dyDescent="0.3">
      <c r="A265" s="20">
        <v>45789</v>
      </c>
      <c r="B265">
        <v>11</v>
      </c>
      <c r="C265" t="s">
        <v>152</v>
      </c>
      <c r="D265">
        <v>7363</v>
      </c>
      <c r="E265">
        <v>828</v>
      </c>
      <c r="F265" t="s">
        <v>252</v>
      </c>
    </row>
    <row r="266" spans="1:6" x14ac:dyDescent="0.3">
      <c r="A266" s="20">
        <v>45789</v>
      </c>
      <c r="B266">
        <v>11</v>
      </c>
      <c r="C266" t="s">
        <v>238</v>
      </c>
      <c r="D266">
        <v>8718</v>
      </c>
      <c r="E266">
        <v>1053</v>
      </c>
      <c r="F266" t="s">
        <v>47</v>
      </c>
    </row>
    <row r="267" spans="1:6" x14ac:dyDescent="0.3">
      <c r="A267" s="20">
        <v>45789</v>
      </c>
      <c r="B267">
        <v>11</v>
      </c>
      <c r="C267" t="s">
        <v>250</v>
      </c>
      <c r="D267">
        <v>94</v>
      </c>
      <c r="E267">
        <v>22</v>
      </c>
      <c r="F267" t="s">
        <v>34</v>
      </c>
    </row>
    <row r="268" spans="1:6" x14ac:dyDescent="0.3">
      <c r="A268" s="20">
        <v>45789</v>
      </c>
      <c r="B268">
        <v>11</v>
      </c>
      <c r="C268" t="s">
        <v>160</v>
      </c>
      <c r="D268">
        <v>1165</v>
      </c>
      <c r="E268">
        <v>218</v>
      </c>
      <c r="F268" t="s">
        <v>39</v>
      </c>
    </row>
    <row r="269" spans="1:6" x14ac:dyDescent="0.3">
      <c r="A269" s="20">
        <v>45789</v>
      </c>
      <c r="B269">
        <v>11</v>
      </c>
      <c r="C269" t="s">
        <v>160</v>
      </c>
      <c r="D269">
        <v>3137</v>
      </c>
      <c r="E269">
        <v>457</v>
      </c>
      <c r="F269" t="s">
        <v>229</v>
      </c>
    </row>
    <row r="270" spans="1:6" x14ac:dyDescent="0.3">
      <c r="A270" s="20">
        <v>45789</v>
      </c>
      <c r="B270">
        <v>11</v>
      </c>
      <c r="C270" t="s">
        <v>126</v>
      </c>
      <c r="D270">
        <v>45</v>
      </c>
      <c r="E270">
        <v>45</v>
      </c>
      <c r="F270" t="s">
        <v>38</v>
      </c>
    </row>
    <row r="271" spans="1:6" x14ac:dyDescent="0.3">
      <c r="A271" s="20">
        <v>45789</v>
      </c>
      <c r="B271">
        <v>11</v>
      </c>
      <c r="C271" t="s">
        <v>40</v>
      </c>
      <c r="D271">
        <v>99804</v>
      </c>
      <c r="E271">
        <v>6133</v>
      </c>
      <c r="F271" t="s">
        <v>38</v>
      </c>
    </row>
    <row r="272" spans="1:6" x14ac:dyDescent="0.3">
      <c r="A272" s="20">
        <v>45789</v>
      </c>
      <c r="B272">
        <v>11</v>
      </c>
      <c r="C272" t="s">
        <v>76</v>
      </c>
      <c r="D272">
        <v>94795</v>
      </c>
      <c r="E272">
        <v>4730</v>
      </c>
      <c r="F272" t="s">
        <v>38</v>
      </c>
    </row>
    <row r="273" spans="1:6" x14ac:dyDescent="0.3">
      <c r="A273" s="20">
        <v>45789</v>
      </c>
      <c r="B273">
        <v>11</v>
      </c>
      <c r="C273" t="s">
        <v>235</v>
      </c>
      <c r="D273">
        <v>17544</v>
      </c>
      <c r="E273">
        <v>3038</v>
      </c>
      <c r="F273" t="s">
        <v>75</v>
      </c>
    </row>
    <row r="274" spans="1:6" x14ac:dyDescent="0.3">
      <c r="A274" s="20">
        <v>45789</v>
      </c>
      <c r="B274">
        <v>11</v>
      </c>
      <c r="C274" t="s">
        <v>258</v>
      </c>
      <c r="D274">
        <v>4950</v>
      </c>
      <c r="E274">
        <v>811</v>
      </c>
      <c r="F274" t="s">
        <v>229</v>
      </c>
    </row>
    <row r="275" spans="1:6" x14ac:dyDescent="0.3">
      <c r="A275" s="20">
        <v>45789</v>
      </c>
      <c r="B275">
        <v>12</v>
      </c>
      <c r="C275" t="s">
        <v>156</v>
      </c>
      <c r="D275">
        <v>7576</v>
      </c>
      <c r="E275">
        <v>816</v>
      </c>
      <c r="F275" t="s">
        <v>229</v>
      </c>
    </row>
    <row r="276" spans="1:6" x14ac:dyDescent="0.3">
      <c r="A276" s="20">
        <v>45789</v>
      </c>
      <c r="B276">
        <v>12</v>
      </c>
      <c r="C276" t="s">
        <v>158</v>
      </c>
      <c r="D276">
        <v>28249</v>
      </c>
      <c r="E276">
        <v>644</v>
      </c>
      <c r="F276" t="s">
        <v>42</v>
      </c>
    </row>
    <row r="277" spans="1:6" x14ac:dyDescent="0.3">
      <c r="A277" s="20">
        <v>45789</v>
      </c>
      <c r="B277">
        <v>12</v>
      </c>
      <c r="C277" t="s">
        <v>236</v>
      </c>
      <c r="D277">
        <v>64277</v>
      </c>
      <c r="E277">
        <v>6982</v>
      </c>
      <c r="F277" t="s">
        <v>31</v>
      </c>
    </row>
    <row r="278" spans="1:6" x14ac:dyDescent="0.3">
      <c r="A278" s="20">
        <v>45789</v>
      </c>
      <c r="B278">
        <v>12</v>
      </c>
      <c r="C278" t="s">
        <v>35</v>
      </c>
      <c r="D278">
        <v>81</v>
      </c>
      <c r="E278">
        <v>7</v>
      </c>
      <c r="F278" t="s">
        <v>42</v>
      </c>
    </row>
    <row r="279" spans="1:6" x14ac:dyDescent="0.3">
      <c r="A279" s="20">
        <v>45789</v>
      </c>
      <c r="B279">
        <v>12</v>
      </c>
      <c r="C279" t="s">
        <v>237</v>
      </c>
      <c r="D279">
        <v>18085</v>
      </c>
      <c r="E279">
        <v>2223</v>
      </c>
      <c r="F279" t="s">
        <v>31</v>
      </c>
    </row>
    <row r="280" spans="1:6" x14ac:dyDescent="0.3">
      <c r="A280" s="20">
        <v>45789</v>
      </c>
      <c r="B280">
        <v>12</v>
      </c>
      <c r="C280" t="s">
        <v>50</v>
      </c>
      <c r="D280">
        <v>484</v>
      </c>
      <c r="E280">
        <v>104</v>
      </c>
      <c r="F280" t="s">
        <v>31</v>
      </c>
    </row>
    <row r="281" spans="1:6" x14ac:dyDescent="0.3">
      <c r="A281" s="20">
        <v>45789</v>
      </c>
      <c r="B281">
        <v>12</v>
      </c>
      <c r="C281" t="s">
        <v>247</v>
      </c>
      <c r="D281">
        <v>10411</v>
      </c>
      <c r="E281">
        <v>1392</v>
      </c>
      <c r="F281" t="s">
        <v>31</v>
      </c>
    </row>
    <row r="282" spans="1:6" x14ac:dyDescent="0.3">
      <c r="A282" s="20">
        <v>45789</v>
      </c>
      <c r="B282">
        <v>12</v>
      </c>
      <c r="C282" t="s">
        <v>254</v>
      </c>
      <c r="D282">
        <v>14354</v>
      </c>
      <c r="E282">
        <v>2012</v>
      </c>
      <c r="F282" t="s">
        <v>31</v>
      </c>
    </row>
    <row r="283" spans="1:6" x14ac:dyDescent="0.3">
      <c r="A283" s="20">
        <v>45789</v>
      </c>
      <c r="B283">
        <v>12</v>
      </c>
      <c r="C283" t="s">
        <v>232</v>
      </c>
      <c r="D283">
        <v>7006</v>
      </c>
      <c r="E283">
        <v>642</v>
      </c>
      <c r="F283" t="s">
        <v>74</v>
      </c>
    </row>
    <row r="284" spans="1:6" x14ac:dyDescent="0.3">
      <c r="A284" s="20">
        <v>45789</v>
      </c>
      <c r="B284">
        <v>12</v>
      </c>
      <c r="C284" t="s">
        <v>232</v>
      </c>
      <c r="D284">
        <v>22085</v>
      </c>
      <c r="E284">
        <v>3878</v>
      </c>
      <c r="F284" t="s">
        <v>229</v>
      </c>
    </row>
    <row r="285" spans="1:6" x14ac:dyDescent="0.3">
      <c r="A285" s="20">
        <v>45789</v>
      </c>
      <c r="B285">
        <v>12</v>
      </c>
      <c r="C285" t="s">
        <v>261</v>
      </c>
      <c r="D285">
        <v>21699</v>
      </c>
      <c r="E285">
        <v>2893</v>
      </c>
      <c r="F285" t="s">
        <v>31</v>
      </c>
    </row>
    <row r="286" spans="1:6" x14ac:dyDescent="0.3">
      <c r="A286" s="20">
        <v>45789</v>
      </c>
      <c r="B286">
        <v>12</v>
      </c>
      <c r="C286" t="s">
        <v>256</v>
      </c>
      <c r="D286">
        <v>12298</v>
      </c>
      <c r="E286">
        <v>262</v>
      </c>
      <c r="F286" t="s">
        <v>163</v>
      </c>
    </row>
    <row r="287" spans="1:6" x14ac:dyDescent="0.3">
      <c r="A287" s="20">
        <v>45789</v>
      </c>
      <c r="B287">
        <v>12</v>
      </c>
      <c r="C287" t="s">
        <v>250</v>
      </c>
      <c r="D287">
        <v>100</v>
      </c>
      <c r="E287">
        <v>7</v>
      </c>
      <c r="F287" t="s">
        <v>74</v>
      </c>
    </row>
    <row r="288" spans="1:6" x14ac:dyDescent="0.3">
      <c r="A288" s="20">
        <v>45789</v>
      </c>
      <c r="B288">
        <v>12</v>
      </c>
      <c r="C288" t="s">
        <v>250</v>
      </c>
      <c r="D288">
        <v>322</v>
      </c>
      <c r="E288">
        <v>57</v>
      </c>
      <c r="F288" t="s">
        <v>257</v>
      </c>
    </row>
    <row r="289" spans="1:6" x14ac:dyDescent="0.3">
      <c r="A289" s="20">
        <v>45789</v>
      </c>
      <c r="B289">
        <v>12</v>
      </c>
      <c r="C289" t="s">
        <v>160</v>
      </c>
      <c r="D289">
        <v>264</v>
      </c>
      <c r="E289">
        <v>67</v>
      </c>
      <c r="F289" t="s">
        <v>32</v>
      </c>
    </row>
    <row r="290" spans="1:6" x14ac:dyDescent="0.3">
      <c r="A290" s="20">
        <v>45789</v>
      </c>
      <c r="B290">
        <v>12</v>
      </c>
      <c r="C290" t="s">
        <v>160</v>
      </c>
      <c r="D290">
        <v>366</v>
      </c>
      <c r="E290">
        <v>62</v>
      </c>
      <c r="F290" t="s">
        <v>74</v>
      </c>
    </row>
    <row r="291" spans="1:6" x14ac:dyDescent="0.3">
      <c r="A291" s="20">
        <v>45789</v>
      </c>
      <c r="B291">
        <v>12</v>
      </c>
      <c r="C291" t="s">
        <v>160</v>
      </c>
      <c r="D291">
        <v>66</v>
      </c>
      <c r="E291">
        <v>11</v>
      </c>
      <c r="F291" t="s">
        <v>138</v>
      </c>
    </row>
    <row r="292" spans="1:6" x14ac:dyDescent="0.3">
      <c r="A292" s="20">
        <v>45789</v>
      </c>
      <c r="B292">
        <v>12</v>
      </c>
      <c r="C292" t="s">
        <v>124</v>
      </c>
      <c r="D292">
        <v>85156</v>
      </c>
      <c r="E292">
        <v>4663</v>
      </c>
      <c r="F292" t="s">
        <v>38</v>
      </c>
    </row>
    <row r="293" spans="1:6" x14ac:dyDescent="0.3">
      <c r="A293" s="20">
        <v>45789</v>
      </c>
      <c r="B293">
        <v>12</v>
      </c>
      <c r="C293" t="s">
        <v>55</v>
      </c>
      <c r="D293">
        <v>86746</v>
      </c>
      <c r="E293">
        <v>4868</v>
      </c>
      <c r="F293" t="s">
        <v>38</v>
      </c>
    </row>
    <row r="294" spans="1:6" x14ac:dyDescent="0.3">
      <c r="A294" s="20">
        <v>45789</v>
      </c>
      <c r="B294">
        <v>13</v>
      </c>
      <c r="C294" t="s">
        <v>73</v>
      </c>
      <c r="D294">
        <v>0</v>
      </c>
      <c r="E294">
        <v>0</v>
      </c>
      <c r="F294" t="s">
        <v>86</v>
      </c>
    </row>
    <row r="295" spans="1:6" x14ac:dyDescent="0.3">
      <c r="A295" s="20">
        <v>45789</v>
      </c>
      <c r="B295">
        <v>13</v>
      </c>
      <c r="C295" t="s">
        <v>73</v>
      </c>
      <c r="D295">
        <v>0</v>
      </c>
      <c r="E295">
        <v>0</v>
      </c>
      <c r="F295" t="s">
        <v>234</v>
      </c>
    </row>
    <row r="296" spans="1:6" x14ac:dyDescent="0.3">
      <c r="A296" s="20">
        <v>45789</v>
      </c>
      <c r="B296">
        <v>13</v>
      </c>
      <c r="C296" t="s">
        <v>73</v>
      </c>
      <c r="D296">
        <v>0</v>
      </c>
      <c r="E296">
        <v>0</v>
      </c>
      <c r="F296" t="s">
        <v>45</v>
      </c>
    </row>
    <row r="297" spans="1:6" x14ac:dyDescent="0.3">
      <c r="A297" s="20">
        <v>45789</v>
      </c>
      <c r="B297">
        <v>13</v>
      </c>
      <c r="C297" t="s">
        <v>73</v>
      </c>
      <c r="D297">
        <v>0</v>
      </c>
      <c r="E297">
        <v>0</v>
      </c>
      <c r="F297" t="s">
        <v>43</v>
      </c>
    </row>
    <row r="298" spans="1:6" x14ac:dyDescent="0.3">
      <c r="A298" s="20">
        <v>45789</v>
      </c>
      <c r="B298">
        <v>13</v>
      </c>
      <c r="C298" t="s">
        <v>156</v>
      </c>
      <c r="D298">
        <v>10835</v>
      </c>
      <c r="E298">
        <v>1870</v>
      </c>
      <c r="F298" t="s">
        <v>45</v>
      </c>
    </row>
    <row r="299" spans="1:6" x14ac:dyDescent="0.3">
      <c r="A299" s="20">
        <v>45789</v>
      </c>
      <c r="B299">
        <v>13</v>
      </c>
      <c r="C299" t="s">
        <v>156</v>
      </c>
      <c r="D299">
        <v>12552</v>
      </c>
      <c r="E299">
        <v>1692</v>
      </c>
      <c r="F299" t="s">
        <v>43</v>
      </c>
    </row>
    <row r="300" spans="1:6" x14ac:dyDescent="0.3">
      <c r="A300" s="20">
        <v>45789</v>
      </c>
      <c r="B300">
        <v>13</v>
      </c>
      <c r="C300" t="s">
        <v>228</v>
      </c>
      <c r="D300">
        <v>21912</v>
      </c>
      <c r="E300">
        <v>2775</v>
      </c>
      <c r="F300" t="s">
        <v>231</v>
      </c>
    </row>
    <row r="301" spans="1:6" x14ac:dyDescent="0.3">
      <c r="A301" s="20">
        <v>45789</v>
      </c>
      <c r="B301">
        <v>13</v>
      </c>
      <c r="C301" t="s">
        <v>228</v>
      </c>
      <c r="D301">
        <v>158</v>
      </c>
      <c r="E301">
        <v>33</v>
      </c>
      <c r="F301" t="s">
        <v>72</v>
      </c>
    </row>
    <row r="302" spans="1:6" x14ac:dyDescent="0.3">
      <c r="A302" s="20">
        <v>45789</v>
      </c>
      <c r="B302">
        <v>13</v>
      </c>
      <c r="C302" t="s">
        <v>159</v>
      </c>
      <c r="D302">
        <v>29850</v>
      </c>
      <c r="E302">
        <v>1379</v>
      </c>
      <c r="F302" t="s">
        <v>31</v>
      </c>
    </row>
    <row r="303" spans="1:6" x14ac:dyDescent="0.3">
      <c r="A303" s="20">
        <v>45789</v>
      </c>
      <c r="B303">
        <v>13</v>
      </c>
      <c r="C303" t="s">
        <v>157</v>
      </c>
      <c r="D303">
        <v>16569</v>
      </c>
      <c r="E303">
        <v>4351</v>
      </c>
      <c r="F303" t="s">
        <v>31</v>
      </c>
    </row>
    <row r="304" spans="1:6" x14ac:dyDescent="0.3">
      <c r="A304" s="20">
        <v>45789</v>
      </c>
      <c r="B304">
        <v>13</v>
      </c>
      <c r="C304" t="s">
        <v>139</v>
      </c>
      <c r="D304">
        <v>17088</v>
      </c>
      <c r="E304">
        <v>430</v>
      </c>
      <c r="F304" t="s">
        <v>46</v>
      </c>
    </row>
    <row r="305" spans="1:6" x14ac:dyDescent="0.3">
      <c r="A305" s="20">
        <v>45789</v>
      </c>
      <c r="B305">
        <v>13</v>
      </c>
      <c r="C305" t="s">
        <v>243</v>
      </c>
      <c r="D305">
        <v>10490</v>
      </c>
      <c r="E305">
        <v>955</v>
      </c>
      <c r="F305" t="s">
        <v>31</v>
      </c>
    </row>
    <row r="306" spans="1:6" x14ac:dyDescent="0.3">
      <c r="A306" s="20">
        <v>45789</v>
      </c>
      <c r="B306">
        <v>13</v>
      </c>
      <c r="C306" t="s">
        <v>233</v>
      </c>
      <c r="D306">
        <v>6431</v>
      </c>
      <c r="E306">
        <v>581</v>
      </c>
      <c r="F306" t="s">
        <v>39</v>
      </c>
    </row>
    <row r="307" spans="1:6" x14ac:dyDescent="0.3">
      <c r="A307" s="20">
        <v>45789</v>
      </c>
      <c r="B307">
        <v>13</v>
      </c>
      <c r="C307" t="s">
        <v>155</v>
      </c>
      <c r="D307">
        <v>81</v>
      </c>
      <c r="E307">
        <v>47</v>
      </c>
      <c r="F307" t="s">
        <v>32</v>
      </c>
    </row>
    <row r="308" spans="1:6" x14ac:dyDescent="0.3">
      <c r="A308" s="20">
        <v>45789</v>
      </c>
      <c r="B308">
        <v>13</v>
      </c>
      <c r="C308" t="s">
        <v>250</v>
      </c>
      <c r="D308">
        <v>32</v>
      </c>
      <c r="E308">
        <v>5</v>
      </c>
      <c r="F308" t="s">
        <v>85</v>
      </c>
    </row>
    <row r="309" spans="1:6" x14ac:dyDescent="0.3">
      <c r="A309" s="20">
        <v>45789</v>
      </c>
      <c r="B309">
        <v>13</v>
      </c>
      <c r="C309" t="s">
        <v>160</v>
      </c>
      <c r="D309">
        <v>1</v>
      </c>
      <c r="E309">
        <v>1</v>
      </c>
      <c r="F309" t="s">
        <v>77</v>
      </c>
    </row>
    <row r="310" spans="1:6" x14ac:dyDescent="0.3">
      <c r="A310" s="20">
        <v>45789</v>
      </c>
      <c r="B310">
        <v>13</v>
      </c>
      <c r="C310" t="s">
        <v>165</v>
      </c>
      <c r="D310">
        <v>7</v>
      </c>
      <c r="E310">
        <v>7</v>
      </c>
      <c r="F310" t="s">
        <v>38</v>
      </c>
    </row>
    <row r="311" spans="1:6" x14ac:dyDescent="0.3">
      <c r="A311" s="20">
        <v>45789</v>
      </c>
      <c r="B311">
        <v>13</v>
      </c>
      <c r="C311" t="s">
        <v>81</v>
      </c>
      <c r="D311">
        <v>89238</v>
      </c>
      <c r="E311">
        <v>3937</v>
      </c>
      <c r="F311" t="s">
        <v>38</v>
      </c>
    </row>
    <row r="312" spans="1:6" x14ac:dyDescent="0.3">
      <c r="A312" s="20">
        <v>45789</v>
      </c>
      <c r="B312">
        <v>13</v>
      </c>
      <c r="C312" t="s">
        <v>251</v>
      </c>
      <c r="D312">
        <v>2957</v>
      </c>
      <c r="E312">
        <v>223</v>
      </c>
      <c r="F312" t="s">
        <v>47</v>
      </c>
    </row>
    <row r="313" spans="1:6" x14ac:dyDescent="0.3">
      <c r="A313" s="20">
        <v>45789</v>
      </c>
      <c r="B313">
        <v>13</v>
      </c>
      <c r="C313" t="s">
        <v>251</v>
      </c>
      <c r="D313">
        <v>4774</v>
      </c>
      <c r="E313">
        <v>691</v>
      </c>
      <c r="F313" t="s">
        <v>44</v>
      </c>
    </row>
    <row r="314" spans="1:6" x14ac:dyDescent="0.3">
      <c r="A314" s="20">
        <v>45789</v>
      </c>
      <c r="B314">
        <v>13</v>
      </c>
      <c r="C314" t="s">
        <v>235</v>
      </c>
      <c r="D314">
        <v>2139</v>
      </c>
      <c r="E314">
        <v>222</v>
      </c>
      <c r="F314" t="s">
        <v>229</v>
      </c>
    </row>
    <row r="315" spans="1:6" x14ac:dyDescent="0.3">
      <c r="A315" s="20">
        <v>45789</v>
      </c>
      <c r="B315">
        <v>14</v>
      </c>
      <c r="C315" t="s">
        <v>73</v>
      </c>
      <c r="D315">
        <v>0</v>
      </c>
      <c r="E315">
        <v>0</v>
      </c>
      <c r="F315" t="s">
        <v>163</v>
      </c>
    </row>
    <row r="316" spans="1:6" x14ac:dyDescent="0.3">
      <c r="A316" s="20">
        <v>45789</v>
      </c>
      <c r="B316">
        <v>14</v>
      </c>
      <c r="C316" t="s">
        <v>73</v>
      </c>
      <c r="D316">
        <v>0</v>
      </c>
      <c r="E316">
        <v>0</v>
      </c>
      <c r="F316" t="s">
        <v>161</v>
      </c>
    </row>
    <row r="317" spans="1:6" x14ac:dyDescent="0.3">
      <c r="A317" s="20">
        <v>45789</v>
      </c>
      <c r="B317">
        <v>14</v>
      </c>
      <c r="C317" t="s">
        <v>73</v>
      </c>
      <c r="D317">
        <v>0</v>
      </c>
      <c r="E317">
        <v>0</v>
      </c>
      <c r="F317" t="s">
        <v>72</v>
      </c>
    </row>
    <row r="318" spans="1:6" x14ac:dyDescent="0.3">
      <c r="A318" s="20">
        <v>45789</v>
      </c>
      <c r="B318">
        <v>14</v>
      </c>
      <c r="C318" t="s">
        <v>67</v>
      </c>
      <c r="D318">
        <v>3042</v>
      </c>
      <c r="E318">
        <v>106</v>
      </c>
      <c r="F318" t="s">
        <v>42</v>
      </c>
    </row>
    <row r="319" spans="1:6" x14ac:dyDescent="0.3">
      <c r="A319" s="20">
        <v>45789</v>
      </c>
      <c r="B319">
        <v>14</v>
      </c>
      <c r="C319" t="s">
        <v>241</v>
      </c>
      <c r="D319">
        <v>10960</v>
      </c>
      <c r="E319">
        <v>710</v>
      </c>
      <c r="F319" t="s">
        <v>31</v>
      </c>
    </row>
    <row r="320" spans="1:6" x14ac:dyDescent="0.3">
      <c r="A320" s="20">
        <v>45789</v>
      </c>
      <c r="B320">
        <v>14</v>
      </c>
      <c r="C320" t="s">
        <v>66</v>
      </c>
      <c r="D320">
        <v>15586</v>
      </c>
      <c r="E320">
        <v>1425</v>
      </c>
      <c r="F320" t="s">
        <v>31</v>
      </c>
    </row>
    <row r="321" spans="1:6" x14ac:dyDescent="0.3">
      <c r="A321" s="20">
        <v>45789</v>
      </c>
      <c r="B321">
        <v>14</v>
      </c>
      <c r="C321" t="s">
        <v>244</v>
      </c>
      <c r="D321">
        <v>47058</v>
      </c>
      <c r="E321">
        <v>4405</v>
      </c>
      <c r="F321" t="s">
        <v>31</v>
      </c>
    </row>
    <row r="322" spans="1:6" x14ac:dyDescent="0.3">
      <c r="A322" s="20">
        <v>45789</v>
      </c>
      <c r="B322">
        <v>14</v>
      </c>
      <c r="C322" t="s">
        <v>152</v>
      </c>
      <c r="D322">
        <v>9624</v>
      </c>
      <c r="E322">
        <v>1116</v>
      </c>
      <c r="F322" t="s">
        <v>252</v>
      </c>
    </row>
    <row r="323" spans="1:6" x14ac:dyDescent="0.3">
      <c r="A323" s="20">
        <v>45789</v>
      </c>
      <c r="B323">
        <v>14</v>
      </c>
      <c r="C323" t="s">
        <v>238</v>
      </c>
      <c r="D323">
        <v>8318</v>
      </c>
      <c r="E323">
        <v>1044</v>
      </c>
      <c r="F323" t="s">
        <v>47</v>
      </c>
    </row>
    <row r="324" spans="1:6" x14ac:dyDescent="0.3">
      <c r="A324" s="20">
        <v>45789</v>
      </c>
      <c r="B324">
        <v>14</v>
      </c>
      <c r="C324" t="s">
        <v>238</v>
      </c>
      <c r="D324">
        <v>2324</v>
      </c>
      <c r="E324">
        <v>310</v>
      </c>
      <c r="F324" t="s">
        <v>44</v>
      </c>
    </row>
    <row r="325" spans="1:6" x14ac:dyDescent="0.3">
      <c r="A325" s="20">
        <v>45789</v>
      </c>
      <c r="B325">
        <v>14</v>
      </c>
      <c r="C325" t="s">
        <v>250</v>
      </c>
      <c r="D325">
        <v>137</v>
      </c>
      <c r="E325">
        <v>26</v>
      </c>
      <c r="F325" t="s">
        <v>34</v>
      </c>
    </row>
    <row r="326" spans="1:6" x14ac:dyDescent="0.3">
      <c r="A326" s="20">
        <v>45789</v>
      </c>
      <c r="B326">
        <v>14</v>
      </c>
      <c r="C326" t="s">
        <v>160</v>
      </c>
      <c r="D326">
        <v>1159</v>
      </c>
      <c r="E326">
        <v>191</v>
      </c>
      <c r="F326" t="s">
        <v>39</v>
      </c>
    </row>
    <row r="327" spans="1:6" x14ac:dyDescent="0.3">
      <c r="A327" s="20">
        <v>45789</v>
      </c>
      <c r="B327">
        <v>14</v>
      </c>
      <c r="C327" t="s">
        <v>160</v>
      </c>
      <c r="D327">
        <v>5399</v>
      </c>
      <c r="E327">
        <v>991</v>
      </c>
      <c r="F327" t="s">
        <v>231</v>
      </c>
    </row>
    <row r="328" spans="1:6" x14ac:dyDescent="0.3">
      <c r="A328" s="20">
        <v>45789</v>
      </c>
      <c r="B328">
        <v>14</v>
      </c>
      <c r="C328" t="s">
        <v>126</v>
      </c>
      <c r="D328">
        <v>35</v>
      </c>
      <c r="E328">
        <v>35</v>
      </c>
      <c r="F328" t="s">
        <v>38</v>
      </c>
    </row>
    <row r="329" spans="1:6" x14ac:dyDescent="0.3">
      <c r="A329" s="20">
        <v>45789</v>
      </c>
      <c r="B329">
        <v>14</v>
      </c>
      <c r="C329" t="s">
        <v>40</v>
      </c>
      <c r="D329">
        <v>108586</v>
      </c>
      <c r="E329">
        <v>5716</v>
      </c>
      <c r="F329" t="s">
        <v>38</v>
      </c>
    </row>
    <row r="330" spans="1:6" x14ac:dyDescent="0.3">
      <c r="A330" s="20">
        <v>45789</v>
      </c>
      <c r="B330">
        <v>14</v>
      </c>
      <c r="C330" t="s">
        <v>76</v>
      </c>
      <c r="D330">
        <v>87299</v>
      </c>
      <c r="E330">
        <v>3889</v>
      </c>
      <c r="F330" t="s">
        <v>38</v>
      </c>
    </row>
    <row r="331" spans="1:6" x14ac:dyDescent="0.3">
      <c r="A331" s="20">
        <v>45789</v>
      </c>
      <c r="B331">
        <v>14</v>
      </c>
      <c r="C331" t="s">
        <v>235</v>
      </c>
      <c r="D331">
        <v>14607</v>
      </c>
      <c r="E331">
        <v>2516</v>
      </c>
      <c r="F331" t="s">
        <v>75</v>
      </c>
    </row>
    <row r="332" spans="1:6" x14ac:dyDescent="0.3">
      <c r="A332" s="20">
        <v>45789</v>
      </c>
      <c r="B332">
        <v>15</v>
      </c>
      <c r="C332" t="s">
        <v>158</v>
      </c>
      <c r="D332">
        <v>22105</v>
      </c>
      <c r="E332">
        <v>560</v>
      </c>
      <c r="F332" t="s">
        <v>42</v>
      </c>
    </row>
    <row r="333" spans="1:6" x14ac:dyDescent="0.3">
      <c r="A333" s="20">
        <v>45789</v>
      </c>
      <c r="B333">
        <v>15</v>
      </c>
      <c r="C333" t="s">
        <v>236</v>
      </c>
      <c r="D333">
        <v>52063</v>
      </c>
      <c r="E333">
        <v>5516</v>
      </c>
      <c r="F333" t="s">
        <v>31</v>
      </c>
    </row>
    <row r="334" spans="1:6" x14ac:dyDescent="0.3">
      <c r="A334" s="20">
        <v>45789</v>
      </c>
      <c r="B334">
        <v>15</v>
      </c>
      <c r="C334" t="s">
        <v>35</v>
      </c>
      <c r="D334">
        <v>98</v>
      </c>
      <c r="E334">
        <v>11</v>
      </c>
      <c r="F334" t="s">
        <v>42</v>
      </c>
    </row>
    <row r="335" spans="1:6" x14ac:dyDescent="0.3">
      <c r="A335" s="20">
        <v>45789</v>
      </c>
      <c r="B335">
        <v>15</v>
      </c>
      <c r="C335" t="s">
        <v>54</v>
      </c>
      <c r="D335">
        <v>112</v>
      </c>
      <c r="E335">
        <v>19</v>
      </c>
      <c r="F335" t="s">
        <v>31</v>
      </c>
    </row>
    <row r="336" spans="1:6" x14ac:dyDescent="0.3">
      <c r="A336" s="20">
        <v>45789</v>
      </c>
      <c r="B336">
        <v>15</v>
      </c>
      <c r="C336" t="s">
        <v>237</v>
      </c>
      <c r="D336">
        <v>16454</v>
      </c>
      <c r="E336">
        <v>2023</v>
      </c>
      <c r="F336" t="s">
        <v>31</v>
      </c>
    </row>
    <row r="337" spans="1:6" x14ac:dyDescent="0.3">
      <c r="A337" s="20">
        <v>45789</v>
      </c>
      <c r="B337">
        <v>15</v>
      </c>
      <c r="C337" t="s">
        <v>49</v>
      </c>
      <c r="D337">
        <v>16159</v>
      </c>
      <c r="E337">
        <v>1484</v>
      </c>
      <c r="F337" t="s">
        <v>42</v>
      </c>
    </row>
    <row r="338" spans="1:6" x14ac:dyDescent="0.3">
      <c r="A338" s="20">
        <v>45789</v>
      </c>
      <c r="B338">
        <v>15</v>
      </c>
      <c r="C338" t="s">
        <v>245</v>
      </c>
      <c r="D338">
        <v>70555</v>
      </c>
      <c r="E338">
        <v>9391</v>
      </c>
      <c r="F338" t="s">
        <v>31</v>
      </c>
    </row>
    <row r="339" spans="1:6" x14ac:dyDescent="0.3">
      <c r="A339" s="20">
        <v>45789</v>
      </c>
      <c r="B339">
        <v>15</v>
      </c>
      <c r="C339" t="s">
        <v>254</v>
      </c>
      <c r="D339">
        <v>9601</v>
      </c>
      <c r="E339">
        <v>1085</v>
      </c>
      <c r="F339" t="s">
        <v>31</v>
      </c>
    </row>
    <row r="340" spans="1:6" x14ac:dyDescent="0.3">
      <c r="A340" s="20">
        <v>45789</v>
      </c>
      <c r="B340">
        <v>15</v>
      </c>
      <c r="C340" t="s">
        <v>232</v>
      </c>
      <c r="D340">
        <v>3718</v>
      </c>
      <c r="E340">
        <v>208</v>
      </c>
      <c r="F340" t="s">
        <v>74</v>
      </c>
    </row>
    <row r="341" spans="1:6" x14ac:dyDescent="0.3">
      <c r="A341" s="20">
        <v>45789</v>
      </c>
      <c r="B341">
        <v>15</v>
      </c>
      <c r="C341" t="s">
        <v>256</v>
      </c>
      <c r="D341">
        <v>11463</v>
      </c>
      <c r="E341">
        <v>206</v>
      </c>
      <c r="F341" t="s">
        <v>163</v>
      </c>
    </row>
    <row r="342" spans="1:6" x14ac:dyDescent="0.3">
      <c r="A342" s="20">
        <v>45789</v>
      </c>
      <c r="B342">
        <v>15</v>
      </c>
      <c r="C342" t="s">
        <v>160</v>
      </c>
      <c r="D342">
        <v>240</v>
      </c>
      <c r="E342">
        <v>48</v>
      </c>
      <c r="F342" t="s">
        <v>32</v>
      </c>
    </row>
    <row r="343" spans="1:6" x14ac:dyDescent="0.3">
      <c r="A343" s="20">
        <v>45789</v>
      </c>
      <c r="B343">
        <v>15</v>
      </c>
      <c r="C343" t="s">
        <v>160</v>
      </c>
      <c r="D343">
        <v>314</v>
      </c>
      <c r="E343">
        <v>65</v>
      </c>
      <c r="F343" t="s">
        <v>74</v>
      </c>
    </row>
    <row r="344" spans="1:6" x14ac:dyDescent="0.3">
      <c r="A344" s="20">
        <v>45789</v>
      </c>
      <c r="B344">
        <v>15</v>
      </c>
      <c r="C344" t="s">
        <v>160</v>
      </c>
      <c r="D344">
        <v>53</v>
      </c>
      <c r="E344">
        <v>6</v>
      </c>
      <c r="F344" t="s">
        <v>138</v>
      </c>
    </row>
    <row r="345" spans="1:6" x14ac:dyDescent="0.3">
      <c r="A345" s="20">
        <v>45789</v>
      </c>
      <c r="B345">
        <v>15</v>
      </c>
      <c r="C345" t="s">
        <v>124</v>
      </c>
      <c r="D345">
        <v>73574</v>
      </c>
      <c r="E345">
        <v>3435</v>
      </c>
      <c r="F345" t="s">
        <v>38</v>
      </c>
    </row>
    <row r="346" spans="1:6" x14ac:dyDescent="0.3">
      <c r="A346" s="20">
        <v>45789</v>
      </c>
      <c r="B346">
        <v>15</v>
      </c>
      <c r="C346" t="s">
        <v>55</v>
      </c>
      <c r="D346">
        <v>95212</v>
      </c>
      <c r="E346">
        <v>4383</v>
      </c>
      <c r="F346" t="s">
        <v>38</v>
      </c>
    </row>
    <row r="347" spans="1:6" x14ac:dyDescent="0.3">
      <c r="A347" s="20">
        <v>45789</v>
      </c>
      <c r="B347">
        <v>16</v>
      </c>
      <c r="C347" t="s">
        <v>73</v>
      </c>
      <c r="D347">
        <v>0</v>
      </c>
      <c r="E347">
        <v>0</v>
      </c>
      <c r="F347" t="s">
        <v>86</v>
      </c>
    </row>
    <row r="348" spans="1:6" x14ac:dyDescent="0.3">
      <c r="A348" s="20">
        <v>45789</v>
      </c>
      <c r="B348">
        <v>16</v>
      </c>
      <c r="C348" t="s">
        <v>73</v>
      </c>
      <c r="D348">
        <v>0</v>
      </c>
      <c r="E348">
        <v>0</v>
      </c>
      <c r="F348" t="s">
        <v>234</v>
      </c>
    </row>
    <row r="349" spans="1:6" x14ac:dyDescent="0.3">
      <c r="A349" s="20">
        <v>45789</v>
      </c>
      <c r="B349">
        <v>16</v>
      </c>
      <c r="C349" t="s">
        <v>73</v>
      </c>
      <c r="D349">
        <v>0</v>
      </c>
      <c r="E349">
        <v>0</v>
      </c>
      <c r="F349" t="s">
        <v>45</v>
      </c>
    </row>
    <row r="350" spans="1:6" x14ac:dyDescent="0.3">
      <c r="A350" s="20">
        <v>45789</v>
      </c>
      <c r="B350">
        <v>16</v>
      </c>
      <c r="C350" t="s">
        <v>156</v>
      </c>
      <c r="D350">
        <v>11788</v>
      </c>
      <c r="E350">
        <v>1878</v>
      </c>
      <c r="F350" t="s">
        <v>45</v>
      </c>
    </row>
    <row r="351" spans="1:6" x14ac:dyDescent="0.3">
      <c r="A351" s="20">
        <v>45789</v>
      </c>
      <c r="B351">
        <v>16</v>
      </c>
      <c r="C351" t="s">
        <v>156</v>
      </c>
      <c r="D351">
        <v>11899</v>
      </c>
      <c r="E351">
        <v>1359</v>
      </c>
      <c r="F351" t="s">
        <v>43</v>
      </c>
    </row>
    <row r="352" spans="1:6" x14ac:dyDescent="0.3">
      <c r="A352" s="20">
        <v>45789</v>
      </c>
      <c r="B352">
        <v>16</v>
      </c>
      <c r="C352" t="s">
        <v>228</v>
      </c>
      <c r="D352">
        <v>24475</v>
      </c>
      <c r="E352">
        <v>3159</v>
      </c>
      <c r="F352" t="s">
        <v>231</v>
      </c>
    </row>
    <row r="353" spans="1:6" x14ac:dyDescent="0.3">
      <c r="A353" s="20">
        <v>45789</v>
      </c>
      <c r="B353">
        <v>16</v>
      </c>
      <c r="C353" t="s">
        <v>228</v>
      </c>
      <c r="D353">
        <v>101</v>
      </c>
      <c r="E353">
        <v>23</v>
      </c>
      <c r="F353" t="s">
        <v>72</v>
      </c>
    </row>
    <row r="354" spans="1:6" x14ac:dyDescent="0.3">
      <c r="A354" s="20">
        <v>45789</v>
      </c>
      <c r="B354">
        <v>16</v>
      </c>
      <c r="C354" t="s">
        <v>159</v>
      </c>
      <c r="D354">
        <v>22304</v>
      </c>
      <c r="E354">
        <v>855</v>
      </c>
      <c r="F354" t="s">
        <v>31</v>
      </c>
    </row>
    <row r="355" spans="1:6" x14ac:dyDescent="0.3">
      <c r="A355" s="20">
        <v>45789</v>
      </c>
      <c r="B355">
        <v>16</v>
      </c>
      <c r="C355" t="s">
        <v>157</v>
      </c>
      <c r="D355">
        <v>14375</v>
      </c>
      <c r="E355">
        <v>3996</v>
      </c>
      <c r="F355" t="s">
        <v>31</v>
      </c>
    </row>
    <row r="356" spans="1:6" x14ac:dyDescent="0.3">
      <c r="A356" s="20">
        <v>45789</v>
      </c>
      <c r="B356">
        <v>16</v>
      </c>
      <c r="C356" t="s">
        <v>139</v>
      </c>
      <c r="D356">
        <v>28105</v>
      </c>
      <c r="E356">
        <v>945</v>
      </c>
      <c r="F356" t="s">
        <v>46</v>
      </c>
    </row>
    <row r="357" spans="1:6" x14ac:dyDescent="0.3">
      <c r="A357" s="20">
        <v>45789</v>
      </c>
      <c r="B357">
        <v>16</v>
      </c>
      <c r="C357" t="s">
        <v>246</v>
      </c>
      <c r="D357">
        <v>51392</v>
      </c>
      <c r="E357">
        <v>6422</v>
      </c>
      <c r="F357" t="s">
        <v>31</v>
      </c>
    </row>
    <row r="358" spans="1:6" x14ac:dyDescent="0.3">
      <c r="A358" s="20">
        <v>45789</v>
      </c>
      <c r="B358">
        <v>16</v>
      </c>
      <c r="C358" t="s">
        <v>243</v>
      </c>
      <c r="D358">
        <v>11892</v>
      </c>
      <c r="E358">
        <v>1083</v>
      </c>
      <c r="F358" t="s">
        <v>31</v>
      </c>
    </row>
    <row r="359" spans="1:6" x14ac:dyDescent="0.3">
      <c r="A359" s="20">
        <v>45789</v>
      </c>
      <c r="B359">
        <v>16</v>
      </c>
      <c r="C359" t="s">
        <v>233</v>
      </c>
      <c r="D359">
        <v>4602</v>
      </c>
      <c r="E359">
        <v>434</v>
      </c>
      <c r="F359" t="s">
        <v>39</v>
      </c>
    </row>
    <row r="360" spans="1:6" x14ac:dyDescent="0.3">
      <c r="A360" s="20">
        <v>45789</v>
      </c>
      <c r="B360">
        <v>16</v>
      </c>
      <c r="C360" t="s">
        <v>155</v>
      </c>
      <c r="D360">
        <v>238</v>
      </c>
      <c r="E360">
        <v>81</v>
      </c>
      <c r="F360" t="s">
        <v>229</v>
      </c>
    </row>
    <row r="361" spans="1:6" x14ac:dyDescent="0.3">
      <c r="A361" s="20">
        <v>45789</v>
      </c>
      <c r="B361">
        <v>16</v>
      </c>
      <c r="C361" t="s">
        <v>160</v>
      </c>
      <c r="D361">
        <v>133</v>
      </c>
      <c r="E361">
        <v>31</v>
      </c>
      <c r="F361" t="s">
        <v>43</v>
      </c>
    </row>
    <row r="362" spans="1:6" x14ac:dyDescent="0.3">
      <c r="A362" s="20">
        <v>45789</v>
      </c>
      <c r="B362">
        <v>16</v>
      </c>
      <c r="C362" t="s">
        <v>81</v>
      </c>
      <c r="D362">
        <v>85395</v>
      </c>
      <c r="E362">
        <v>3300</v>
      </c>
      <c r="F362" t="s">
        <v>38</v>
      </c>
    </row>
    <row r="363" spans="1:6" x14ac:dyDescent="0.3">
      <c r="A363" s="20">
        <v>45789</v>
      </c>
      <c r="B363">
        <v>16</v>
      </c>
      <c r="C363" t="s">
        <v>251</v>
      </c>
      <c r="D363">
        <v>2780</v>
      </c>
      <c r="E363">
        <v>265</v>
      </c>
      <c r="F363" t="s">
        <v>47</v>
      </c>
    </row>
    <row r="364" spans="1:6" x14ac:dyDescent="0.3">
      <c r="A364" s="20">
        <v>45789</v>
      </c>
      <c r="B364">
        <v>16</v>
      </c>
      <c r="C364" t="s">
        <v>251</v>
      </c>
      <c r="D364">
        <v>3646</v>
      </c>
      <c r="E364">
        <v>511</v>
      </c>
      <c r="F364" t="s">
        <v>44</v>
      </c>
    </row>
    <row r="365" spans="1:6" x14ac:dyDescent="0.3">
      <c r="A365" s="20">
        <v>45789</v>
      </c>
      <c r="B365">
        <v>17</v>
      </c>
      <c r="C365" t="s">
        <v>73</v>
      </c>
      <c r="D365">
        <v>0</v>
      </c>
      <c r="E365">
        <v>0</v>
      </c>
      <c r="F365" t="s">
        <v>163</v>
      </c>
    </row>
    <row r="366" spans="1:6" x14ac:dyDescent="0.3">
      <c r="A366" s="20">
        <v>45789</v>
      </c>
      <c r="B366">
        <v>17</v>
      </c>
      <c r="C366" t="s">
        <v>73</v>
      </c>
      <c r="D366">
        <v>0</v>
      </c>
      <c r="E366">
        <v>0</v>
      </c>
      <c r="F366" t="s">
        <v>72</v>
      </c>
    </row>
    <row r="367" spans="1:6" x14ac:dyDescent="0.3">
      <c r="A367" s="20">
        <v>45789</v>
      </c>
      <c r="B367">
        <v>17</v>
      </c>
      <c r="C367" t="s">
        <v>67</v>
      </c>
      <c r="D367">
        <v>1200</v>
      </c>
      <c r="E367">
        <v>35</v>
      </c>
      <c r="F367" t="s">
        <v>42</v>
      </c>
    </row>
    <row r="368" spans="1:6" x14ac:dyDescent="0.3">
      <c r="A368" s="20">
        <v>45789</v>
      </c>
      <c r="B368">
        <v>17</v>
      </c>
      <c r="C368" t="s">
        <v>241</v>
      </c>
      <c r="D368">
        <v>5951</v>
      </c>
      <c r="E368">
        <v>412</v>
      </c>
      <c r="F368" t="s">
        <v>31</v>
      </c>
    </row>
    <row r="369" spans="1:6" x14ac:dyDescent="0.3">
      <c r="A369" s="20">
        <v>45789</v>
      </c>
      <c r="B369">
        <v>17</v>
      </c>
      <c r="C369" t="s">
        <v>244</v>
      </c>
      <c r="D369">
        <v>45776</v>
      </c>
      <c r="E369">
        <v>4210</v>
      </c>
      <c r="F369" t="s">
        <v>31</v>
      </c>
    </row>
    <row r="370" spans="1:6" x14ac:dyDescent="0.3">
      <c r="A370" s="20">
        <v>45789</v>
      </c>
      <c r="B370">
        <v>17</v>
      </c>
      <c r="C370" t="s">
        <v>152</v>
      </c>
      <c r="D370">
        <v>5835</v>
      </c>
      <c r="E370">
        <v>872</v>
      </c>
      <c r="F370" t="s">
        <v>252</v>
      </c>
    </row>
    <row r="371" spans="1:6" x14ac:dyDescent="0.3">
      <c r="A371" s="20">
        <v>45789</v>
      </c>
      <c r="B371">
        <v>17</v>
      </c>
      <c r="C371" t="s">
        <v>232</v>
      </c>
      <c r="D371">
        <v>197</v>
      </c>
      <c r="E371">
        <v>11</v>
      </c>
      <c r="F371" t="s">
        <v>68</v>
      </c>
    </row>
    <row r="372" spans="1:6" x14ac:dyDescent="0.3">
      <c r="A372" s="20">
        <v>45789</v>
      </c>
      <c r="B372">
        <v>17</v>
      </c>
      <c r="C372" t="s">
        <v>238</v>
      </c>
      <c r="D372">
        <v>8470</v>
      </c>
      <c r="E372">
        <v>1153</v>
      </c>
      <c r="F372" t="s">
        <v>47</v>
      </c>
    </row>
    <row r="373" spans="1:6" x14ac:dyDescent="0.3">
      <c r="A373" s="20">
        <v>45789</v>
      </c>
      <c r="B373">
        <v>17</v>
      </c>
      <c r="C373" t="s">
        <v>238</v>
      </c>
      <c r="D373">
        <v>2727</v>
      </c>
      <c r="E373">
        <v>384</v>
      </c>
      <c r="F373" t="s">
        <v>44</v>
      </c>
    </row>
    <row r="374" spans="1:6" x14ac:dyDescent="0.3">
      <c r="A374" s="20">
        <v>45789</v>
      </c>
      <c r="B374">
        <v>17</v>
      </c>
      <c r="C374" t="s">
        <v>160</v>
      </c>
      <c r="D374">
        <v>987</v>
      </c>
      <c r="E374">
        <v>202</v>
      </c>
      <c r="F374" t="s">
        <v>39</v>
      </c>
    </row>
    <row r="375" spans="1:6" x14ac:dyDescent="0.3">
      <c r="A375" s="20">
        <v>45789</v>
      </c>
      <c r="B375">
        <v>17</v>
      </c>
      <c r="C375" t="s">
        <v>160</v>
      </c>
      <c r="D375">
        <v>1</v>
      </c>
      <c r="E375">
        <v>0</v>
      </c>
      <c r="F375" t="s">
        <v>68</v>
      </c>
    </row>
    <row r="376" spans="1:6" x14ac:dyDescent="0.3">
      <c r="A376" s="20">
        <v>45789</v>
      </c>
      <c r="B376">
        <v>17</v>
      </c>
      <c r="C376" t="s">
        <v>160</v>
      </c>
      <c r="D376">
        <v>3556</v>
      </c>
      <c r="E376">
        <v>698</v>
      </c>
      <c r="F376" t="s">
        <v>231</v>
      </c>
    </row>
    <row r="377" spans="1:6" x14ac:dyDescent="0.3">
      <c r="A377" s="20">
        <v>45789</v>
      </c>
      <c r="B377">
        <v>17</v>
      </c>
      <c r="C377" t="s">
        <v>160</v>
      </c>
      <c r="D377">
        <v>78</v>
      </c>
      <c r="E377">
        <v>6</v>
      </c>
      <c r="F377" t="s">
        <v>161</v>
      </c>
    </row>
    <row r="378" spans="1:6" x14ac:dyDescent="0.3">
      <c r="A378" s="20">
        <v>45789</v>
      </c>
      <c r="B378">
        <v>17</v>
      </c>
      <c r="C378" t="s">
        <v>126</v>
      </c>
      <c r="D378">
        <v>8</v>
      </c>
      <c r="E378">
        <v>8</v>
      </c>
      <c r="F378" t="s">
        <v>38</v>
      </c>
    </row>
    <row r="379" spans="1:6" x14ac:dyDescent="0.3">
      <c r="A379" s="20">
        <v>45789</v>
      </c>
      <c r="B379">
        <v>18</v>
      </c>
      <c r="C379" t="s">
        <v>158</v>
      </c>
      <c r="D379">
        <v>818</v>
      </c>
      <c r="E379">
        <v>13</v>
      </c>
      <c r="F379" t="s">
        <v>42</v>
      </c>
    </row>
    <row r="380" spans="1:6" x14ac:dyDescent="0.3">
      <c r="A380" s="20">
        <v>45789</v>
      </c>
      <c r="B380">
        <v>18</v>
      </c>
      <c r="C380" t="s">
        <v>48</v>
      </c>
      <c r="D380">
        <v>59625</v>
      </c>
      <c r="E380">
        <v>3490</v>
      </c>
      <c r="F380" t="s">
        <v>31</v>
      </c>
    </row>
    <row r="381" spans="1:6" x14ac:dyDescent="0.3">
      <c r="A381" s="20">
        <v>45789</v>
      </c>
      <c r="B381">
        <v>18</v>
      </c>
      <c r="C381" t="s">
        <v>236</v>
      </c>
      <c r="D381">
        <v>48775</v>
      </c>
      <c r="E381">
        <v>4734</v>
      </c>
      <c r="F381" t="s">
        <v>31</v>
      </c>
    </row>
    <row r="382" spans="1:6" x14ac:dyDescent="0.3">
      <c r="A382" s="20">
        <v>45789</v>
      </c>
      <c r="B382">
        <v>18</v>
      </c>
      <c r="C382" t="s">
        <v>41</v>
      </c>
      <c r="D382">
        <v>1602</v>
      </c>
      <c r="E382">
        <v>87</v>
      </c>
      <c r="F382" t="s">
        <v>31</v>
      </c>
    </row>
    <row r="383" spans="1:6" x14ac:dyDescent="0.3">
      <c r="A383" s="20">
        <v>45789</v>
      </c>
      <c r="B383">
        <v>18</v>
      </c>
      <c r="C383" t="s">
        <v>54</v>
      </c>
      <c r="D383">
        <v>167</v>
      </c>
      <c r="E383">
        <v>31</v>
      </c>
      <c r="F383" t="s">
        <v>31</v>
      </c>
    </row>
    <row r="384" spans="1:6" x14ac:dyDescent="0.3">
      <c r="A384" s="20">
        <v>45789</v>
      </c>
      <c r="B384">
        <v>18</v>
      </c>
      <c r="C384" t="s">
        <v>237</v>
      </c>
      <c r="D384">
        <v>1943</v>
      </c>
      <c r="E384">
        <v>133</v>
      </c>
      <c r="F384" t="s">
        <v>31</v>
      </c>
    </row>
    <row r="385" spans="1:6" x14ac:dyDescent="0.3">
      <c r="A385" s="20">
        <v>45789</v>
      </c>
      <c r="B385">
        <v>18</v>
      </c>
      <c r="C385" t="s">
        <v>49</v>
      </c>
      <c r="D385">
        <v>172</v>
      </c>
      <c r="E385">
        <v>11</v>
      </c>
      <c r="F385" t="s">
        <v>42</v>
      </c>
    </row>
    <row r="386" spans="1:6" x14ac:dyDescent="0.3">
      <c r="A386" s="20">
        <v>45789</v>
      </c>
      <c r="B386">
        <v>18</v>
      </c>
      <c r="C386" t="s">
        <v>245</v>
      </c>
      <c r="D386">
        <v>61232</v>
      </c>
      <c r="E386">
        <v>7808</v>
      </c>
      <c r="F386" t="s">
        <v>31</v>
      </c>
    </row>
    <row r="387" spans="1:6" x14ac:dyDescent="0.3">
      <c r="A387" s="20">
        <v>45789</v>
      </c>
      <c r="B387">
        <v>18</v>
      </c>
      <c r="C387" t="s">
        <v>160</v>
      </c>
      <c r="D387">
        <v>166</v>
      </c>
      <c r="E387">
        <v>32</v>
      </c>
      <c r="F387" t="s">
        <v>32</v>
      </c>
    </row>
    <row r="388" spans="1:6" x14ac:dyDescent="0.3">
      <c r="A388" s="20">
        <v>45789</v>
      </c>
      <c r="B388">
        <v>18</v>
      </c>
      <c r="C388" t="s">
        <v>160</v>
      </c>
      <c r="D388">
        <v>40</v>
      </c>
      <c r="E388">
        <v>13</v>
      </c>
      <c r="F388" t="s">
        <v>138</v>
      </c>
    </row>
    <row r="389" spans="1:6" x14ac:dyDescent="0.3">
      <c r="A389" s="20">
        <v>45789</v>
      </c>
      <c r="B389">
        <v>18</v>
      </c>
      <c r="C389" t="s">
        <v>162</v>
      </c>
      <c r="D389">
        <v>2837</v>
      </c>
      <c r="E389">
        <v>446</v>
      </c>
      <c r="F389" t="s">
        <v>47</v>
      </c>
    </row>
    <row r="390" spans="1:6" x14ac:dyDescent="0.3">
      <c r="A390" s="20">
        <v>45789</v>
      </c>
      <c r="B390">
        <v>18</v>
      </c>
      <c r="C390" t="s">
        <v>124</v>
      </c>
      <c r="D390">
        <v>66634</v>
      </c>
      <c r="E390">
        <v>2557</v>
      </c>
      <c r="F390" t="s">
        <v>38</v>
      </c>
    </row>
    <row r="391" spans="1:6" x14ac:dyDescent="0.3">
      <c r="A391" s="20">
        <v>45789</v>
      </c>
      <c r="B391">
        <v>18</v>
      </c>
      <c r="C391" t="s">
        <v>55</v>
      </c>
      <c r="D391">
        <v>85482</v>
      </c>
      <c r="E391">
        <v>3358</v>
      </c>
      <c r="F391" t="s">
        <v>38</v>
      </c>
    </row>
    <row r="392" spans="1:6" x14ac:dyDescent="0.3">
      <c r="A392" s="20">
        <v>45789</v>
      </c>
      <c r="B392">
        <v>19</v>
      </c>
      <c r="C392" t="s">
        <v>73</v>
      </c>
      <c r="D392">
        <v>0</v>
      </c>
      <c r="E392">
        <v>0</v>
      </c>
      <c r="F392" t="s">
        <v>234</v>
      </c>
    </row>
    <row r="393" spans="1:6" x14ac:dyDescent="0.3">
      <c r="A393" s="20">
        <v>45789</v>
      </c>
      <c r="B393">
        <v>19</v>
      </c>
      <c r="C393" t="s">
        <v>73</v>
      </c>
      <c r="D393">
        <v>0</v>
      </c>
      <c r="E393">
        <v>0</v>
      </c>
      <c r="F393" t="s">
        <v>45</v>
      </c>
    </row>
    <row r="394" spans="1:6" x14ac:dyDescent="0.3">
      <c r="A394" s="20">
        <v>45789</v>
      </c>
      <c r="B394">
        <v>19</v>
      </c>
      <c r="C394" t="s">
        <v>156</v>
      </c>
      <c r="D394">
        <v>7165</v>
      </c>
      <c r="E394">
        <v>779</v>
      </c>
      <c r="F394" t="s">
        <v>43</v>
      </c>
    </row>
    <row r="395" spans="1:6" x14ac:dyDescent="0.3">
      <c r="A395" s="20">
        <v>45789</v>
      </c>
      <c r="B395">
        <v>19</v>
      </c>
      <c r="C395" t="s">
        <v>228</v>
      </c>
      <c r="D395">
        <v>23377</v>
      </c>
      <c r="E395">
        <v>2299</v>
      </c>
      <c r="F395" t="s">
        <v>231</v>
      </c>
    </row>
    <row r="396" spans="1:6" x14ac:dyDescent="0.3">
      <c r="A396" s="20">
        <v>45789</v>
      </c>
      <c r="B396">
        <v>19</v>
      </c>
      <c r="C396" t="s">
        <v>159</v>
      </c>
      <c r="D396">
        <v>17937</v>
      </c>
      <c r="E396">
        <v>469</v>
      </c>
      <c r="F396" t="s">
        <v>31</v>
      </c>
    </row>
    <row r="397" spans="1:6" x14ac:dyDescent="0.3">
      <c r="A397" s="20">
        <v>45789</v>
      </c>
      <c r="B397">
        <v>19</v>
      </c>
      <c r="C397" t="s">
        <v>249</v>
      </c>
      <c r="D397">
        <v>6627</v>
      </c>
      <c r="E397">
        <v>262</v>
      </c>
      <c r="F397" t="s">
        <v>31</v>
      </c>
    </row>
    <row r="398" spans="1:6" x14ac:dyDescent="0.3">
      <c r="A398" s="20">
        <v>45789</v>
      </c>
      <c r="B398">
        <v>19</v>
      </c>
      <c r="C398" t="s">
        <v>242</v>
      </c>
      <c r="D398">
        <v>40900</v>
      </c>
      <c r="E398">
        <v>3598</v>
      </c>
      <c r="F398" t="s">
        <v>31</v>
      </c>
    </row>
    <row r="399" spans="1:6" x14ac:dyDescent="0.3">
      <c r="A399" s="20">
        <v>45789</v>
      </c>
      <c r="B399">
        <v>19</v>
      </c>
      <c r="C399" t="s">
        <v>246</v>
      </c>
      <c r="D399">
        <v>34691</v>
      </c>
      <c r="E399">
        <v>3736</v>
      </c>
      <c r="F399" t="s">
        <v>31</v>
      </c>
    </row>
    <row r="400" spans="1:6" x14ac:dyDescent="0.3">
      <c r="A400" s="20">
        <v>45789</v>
      </c>
      <c r="B400">
        <v>19</v>
      </c>
      <c r="C400" t="s">
        <v>233</v>
      </c>
      <c r="D400">
        <v>3445</v>
      </c>
      <c r="E400">
        <v>302</v>
      </c>
      <c r="F400" t="s">
        <v>39</v>
      </c>
    </row>
    <row r="401" spans="1:6" x14ac:dyDescent="0.3">
      <c r="A401" s="20">
        <v>45789</v>
      </c>
      <c r="B401">
        <v>19</v>
      </c>
      <c r="C401" t="s">
        <v>250</v>
      </c>
      <c r="D401">
        <v>1264</v>
      </c>
      <c r="E401">
        <v>125</v>
      </c>
      <c r="F401" t="s">
        <v>164</v>
      </c>
    </row>
    <row r="402" spans="1:6" x14ac:dyDescent="0.3">
      <c r="A402" s="20">
        <v>45789</v>
      </c>
      <c r="B402">
        <v>19</v>
      </c>
      <c r="C402" t="s">
        <v>160</v>
      </c>
      <c r="D402">
        <v>468</v>
      </c>
      <c r="E402">
        <v>99</v>
      </c>
      <c r="F402" t="s">
        <v>47</v>
      </c>
    </row>
    <row r="403" spans="1:6" x14ac:dyDescent="0.3">
      <c r="A403" s="20">
        <v>45789</v>
      </c>
      <c r="B403">
        <v>19</v>
      </c>
      <c r="C403" t="s">
        <v>160</v>
      </c>
      <c r="D403">
        <v>368</v>
      </c>
      <c r="E403">
        <v>85</v>
      </c>
      <c r="F403" t="s">
        <v>43</v>
      </c>
    </row>
    <row r="404" spans="1:6" x14ac:dyDescent="0.3">
      <c r="A404" s="20">
        <v>45789</v>
      </c>
      <c r="B404">
        <v>19</v>
      </c>
      <c r="C404" t="s">
        <v>81</v>
      </c>
      <c r="D404">
        <v>83950</v>
      </c>
      <c r="E404">
        <v>2957</v>
      </c>
      <c r="F404" t="s">
        <v>38</v>
      </c>
    </row>
    <row r="405" spans="1:6" x14ac:dyDescent="0.3">
      <c r="A405" s="20">
        <v>45789</v>
      </c>
      <c r="B405">
        <v>19</v>
      </c>
      <c r="C405" t="s">
        <v>235</v>
      </c>
      <c r="D405">
        <v>326</v>
      </c>
      <c r="E405">
        <v>34</v>
      </c>
      <c r="F405" t="s">
        <v>161</v>
      </c>
    </row>
    <row r="406" spans="1:6" x14ac:dyDescent="0.3">
      <c r="A406" s="20">
        <v>45789</v>
      </c>
      <c r="B406">
        <v>20</v>
      </c>
      <c r="C406" t="s">
        <v>73</v>
      </c>
      <c r="D406">
        <v>0</v>
      </c>
      <c r="E406">
        <v>0</v>
      </c>
      <c r="F406" t="s">
        <v>163</v>
      </c>
    </row>
    <row r="407" spans="1:6" x14ac:dyDescent="0.3">
      <c r="A407" s="20">
        <v>45789</v>
      </c>
      <c r="B407">
        <v>20</v>
      </c>
      <c r="C407" t="s">
        <v>73</v>
      </c>
      <c r="D407">
        <v>0</v>
      </c>
      <c r="E407">
        <v>0</v>
      </c>
      <c r="F407" t="s">
        <v>72</v>
      </c>
    </row>
    <row r="408" spans="1:6" x14ac:dyDescent="0.3">
      <c r="A408" s="20">
        <v>45789</v>
      </c>
      <c r="B408">
        <v>20</v>
      </c>
      <c r="C408" t="s">
        <v>241</v>
      </c>
      <c r="D408">
        <v>2585</v>
      </c>
      <c r="E408">
        <v>125</v>
      </c>
      <c r="F408" t="s">
        <v>31</v>
      </c>
    </row>
    <row r="409" spans="1:6" x14ac:dyDescent="0.3">
      <c r="A409" s="20">
        <v>45789</v>
      </c>
      <c r="B409">
        <v>20</v>
      </c>
      <c r="C409" t="s">
        <v>48</v>
      </c>
      <c r="D409">
        <v>0</v>
      </c>
      <c r="E409">
        <v>0</v>
      </c>
      <c r="F409" t="s">
        <v>259</v>
      </c>
    </row>
    <row r="410" spans="1:6" x14ac:dyDescent="0.3">
      <c r="A410" s="20">
        <v>45789</v>
      </c>
      <c r="B410">
        <v>20</v>
      </c>
      <c r="C410" t="s">
        <v>244</v>
      </c>
      <c r="D410">
        <v>4289</v>
      </c>
      <c r="E410">
        <v>288</v>
      </c>
      <c r="F410" t="s">
        <v>31</v>
      </c>
    </row>
    <row r="411" spans="1:6" x14ac:dyDescent="0.3">
      <c r="A411" s="20">
        <v>45789</v>
      </c>
      <c r="B411">
        <v>20</v>
      </c>
      <c r="C411" t="s">
        <v>152</v>
      </c>
      <c r="D411">
        <v>616</v>
      </c>
      <c r="E411">
        <v>95</v>
      </c>
      <c r="F411" t="s">
        <v>252</v>
      </c>
    </row>
    <row r="412" spans="1:6" x14ac:dyDescent="0.3">
      <c r="A412" s="20">
        <v>45789</v>
      </c>
      <c r="B412">
        <v>20</v>
      </c>
      <c r="C412" t="s">
        <v>232</v>
      </c>
      <c r="D412">
        <v>91</v>
      </c>
      <c r="E412">
        <v>5</v>
      </c>
      <c r="F412" t="s">
        <v>68</v>
      </c>
    </row>
    <row r="413" spans="1:6" x14ac:dyDescent="0.3">
      <c r="A413" s="20">
        <v>45789</v>
      </c>
      <c r="B413">
        <v>20</v>
      </c>
      <c r="C413" t="s">
        <v>238</v>
      </c>
      <c r="D413">
        <v>2835</v>
      </c>
      <c r="E413">
        <v>359</v>
      </c>
      <c r="F413" t="s">
        <v>47</v>
      </c>
    </row>
    <row r="414" spans="1:6" x14ac:dyDescent="0.3">
      <c r="A414" s="20">
        <v>45789</v>
      </c>
      <c r="B414">
        <v>20</v>
      </c>
      <c r="C414" t="s">
        <v>160</v>
      </c>
      <c r="D414">
        <v>0</v>
      </c>
      <c r="E414">
        <v>0</v>
      </c>
      <c r="F414" t="s">
        <v>68</v>
      </c>
    </row>
    <row r="415" spans="1:6" x14ac:dyDescent="0.3">
      <c r="A415" s="20">
        <v>45789</v>
      </c>
      <c r="B415">
        <v>20</v>
      </c>
      <c r="C415" t="s">
        <v>160</v>
      </c>
      <c r="D415">
        <v>559</v>
      </c>
      <c r="E415">
        <v>71</v>
      </c>
      <c r="F415" t="s">
        <v>231</v>
      </c>
    </row>
    <row r="416" spans="1:6" x14ac:dyDescent="0.3">
      <c r="A416" s="20">
        <v>45789</v>
      </c>
      <c r="B416">
        <v>20</v>
      </c>
      <c r="C416" t="s">
        <v>160</v>
      </c>
      <c r="D416">
        <v>24</v>
      </c>
      <c r="E416">
        <v>2</v>
      </c>
      <c r="F416" t="s">
        <v>72</v>
      </c>
    </row>
    <row r="417" spans="1:6" x14ac:dyDescent="0.3">
      <c r="A417" s="20">
        <v>45789</v>
      </c>
      <c r="B417">
        <v>20</v>
      </c>
      <c r="C417" t="s">
        <v>126</v>
      </c>
      <c r="D417">
        <v>7</v>
      </c>
      <c r="E417">
        <v>7</v>
      </c>
      <c r="F417" t="s">
        <v>38</v>
      </c>
    </row>
    <row r="418" spans="1:6" x14ac:dyDescent="0.3">
      <c r="A418" s="20">
        <v>45789</v>
      </c>
      <c r="B418">
        <v>21</v>
      </c>
      <c r="C418" t="s">
        <v>158</v>
      </c>
      <c r="D418">
        <v>3</v>
      </c>
      <c r="E418">
        <v>0</v>
      </c>
      <c r="F418" t="s">
        <v>31</v>
      </c>
    </row>
    <row r="419" spans="1:6" x14ac:dyDescent="0.3">
      <c r="A419" s="20">
        <v>45789</v>
      </c>
      <c r="B419">
        <v>21</v>
      </c>
      <c r="C419" t="s">
        <v>245</v>
      </c>
      <c r="D419">
        <v>8</v>
      </c>
      <c r="E419">
        <v>1</v>
      </c>
      <c r="F419" t="s">
        <v>31</v>
      </c>
    </row>
    <row r="420" spans="1:6" x14ac:dyDescent="0.3">
      <c r="A420" s="20">
        <v>45789</v>
      </c>
      <c r="B420">
        <v>21</v>
      </c>
      <c r="C420" t="s">
        <v>162</v>
      </c>
      <c r="D420">
        <v>1</v>
      </c>
      <c r="E420">
        <v>0</v>
      </c>
      <c r="F420" t="s">
        <v>47</v>
      </c>
    </row>
    <row r="421" spans="1:6" x14ac:dyDescent="0.3">
      <c r="A421" s="20">
        <v>45789</v>
      </c>
      <c r="B421">
        <v>8</v>
      </c>
      <c r="C421" t="s">
        <v>73</v>
      </c>
      <c r="D421">
        <v>0</v>
      </c>
      <c r="E421">
        <v>0</v>
      </c>
      <c r="F421" t="s">
        <v>39</v>
      </c>
    </row>
    <row r="422" spans="1:6" x14ac:dyDescent="0.3">
      <c r="A422" s="20">
        <v>45789</v>
      </c>
      <c r="B422">
        <v>8</v>
      </c>
      <c r="C422" t="s">
        <v>241</v>
      </c>
      <c r="D422">
        <v>10110</v>
      </c>
      <c r="E422">
        <v>530</v>
      </c>
      <c r="F422" t="s">
        <v>31</v>
      </c>
    </row>
    <row r="423" spans="1:6" x14ac:dyDescent="0.3">
      <c r="A423" s="20">
        <v>45789</v>
      </c>
      <c r="B423">
        <v>8</v>
      </c>
      <c r="C423" t="s">
        <v>52</v>
      </c>
      <c r="D423">
        <v>34429</v>
      </c>
      <c r="E423">
        <v>1389</v>
      </c>
      <c r="F423" t="s">
        <v>31</v>
      </c>
    </row>
    <row r="424" spans="1:6" x14ac:dyDescent="0.3">
      <c r="A424" s="20">
        <v>45789</v>
      </c>
      <c r="B424">
        <v>8</v>
      </c>
      <c r="C424" t="s">
        <v>52</v>
      </c>
      <c r="D424">
        <v>28</v>
      </c>
      <c r="E424">
        <v>28</v>
      </c>
      <c r="F424" t="s">
        <v>259</v>
      </c>
    </row>
    <row r="425" spans="1:6" x14ac:dyDescent="0.3">
      <c r="A425" s="20">
        <v>45789</v>
      </c>
      <c r="B425">
        <v>8</v>
      </c>
      <c r="C425" t="s">
        <v>152</v>
      </c>
      <c r="D425">
        <v>4868</v>
      </c>
      <c r="E425">
        <v>670</v>
      </c>
      <c r="F425" t="s">
        <v>252</v>
      </c>
    </row>
    <row r="426" spans="1:6" x14ac:dyDescent="0.3">
      <c r="A426" s="20">
        <v>45789</v>
      </c>
      <c r="B426">
        <v>8</v>
      </c>
      <c r="C426" t="s">
        <v>232</v>
      </c>
      <c r="D426">
        <v>4256</v>
      </c>
      <c r="E426">
        <v>294</v>
      </c>
      <c r="F426" t="s">
        <v>74</v>
      </c>
    </row>
    <row r="427" spans="1:6" x14ac:dyDescent="0.3">
      <c r="A427" s="20">
        <v>45789</v>
      </c>
      <c r="B427">
        <v>8</v>
      </c>
      <c r="C427" t="s">
        <v>232</v>
      </c>
      <c r="D427">
        <v>18305</v>
      </c>
      <c r="E427">
        <v>3023</v>
      </c>
      <c r="F427" t="s">
        <v>229</v>
      </c>
    </row>
    <row r="428" spans="1:6" x14ac:dyDescent="0.3">
      <c r="A428" s="20">
        <v>45789</v>
      </c>
      <c r="B428">
        <v>8</v>
      </c>
      <c r="C428" t="s">
        <v>250</v>
      </c>
      <c r="D428">
        <v>5077</v>
      </c>
      <c r="E428">
        <v>808</v>
      </c>
      <c r="F428" t="s">
        <v>252</v>
      </c>
    </row>
    <row r="429" spans="1:6" x14ac:dyDescent="0.3">
      <c r="A429" s="20">
        <v>45789</v>
      </c>
      <c r="B429">
        <v>8</v>
      </c>
      <c r="C429" t="s">
        <v>160</v>
      </c>
      <c r="D429">
        <v>249</v>
      </c>
      <c r="E429">
        <v>53</v>
      </c>
      <c r="F429" t="s">
        <v>32</v>
      </c>
    </row>
    <row r="430" spans="1:6" x14ac:dyDescent="0.3">
      <c r="A430" s="20">
        <v>45789</v>
      </c>
      <c r="B430">
        <v>8</v>
      </c>
      <c r="C430" t="s">
        <v>160</v>
      </c>
      <c r="D430">
        <v>226</v>
      </c>
      <c r="E430">
        <v>77</v>
      </c>
      <c r="F430" t="s">
        <v>234</v>
      </c>
    </row>
    <row r="431" spans="1:6" x14ac:dyDescent="0.3">
      <c r="A431" s="20">
        <v>45789</v>
      </c>
      <c r="B431">
        <v>8</v>
      </c>
      <c r="C431" t="s">
        <v>160</v>
      </c>
      <c r="D431">
        <v>417</v>
      </c>
      <c r="E431">
        <v>79</v>
      </c>
      <c r="F431" t="s">
        <v>45</v>
      </c>
    </row>
    <row r="432" spans="1:6" x14ac:dyDescent="0.3">
      <c r="A432" s="20">
        <v>45789</v>
      </c>
      <c r="B432">
        <v>8</v>
      </c>
      <c r="C432" t="s">
        <v>125</v>
      </c>
      <c r="D432">
        <v>104262</v>
      </c>
      <c r="E432">
        <v>7063</v>
      </c>
      <c r="F432" t="s">
        <v>38</v>
      </c>
    </row>
    <row r="433" spans="1:6" x14ac:dyDescent="0.3">
      <c r="A433" s="20">
        <v>45789</v>
      </c>
      <c r="B433">
        <v>9</v>
      </c>
      <c r="C433" t="s">
        <v>73</v>
      </c>
      <c r="D433">
        <v>0</v>
      </c>
      <c r="E433">
        <v>0</v>
      </c>
      <c r="F433" t="s">
        <v>86</v>
      </c>
    </row>
    <row r="434" spans="1:6" x14ac:dyDescent="0.3">
      <c r="A434" s="20">
        <v>45789</v>
      </c>
      <c r="B434">
        <v>9</v>
      </c>
      <c r="C434" t="s">
        <v>73</v>
      </c>
      <c r="D434">
        <v>0</v>
      </c>
      <c r="E434">
        <v>0</v>
      </c>
      <c r="F434" t="s">
        <v>161</v>
      </c>
    </row>
    <row r="435" spans="1:6" x14ac:dyDescent="0.3">
      <c r="A435" s="20">
        <v>45789</v>
      </c>
      <c r="B435">
        <v>9</v>
      </c>
      <c r="C435" t="s">
        <v>153</v>
      </c>
      <c r="D435">
        <v>5705</v>
      </c>
      <c r="E435">
        <v>241</v>
      </c>
      <c r="F435" t="s">
        <v>248</v>
      </c>
    </row>
    <row r="436" spans="1:6" x14ac:dyDescent="0.3">
      <c r="A436" s="20">
        <v>45789</v>
      </c>
      <c r="B436">
        <v>9</v>
      </c>
      <c r="C436" t="s">
        <v>156</v>
      </c>
      <c r="D436">
        <v>9407</v>
      </c>
      <c r="E436">
        <v>1559</v>
      </c>
      <c r="F436" t="s">
        <v>43</v>
      </c>
    </row>
    <row r="437" spans="1:6" x14ac:dyDescent="0.3">
      <c r="A437" s="20">
        <v>45789</v>
      </c>
      <c r="B437">
        <v>9</v>
      </c>
      <c r="C437" t="s">
        <v>157</v>
      </c>
      <c r="D437">
        <v>18160</v>
      </c>
      <c r="E437">
        <v>4684</v>
      </c>
      <c r="F437" t="s">
        <v>31</v>
      </c>
    </row>
    <row r="438" spans="1:6" x14ac:dyDescent="0.3">
      <c r="A438" s="20">
        <v>45789</v>
      </c>
      <c r="B438">
        <v>9</v>
      </c>
      <c r="C438" t="s">
        <v>236</v>
      </c>
      <c r="D438">
        <v>43065</v>
      </c>
      <c r="E438">
        <v>4991</v>
      </c>
      <c r="F438" t="s">
        <v>31</v>
      </c>
    </row>
    <row r="439" spans="1:6" x14ac:dyDescent="0.3">
      <c r="A439" s="20">
        <v>45789</v>
      </c>
      <c r="B439">
        <v>9</v>
      </c>
      <c r="C439" t="s">
        <v>236</v>
      </c>
      <c r="D439">
        <v>799</v>
      </c>
      <c r="E439">
        <v>156</v>
      </c>
      <c r="F439" t="s">
        <v>42</v>
      </c>
    </row>
    <row r="440" spans="1:6" x14ac:dyDescent="0.3">
      <c r="A440" s="20">
        <v>45789</v>
      </c>
      <c r="B440">
        <v>9</v>
      </c>
      <c r="C440" t="s">
        <v>41</v>
      </c>
      <c r="D440">
        <v>3103</v>
      </c>
      <c r="E440">
        <v>286</v>
      </c>
      <c r="F440" t="s">
        <v>31</v>
      </c>
    </row>
    <row r="441" spans="1:6" x14ac:dyDescent="0.3">
      <c r="A441" s="20">
        <v>45789</v>
      </c>
      <c r="B441">
        <v>9</v>
      </c>
      <c r="C441" t="s">
        <v>54</v>
      </c>
      <c r="D441">
        <v>287</v>
      </c>
      <c r="E441">
        <v>80</v>
      </c>
      <c r="F441" t="s">
        <v>31</v>
      </c>
    </row>
    <row r="442" spans="1:6" x14ac:dyDescent="0.3">
      <c r="A442" s="20">
        <v>45789</v>
      </c>
      <c r="B442">
        <v>9</v>
      </c>
      <c r="C442" t="s">
        <v>237</v>
      </c>
      <c r="D442">
        <v>21580</v>
      </c>
      <c r="E442">
        <v>2884</v>
      </c>
      <c r="F442" t="s">
        <v>31</v>
      </c>
    </row>
    <row r="443" spans="1:6" x14ac:dyDescent="0.3">
      <c r="A443" s="20">
        <v>45789</v>
      </c>
      <c r="B443">
        <v>9</v>
      </c>
      <c r="C443" t="s">
        <v>250</v>
      </c>
      <c r="D443">
        <v>127</v>
      </c>
      <c r="E443">
        <v>24</v>
      </c>
      <c r="F443" t="s">
        <v>34</v>
      </c>
    </row>
    <row r="444" spans="1:6" x14ac:dyDescent="0.3">
      <c r="A444" s="20">
        <v>45789</v>
      </c>
      <c r="B444">
        <v>9</v>
      </c>
      <c r="C444" t="s">
        <v>160</v>
      </c>
      <c r="D444">
        <v>4185</v>
      </c>
      <c r="E444">
        <v>727</v>
      </c>
      <c r="F444" t="s">
        <v>229</v>
      </c>
    </row>
    <row r="445" spans="1:6" x14ac:dyDescent="0.3">
      <c r="A445" s="20">
        <v>45789</v>
      </c>
      <c r="B445">
        <v>9</v>
      </c>
      <c r="C445" t="s">
        <v>51</v>
      </c>
      <c r="D445">
        <v>66432</v>
      </c>
      <c r="E445">
        <v>3107</v>
      </c>
      <c r="F445" t="s">
        <v>38</v>
      </c>
    </row>
    <row r="446" spans="1:6" x14ac:dyDescent="0.3">
      <c r="A446" s="20">
        <v>45789</v>
      </c>
      <c r="B446">
        <v>9</v>
      </c>
      <c r="C446" t="s">
        <v>40</v>
      </c>
      <c r="D446">
        <v>4219</v>
      </c>
      <c r="E446">
        <v>382</v>
      </c>
    </row>
    <row r="447" spans="1:6" x14ac:dyDescent="0.3">
      <c r="A447" s="20">
        <v>45789</v>
      </c>
      <c r="B447">
        <v>9</v>
      </c>
      <c r="C447" t="s">
        <v>251</v>
      </c>
      <c r="D447">
        <v>2544</v>
      </c>
      <c r="E447">
        <v>350</v>
      </c>
      <c r="F447" t="s">
        <v>47</v>
      </c>
    </row>
    <row r="448" spans="1:6" x14ac:dyDescent="0.3">
      <c r="A448" s="20">
        <v>45789</v>
      </c>
      <c r="B448">
        <v>10</v>
      </c>
      <c r="C448" t="s">
        <v>73</v>
      </c>
      <c r="D448">
        <v>0</v>
      </c>
      <c r="E448">
        <v>0</v>
      </c>
      <c r="F448" t="s">
        <v>74</v>
      </c>
    </row>
    <row r="449" spans="1:6" x14ac:dyDescent="0.3">
      <c r="A449" s="20">
        <v>45789</v>
      </c>
      <c r="B449">
        <v>10</v>
      </c>
      <c r="C449" t="s">
        <v>156</v>
      </c>
      <c r="D449">
        <v>2486</v>
      </c>
      <c r="E449">
        <v>565</v>
      </c>
      <c r="F449" t="s">
        <v>72</v>
      </c>
    </row>
    <row r="450" spans="1:6" x14ac:dyDescent="0.3">
      <c r="A450" s="20">
        <v>45789</v>
      </c>
      <c r="B450">
        <v>10</v>
      </c>
      <c r="C450" t="s">
        <v>249</v>
      </c>
      <c r="D450">
        <v>14803</v>
      </c>
      <c r="E450">
        <v>779</v>
      </c>
      <c r="F450" t="s">
        <v>31</v>
      </c>
    </row>
    <row r="451" spans="1:6" x14ac:dyDescent="0.3">
      <c r="A451" s="20">
        <v>45789</v>
      </c>
      <c r="B451">
        <v>10</v>
      </c>
      <c r="C451" t="s">
        <v>230</v>
      </c>
      <c r="D451">
        <v>28021</v>
      </c>
      <c r="E451">
        <v>2671</v>
      </c>
      <c r="F451" t="s">
        <v>31</v>
      </c>
    </row>
    <row r="452" spans="1:6" x14ac:dyDescent="0.3">
      <c r="A452" s="20">
        <v>45789</v>
      </c>
      <c r="B452">
        <v>10</v>
      </c>
      <c r="C452" t="s">
        <v>152</v>
      </c>
      <c r="D452">
        <v>3764</v>
      </c>
      <c r="E452">
        <v>463</v>
      </c>
      <c r="F452" t="s">
        <v>138</v>
      </c>
    </row>
    <row r="453" spans="1:6" x14ac:dyDescent="0.3">
      <c r="A453" s="20">
        <v>45789</v>
      </c>
      <c r="B453">
        <v>10</v>
      </c>
      <c r="C453" t="s">
        <v>261</v>
      </c>
      <c r="D453">
        <v>23790</v>
      </c>
      <c r="E453">
        <v>2564</v>
      </c>
      <c r="F453" t="s">
        <v>31</v>
      </c>
    </row>
    <row r="454" spans="1:6" x14ac:dyDescent="0.3">
      <c r="A454" s="20">
        <v>45789</v>
      </c>
      <c r="B454">
        <v>10</v>
      </c>
      <c r="C454" t="s">
        <v>260</v>
      </c>
      <c r="D454">
        <v>550</v>
      </c>
      <c r="E454">
        <v>168</v>
      </c>
      <c r="F454" t="s">
        <v>163</v>
      </c>
    </row>
    <row r="455" spans="1:6" x14ac:dyDescent="0.3">
      <c r="A455" s="20">
        <v>45789</v>
      </c>
      <c r="B455">
        <v>10</v>
      </c>
      <c r="C455" t="s">
        <v>256</v>
      </c>
      <c r="D455">
        <v>474</v>
      </c>
      <c r="E455">
        <v>19</v>
      </c>
      <c r="F455" t="s">
        <v>163</v>
      </c>
    </row>
    <row r="456" spans="1:6" x14ac:dyDescent="0.3">
      <c r="A456" s="20">
        <v>45789</v>
      </c>
      <c r="B456">
        <v>10</v>
      </c>
      <c r="C456" t="s">
        <v>250</v>
      </c>
      <c r="D456">
        <v>705</v>
      </c>
      <c r="E456">
        <v>58</v>
      </c>
      <c r="F456" t="s">
        <v>86</v>
      </c>
    </row>
    <row r="457" spans="1:6" x14ac:dyDescent="0.3">
      <c r="A457" s="20">
        <v>45789</v>
      </c>
      <c r="B457">
        <v>10</v>
      </c>
      <c r="C457" t="s">
        <v>250</v>
      </c>
      <c r="D457">
        <v>119</v>
      </c>
      <c r="E457">
        <v>23</v>
      </c>
      <c r="F457" t="s">
        <v>257</v>
      </c>
    </row>
    <row r="458" spans="1:6" x14ac:dyDescent="0.3">
      <c r="A458" s="20">
        <v>45789</v>
      </c>
      <c r="B458">
        <v>10</v>
      </c>
      <c r="C458" t="s">
        <v>160</v>
      </c>
      <c r="D458">
        <v>666</v>
      </c>
      <c r="E458">
        <v>127</v>
      </c>
      <c r="F458" t="s">
        <v>47</v>
      </c>
    </row>
    <row r="459" spans="1:6" x14ac:dyDescent="0.3">
      <c r="A459" s="20">
        <v>45789</v>
      </c>
      <c r="B459">
        <v>10</v>
      </c>
      <c r="C459" t="s">
        <v>160</v>
      </c>
      <c r="D459">
        <v>421</v>
      </c>
      <c r="E459">
        <v>79</v>
      </c>
      <c r="F459" t="s">
        <v>74</v>
      </c>
    </row>
    <row r="460" spans="1:6" x14ac:dyDescent="0.3">
      <c r="A460" s="20">
        <v>45789</v>
      </c>
      <c r="B460">
        <v>10</v>
      </c>
      <c r="C460" t="s">
        <v>160</v>
      </c>
      <c r="D460">
        <v>206</v>
      </c>
      <c r="E460">
        <v>42</v>
      </c>
      <c r="F460" t="s">
        <v>43</v>
      </c>
    </row>
    <row r="461" spans="1:6" x14ac:dyDescent="0.3">
      <c r="A461" s="20">
        <v>45789</v>
      </c>
      <c r="B461">
        <v>10</v>
      </c>
      <c r="C461" t="s">
        <v>162</v>
      </c>
      <c r="D461">
        <v>12375</v>
      </c>
      <c r="E461">
        <v>1388</v>
      </c>
      <c r="F461" t="s">
        <v>44</v>
      </c>
    </row>
    <row r="462" spans="1:6" x14ac:dyDescent="0.3">
      <c r="A462" s="20">
        <v>45789</v>
      </c>
      <c r="B462">
        <v>10</v>
      </c>
      <c r="C462" t="s">
        <v>126</v>
      </c>
      <c r="D462">
        <v>43</v>
      </c>
      <c r="E462">
        <v>43</v>
      </c>
      <c r="F462" t="s">
        <v>38</v>
      </c>
    </row>
    <row r="463" spans="1:6" x14ac:dyDescent="0.3">
      <c r="A463" s="20">
        <v>45789</v>
      </c>
      <c r="B463">
        <v>10</v>
      </c>
      <c r="C463" t="s">
        <v>240</v>
      </c>
      <c r="D463">
        <v>18972</v>
      </c>
      <c r="E463">
        <v>636</v>
      </c>
      <c r="F463" t="s">
        <v>38</v>
      </c>
    </row>
    <row r="464" spans="1:6" x14ac:dyDescent="0.3">
      <c r="A464" s="20">
        <v>45789</v>
      </c>
      <c r="B464">
        <v>10</v>
      </c>
      <c r="C464" t="s">
        <v>81</v>
      </c>
      <c r="D464">
        <v>83518</v>
      </c>
      <c r="E464">
        <v>3794</v>
      </c>
      <c r="F464" t="s">
        <v>38</v>
      </c>
    </row>
    <row r="465" spans="1:6" x14ac:dyDescent="0.3">
      <c r="A465" s="20">
        <v>45789</v>
      </c>
      <c r="B465">
        <v>10</v>
      </c>
      <c r="C465" t="s">
        <v>235</v>
      </c>
      <c r="D465">
        <v>987</v>
      </c>
      <c r="E465">
        <v>206</v>
      </c>
      <c r="F465" t="s">
        <v>161</v>
      </c>
    </row>
    <row r="466" spans="1:6" x14ac:dyDescent="0.3">
      <c r="A466" s="20">
        <v>45789</v>
      </c>
      <c r="B466">
        <v>11</v>
      </c>
      <c r="C466" t="s">
        <v>73</v>
      </c>
      <c r="D466">
        <v>0</v>
      </c>
      <c r="E466">
        <v>0</v>
      </c>
      <c r="F466" t="s">
        <v>39</v>
      </c>
    </row>
    <row r="467" spans="1:6" x14ac:dyDescent="0.3">
      <c r="A467" s="20">
        <v>45789</v>
      </c>
      <c r="B467">
        <v>11</v>
      </c>
      <c r="C467" t="s">
        <v>73</v>
      </c>
      <c r="D467">
        <v>0</v>
      </c>
      <c r="E467">
        <v>0</v>
      </c>
      <c r="F467" t="s">
        <v>75</v>
      </c>
    </row>
    <row r="468" spans="1:6" x14ac:dyDescent="0.3">
      <c r="A468" s="20">
        <v>45789</v>
      </c>
      <c r="B468">
        <v>11</v>
      </c>
      <c r="C468" t="s">
        <v>241</v>
      </c>
      <c r="D468">
        <v>11450</v>
      </c>
      <c r="E468">
        <v>766</v>
      </c>
      <c r="F468" t="s">
        <v>31</v>
      </c>
    </row>
    <row r="469" spans="1:6" x14ac:dyDescent="0.3">
      <c r="A469" s="20">
        <v>45789</v>
      </c>
      <c r="B469">
        <v>11</v>
      </c>
      <c r="C469" t="s">
        <v>52</v>
      </c>
      <c r="D469">
        <v>32899</v>
      </c>
      <c r="E469">
        <v>1407</v>
      </c>
      <c r="F469" t="s">
        <v>31</v>
      </c>
    </row>
    <row r="470" spans="1:6" x14ac:dyDescent="0.3">
      <c r="A470" s="20">
        <v>45789</v>
      </c>
      <c r="B470">
        <v>11</v>
      </c>
      <c r="C470" t="s">
        <v>52</v>
      </c>
      <c r="D470">
        <v>26</v>
      </c>
      <c r="E470">
        <v>26</v>
      </c>
      <c r="F470" t="s">
        <v>259</v>
      </c>
    </row>
    <row r="471" spans="1:6" x14ac:dyDescent="0.3">
      <c r="A471" s="20">
        <v>45789</v>
      </c>
      <c r="B471">
        <v>11</v>
      </c>
      <c r="C471" t="s">
        <v>232</v>
      </c>
      <c r="D471">
        <v>5150</v>
      </c>
      <c r="E471">
        <v>290</v>
      </c>
      <c r="F471" t="s">
        <v>74</v>
      </c>
    </row>
    <row r="472" spans="1:6" x14ac:dyDescent="0.3">
      <c r="A472" s="20">
        <v>45789</v>
      </c>
      <c r="B472">
        <v>11</v>
      </c>
      <c r="C472" t="s">
        <v>238</v>
      </c>
      <c r="D472">
        <v>2336</v>
      </c>
      <c r="E472">
        <v>349</v>
      </c>
      <c r="F472" t="s">
        <v>44</v>
      </c>
    </row>
    <row r="473" spans="1:6" x14ac:dyDescent="0.3">
      <c r="A473" s="20">
        <v>45789</v>
      </c>
      <c r="B473">
        <v>11</v>
      </c>
      <c r="C473" t="s">
        <v>250</v>
      </c>
      <c r="D473">
        <v>6787</v>
      </c>
      <c r="E473">
        <v>1160</v>
      </c>
      <c r="F473" t="s">
        <v>252</v>
      </c>
    </row>
    <row r="474" spans="1:6" x14ac:dyDescent="0.3">
      <c r="A474" s="20">
        <v>45789</v>
      </c>
      <c r="B474">
        <v>11</v>
      </c>
      <c r="C474" t="s">
        <v>160</v>
      </c>
      <c r="D474">
        <v>408</v>
      </c>
      <c r="E474">
        <v>95</v>
      </c>
      <c r="F474" t="s">
        <v>32</v>
      </c>
    </row>
    <row r="475" spans="1:6" x14ac:dyDescent="0.3">
      <c r="A475" s="20">
        <v>45789</v>
      </c>
      <c r="B475">
        <v>11</v>
      </c>
      <c r="C475" t="s">
        <v>160</v>
      </c>
      <c r="D475">
        <v>14564</v>
      </c>
      <c r="E475">
        <v>1138</v>
      </c>
      <c r="F475" t="s">
        <v>234</v>
      </c>
    </row>
    <row r="476" spans="1:6" x14ac:dyDescent="0.3">
      <c r="A476" s="20">
        <v>45789</v>
      </c>
      <c r="B476">
        <v>11</v>
      </c>
      <c r="C476" t="s">
        <v>160</v>
      </c>
      <c r="D476">
        <v>385</v>
      </c>
      <c r="E476">
        <v>86</v>
      </c>
      <c r="F476" t="s">
        <v>45</v>
      </c>
    </row>
    <row r="477" spans="1:6" x14ac:dyDescent="0.3">
      <c r="A477" s="20">
        <v>45789</v>
      </c>
      <c r="B477">
        <v>11</v>
      </c>
      <c r="C477" t="s">
        <v>125</v>
      </c>
      <c r="D477">
        <v>110314</v>
      </c>
      <c r="E477">
        <v>7106</v>
      </c>
      <c r="F477" t="s">
        <v>38</v>
      </c>
    </row>
    <row r="478" spans="1:6" x14ac:dyDescent="0.3">
      <c r="A478" s="20">
        <v>45789</v>
      </c>
      <c r="B478">
        <v>11</v>
      </c>
      <c r="C478" t="s">
        <v>253</v>
      </c>
      <c r="D478">
        <v>729</v>
      </c>
      <c r="E478">
        <v>165</v>
      </c>
      <c r="F478" t="s">
        <v>44</v>
      </c>
    </row>
    <row r="479" spans="1:6" x14ac:dyDescent="0.3">
      <c r="A479" s="20">
        <v>45789</v>
      </c>
      <c r="B479">
        <v>12</v>
      </c>
      <c r="C479" t="s">
        <v>73</v>
      </c>
      <c r="D479">
        <v>9</v>
      </c>
      <c r="E479">
        <v>9</v>
      </c>
      <c r="F479" t="s">
        <v>31</v>
      </c>
    </row>
    <row r="480" spans="1:6" x14ac:dyDescent="0.3">
      <c r="A480" s="20">
        <v>45789</v>
      </c>
      <c r="B480">
        <v>12</v>
      </c>
      <c r="C480" t="s">
        <v>73</v>
      </c>
      <c r="D480">
        <v>0</v>
      </c>
      <c r="E480">
        <v>0</v>
      </c>
      <c r="F480" t="s">
        <v>86</v>
      </c>
    </row>
    <row r="481" spans="1:6" x14ac:dyDescent="0.3">
      <c r="A481" s="20">
        <v>45789</v>
      </c>
      <c r="B481">
        <v>12</v>
      </c>
      <c r="C481" t="s">
        <v>73</v>
      </c>
      <c r="D481">
        <v>0</v>
      </c>
      <c r="E481">
        <v>0</v>
      </c>
      <c r="F481" t="s">
        <v>161</v>
      </c>
    </row>
    <row r="482" spans="1:6" x14ac:dyDescent="0.3">
      <c r="A482" s="20">
        <v>45789</v>
      </c>
      <c r="B482">
        <v>12</v>
      </c>
      <c r="C482" t="s">
        <v>153</v>
      </c>
      <c r="D482">
        <v>3717</v>
      </c>
      <c r="E482">
        <v>181</v>
      </c>
      <c r="F482" t="s">
        <v>248</v>
      </c>
    </row>
    <row r="483" spans="1:6" x14ac:dyDescent="0.3">
      <c r="A483" s="20">
        <v>45789</v>
      </c>
      <c r="B483">
        <v>12</v>
      </c>
      <c r="C483" t="s">
        <v>156</v>
      </c>
      <c r="D483">
        <v>11235</v>
      </c>
      <c r="E483">
        <v>1634</v>
      </c>
      <c r="F483" t="s">
        <v>43</v>
      </c>
    </row>
    <row r="484" spans="1:6" x14ac:dyDescent="0.3">
      <c r="A484" s="20">
        <v>45789</v>
      </c>
      <c r="B484">
        <v>12</v>
      </c>
      <c r="C484" t="s">
        <v>157</v>
      </c>
      <c r="D484">
        <v>15148</v>
      </c>
      <c r="E484">
        <v>3950</v>
      </c>
      <c r="F484" t="s">
        <v>31</v>
      </c>
    </row>
    <row r="485" spans="1:6" x14ac:dyDescent="0.3">
      <c r="A485" s="20">
        <v>45789</v>
      </c>
      <c r="B485">
        <v>12</v>
      </c>
      <c r="C485" t="s">
        <v>41</v>
      </c>
      <c r="D485">
        <v>2811</v>
      </c>
      <c r="E485">
        <v>202</v>
      </c>
      <c r="F485" t="s">
        <v>31</v>
      </c>
    </row>
    <row r="486" spans="1:6" x14ac:dyDescent="0.3">
      <c r="A486" s="20">
        <v>45789</v>
      </c>
      <c r="B486">
        <v>12</v>
      </c>
      <c r="C486" t="s">
        <v>54</v>
      </c>
      <c r="D486">
        <v>208</v>
      </c>
      <c r="E486">
        <v>44</v>
      </c>
      <c r="F486" t="s">
        <v>31</v>
      </c>
    </row>
    <row r="487" spans="1:6" x14ac:dyDescent="0.3">
      <c r="A487" s="20">
        <v>45789</v>
      </c>
      <c r="B487">
        <v>12</v>
      </c>
      <c r="C487" t="s">
        <v>250</v>
      </c>
      <c r="D487">
        <v>107</v>
      </c>
      <c r="E487">
        <v>21</v>
      </c>
      <c r="F487" t="s">
        <v>34</v>
      </c>
    </row>
    <row r="488" spans="1:6" x14ac:dyDescent="0.3">
      <c r="A488" s="20">
        <v>45789</v>
      </c>
      <c r="B488">
        <v>12</v>
      </c>
      <c r="C488" t="s">
        <v>160</v>
      </c>
      <c r="D488">
        <v>3177</v>
      </c>
      <c r="E488">
        <v>645</v>
      </c>
      <c r="F488" t="s">
        <v>229</v>
      </c>
    </row>
    <row r="489" spans="1:6" x14ac:dyDescent="0.3">
      <c r="A489" s="20">
        <v>45789</v>
      </c>
      <c r="B489">
        <v>12</v>
      </c>
      <c r="C489" t="s">
        <v>51</v>
      </c>
      <c r="D489">
        <v>71689</v>
      </c>
      <c r="E489">
        <v>3350</v>
      </c>
      <c r="F489" t="s">
        <v>38</v>
      </c>
    </row>
    <row r="490" spans="1:6" x14ac:dyDescent="0.3">
      <c r="A490" s="20">
        <v>45789</v>
      </c>
      <c r="B490">
        <v>12</v>
      </c>
      <c r="C490" t="s">
        <v>40</v>
      </c>
      <c r="D490">
        <v>1911</v>
      </c>
      <c r="E490">
        <v>224</v>
      </c>
    </row>
    <row r="491" spans="1:6" x14ac:dyDescent="0.3">
      <c r="A491" s="20">
        <v>45789</v>
      </c>
      <c r="B491">
        <v>12</v>
      </c>
      <c r="C491" t="s">
        <v>251</v>
      </c>
      <c r="D491">
        <v>2430</v>
      </c>
      <c r="E491">
        <v>257</v>
      </c>
      <c r="F491" t="s">
        <v>47</v>
      </c>
    </row>
    <row r="492" spans="1:6" x14ac:dyDescent="0.3">
      <c r="A492" s="20">
        <v>45789</v>
      </c>
      <c r="B492">
        <v>12</v>
      </c>
      <c r="C492" t="s">
        <v>235</v>
      </c>
      <c r="D492">
        <v>13209</v>
      </c>
      <c r="E492">
        <v>2338</v>
      </c>
      <c r="F492" t="s">
        <v>75</v>
      </c>
    </row>
    <row r="493" spans="1:6" x14ac:dyDescent="0.3">
      <c r="A493" s="20">
        <v>45789</v>
      </c>
      <c r="B493">
        <v>13</v>
      </c>
      <c r="C493" t="s">
        <v>156</v>
      </c>
      <c r="D493">
        <v>2916</v>
      </c>
      <c r="E493">
        <v>488</v>
      </c>
      <c r="F493" t="s">
        <v>72</v>
      </c>
    </row>
    <row r="494" spans="1:6" x14ac:dyDescent="0.3">
      <c r="A494" s="20">
        <v>45789</v>
      </c>
      <c r="B494">
        <v>13</v>
      </c>
      <c r="C494" t="s">
        <v>228</v>
      </c>
      <c r="D494">
        <v>12402</v>
      </c>
      <c r="E494">
        <v>2039</v>
      </c>
      <c r="F494" t="s">
        <v>45</v>
      </c>
    </row>
    <row r="495" spans="1:6" x14ac:dyDescent="0.3">
      <c r="A495" s="20">
        <v>45789</v>
      </c>
      <c r="B495">
        <v>13</v>
      </c>
      <c r="C495" t="s">
        <v>249</v>
      </c>
      <c r="D495">
        <v>15303</v>
      </c>
      <c r="E495">
        <v>673</v>
      </c>
      <c r="F495" t="s">
        <v>31</v>
      </c>
    </row>
    <row r="496" spans="1:6" x14ac:dyDescent="0.3">
      <c r="A496" s="20">
        <v>45789</v>
      </c>
      <c r="B496">
        <v>13</v>
      </c>
      <c r="C496" t="s">
        <v>152</v>
      </c>
      <c r="D496">
        <v>4074</v>
      </c>
      <c r="E496">
        <v>460</v>
      </c>
      <c r="F496" t="s">
        <v>138</v>
      </c>
    </row>
    <row r="497" spans="1:6" x14ac:dyDescent="0.3">
      <c r="A497" s="20">
        <v>45789</v>
      </c>
      <c r="B497">
        <v>13</v>
      </c>
      <c r="C497" t="s">
        <v>232</v>
      </c>
      <c r="D497">
        <v>405</v>
      </c>
      <c r="E497">
        <v>40</v>
      </c>
      <c r="F497" t="s">
        <v>68</v>
      </c>
    </row>
    <row r="498" spans="1:6" x14ac:dyDescent="0.3">
      <c r="A498" s="20">
        <v>45789</v>
      </c>
      <c r="B498">
        <v>13</v>
      </c>
      <c r="C498" t="s">
        <v>238</v>
      </c>
      <c r="D498">
        <v>16884</v>
      </c>
      <c r="E498">
        <v>1737</v>
      </c>
      <c r="F498" t="s">
        <v>32</v>
      </c>
    </row>
    <row r="499" spans="1:6" x14ac:dyDescent="0.3">
      <c r="A499" s="20">
        <v>45789</v>
      </c>
      <c r="B499">
        <v>13</v>
      </c>
      <c r="C499" t="s">
        <v>261</v>
      </c>
      <c r="D499">
        <v>21832</v>
      </c>
      <c r="E499">
        <v>2793</v>
      </c>
      <c r="F499" t="s">
        <v>31</v>
      </c>
    </row>
    <row r="500" spans="1:6" x14ac:dyDescent="0.3">
      <c r="A500" s="20">
        <v>45789</v>
      </c>
      <c r="B500">
        <v>13</v>
      </c>
      <c r="C500" t="s">
        <v>256</v>
      </c>
      <c r="D500">
        <v>17526</v>
      </c>
      <c r="E500">
        <v>149</v>
      </c>
      <c r="F500" t="s">
        <v>163</v>
      </c>
    </row>
    <row r="501" spans="1:6" x14ac:dyDescent="0.3">
      <c r="A501" s="20">
        <v>45789</v>
      </c>
      <c r="B501">
        <v>13</v>
      </c>
      <c r="C501" t="s">
        <v>262</v>
      </c>
      <c r="D501">
        <v>19812</v>
      </c>
      <c r="E501">
        <v>413</v>
      </c>
      <c r="F501" t="s">
        <v>86</v>
      </c>
    </row>
    <row r="502" spans="1:6" x14ac:dyDescent="0.3">
      <c r="A502" s="20">
        <v>45789</v>
      </c>
      <c r="B502">
        <v>13</v>
      </c>
      <c r="C502" t="s">
        <v>250</v>
      </c>
      <c r="D502">
        <v>411</v>
      </c>
      <c r="E502">
        <v>65</v>
      </c>
      <c r="F502" t="s">
        <v>257</v>
      </c>
    </row>
    <row r="503" spans="1:6" x14ac:dyDescent="0.3">
      <c r="A503" s="20">
        <v>45789</v>
      </c>
      <c r="B503">
        <v>13</v>
      </c>
      <c r="C503" t="s">
        <v>160</v>
      </c>
      <c r="D503">
        <v>829</v>
      </c>
      <c r="E503">
        <v>187</v>
      </c>
      <c r="F503" t="s">
        <v>47</v>
      </c>
    </row>
    <row r="504" spans="1:6" x14ac:dyDescent="0.3">
      <c r="A504" s="20">
        <v>45789</v>
      </c>
      <c r="B504">
        <v>13</v>
      </c>
      <c r="C504" t="s">
        <v>160</v>
      </c>
      <c r="D504">
        <v>675</v>
      </c>
      <c r="E504">
        <v>102</v>
      </c>
      <c r="F504" t="s">
        <v>74</v>
      </c>
    </row>
    <row r="505" spans="1:6" x14ac:dyDescent="0.3">
      <c r="A505" s="20">
        <v>45789</v>
      </c>
      <c r="B505">
        <v>13</v>
      </c>
      <c r="C505" t="s">
        <v>160</v>
      </c>
      <c r="D505">
        <v>345</v>
      </c>
      <c r="E505">
        <v>84</v>
      </c>
      <c r="F505" t="s">
        <v>43</v>
      </c>
    </row>
    <row r="506" spans="1:6" x14ac:dyDescent="0.3">
      <c r="A506" s="20">
        <v>45789</v>
      </c>
      <c r="B506">
        <v>13</v>
      </c>
      <c r="C506" t="s">
        <v>126</v>
      </c>
      <c r="D506">
        <v>29</v>
      </c>
      <c r="E506">
        <v>29</v>
      </c>
      <c r="F506" t="s">
        <v>38</v>
      </c>
    </row>
    <row r="507" spans="1:6" x14ac:dyDescent="0.3">
      <c r="A507" s="20">
        <v>45789</v>
      </c>
      <c r="B507">
        <v>13</v>
      </c>
      <c r="C507" t="s">
        <v>235</v>
      </c>
      <c r="D507">
        <v>1008</v>
      </c>
      <c r="E507">
        <v>214</v>
      </c>
      <c r="F507" t="s">
        <v>161</v>
      </c>
    </row>
    <row r="508" spans="1:6" x14ac:dyDescent="0.3">
      <c r="A508" s="20">
        <v>45789</v>
      </c>
      <c r="B508">
        <v>14</v>
      </c>
      <c r="C508" t="s">
        <v>73</v>
      </c>
      <c r="D508">
        <v>0</v>
      </c>
      <c r="E508">
        <v>0</v>
      </c>
      <c r="F508" t="s">
        <v>39</v>
      </c>
    </row>
    <row r="509" spans="1:6" x14ac:dyDescent="0.3">
      <c r="A509" s="20">
        <v>45789</v>
      </c>
      <c r="B509">
        <v>14</v>
      </c>
      <c r="C509" t="s">
        <v>73</v>
      </c>
      <c r="D509">
        <v>0</v>
      </c>
      <c r="E509">
        <v>0</v>
      </c>
      <c r="F509" t="s">
        <v>231</v>
      </c>
    </row>
    <row r="510" spans="1:6" x14ac:dyDescent="0.3">
      <c r="A510" s="20">
        <v>45789</v>
      </c>
      <c r="B510">
        <v>14</v>
      </c>
      <c r="C510" t="s">
        <v>73</v>
      </c>
      <c r="D510">
        <v>0</v>
      </c>
      <c r="E510">
        <v>0</v>
      </c>
      <c r="F510" t="s">
        <v>75</v>
      </c>
    </row>
    <row r="511" spans="1:6" x14ac:dyDescent="0.3">
      <c r="A511" s="20">
        <v>45789</v>
      </c>
      <c r="B511">
        <v>14</v>
      </c>
      <c r="C511" t="s">
        <v>52</v>
      </c>
      <c r="D511">
        <v>38208</v>
      </c>
      <c r="E511">
        <v>1621</v>
      </c>
      <c r="F511" t="s">
        <v>31</v>
      </c>
    </row>
    <row r="512" spans="1:6" x14ac:dyDescent="0.3">
      <c r="A512" s="20">
        <v>45789</v>
      </c>
      <c r="B512">
        <v>14</v>
      </c>
      <c r="C512" t="s">
        <v>238</v>
      </c>
      <c r="D512">
        <v>6139</v>
      </c>
      <c r="E512">
        <v>720</v>
      </c>
      <c r="F512" t="s">
        <v>229</v>
      </c>
    </row>
    <row r="513" spans="1:6" x14ac:dyDescent="0.3">
      <c r="A513" s="20">
        <v>45789</v>
      </c>
      <c r="B513">
        <v>14</v>
      </c>
      <c r="C513" t="s">
        <v>250</v>
      </c>
      <c r="D513">
        <v>7138</v>
      </c>
      <c r="E513">
        <v>1084</v>
      </c>
      <c r="F513" t="s">
        <v>252</v>
      </c>
    </row>
    <row r="514" spans="1:6" x14ac:dyDescent="0.3">
      <c r="A514" s="20">
        <v>45789</v>
      </c>
      <c r="B514">
        <v>14</v>
      </c>
      <c r="C514" t="s">
        <v>160</v>
      </c>
      <c r="D514">
        <v>258</v>
      </c>
      <c r="E514">
        <v>49</v>
      </c>
      <c r="F514" t="s">
        <v>32</v>
      </c>
    </row>
    <row r="515" spans="1:6" x14ac:dyDescent="0.3">
      <c r="A515" s="20">
        <v>45789</v>
      </c>
      <c r="B515">
        <v>14</v>
      </c>
      <c r="C515" t="s">
        <v>160</v>
      </c>
      <c r="D515">
        <v>11296</v>
      </c>
      <c r="E515">
        <v>1357</v>
      </c>
      <c r="F515" t="s">
        <v>234</v>
      </c>
    </row>
    <row r="516" spans="1:6" x14ac:dyDescent="0.3">
      <c r="A516" s="20">
        <v>45789</v>
      </c>
      <c r="B516">
        <v>14</v>
      </c>
      <c r="C516" t="s">
        <v>162</v>
      </c>
      <c r="D516">
        <v>10979</v>
      </c>
      <c r="E516">
        <v>1478</v>
      </c>
      <c r="F516" t="s">
        <v>47</v>
      </c>
    </row>
    <row r="517" spans="1:6" x14ac:dyDescent="0.3">
      <c r="A517" s="20">
        <v>45789</v>
      </c>
      <c r="B517">
        <v>14</v>
      </c>
      <c r="C517" t="s">
        <v>125</v>
      </c>
      <c r="D517">
        <v>110821</v>
      </c>
      <c r="E517">
        <v>6156</v>
      </c>
      <c r="F517" t="s">
        <v>38</v>
      </c>
    </row>
    <row r="518" spans="1:6" x14ac:dyDescent="0.3">
      <c r="A518" s="20">
        <v>45789</v>
      </c>
      <c r="B518">
        <v>14</v>
      </c>
      <c r="C518" t="s">
        <v>253</v>
      </c>
      <c r="D518">
        <v>781</v>
      </c>
      <c r="E518">
        <v>155</v>
      </c>
      <c r="F518" t="s">
        <v>44</v>
      </c>
    </row>
    <row r="519" spans="1:6" x14ac:dyDescent="0.3">
      <c r="A519" s="20">
        <v>45789</v>
      </c>
      <c r="B519">
        <v>15</v>
      </c>
      <c r="C519" t="s">
        <v>73</v>
      </c>
      <c r="D519">
        <v>3</v>
      </c>
      <c r="E519">
        <v>3</v>
      </c>
      <c r="F519" t="s">
        <v>31</v>
      </c>
    </row>
    <row r="520" spans="1:6" x14ac:dyDescent="0.3">
      <c r="A520" s="20">
        <v>45789</v>
      </c>
      <c r="B520">
        <v>15</v>
      </c>
      <c r="C520" t="s">
        <v>73</v>
      </c>
      <c r="D520">
        <v>0</v>
      </c>
      <c r="E520">
        <v>0</v>
      </c>
      <c r="F520" t="s">
        <v>161</v>
      </c>
    </row>
    <row r="521" spans="1:6" x14ac:dyDescent="0.3">
      <c r="A521" s="20">
        <v>45789</v>
      </c>
      <c r="B521">
        <v>15</v>
      </c>
      <c r="C521" t="s">
        <v>73</v>
      </c>
      <c r="D521">
        <v>0</v>
      </c>
      <c r="E521">
        <v>0</v>
      </c>
      <c r="F521" t="s">
        <v>72</v>
      </c>
    </row>
    <row r="522" spans="1:6" x14ac:dyDescent="0.3">
      <c r="A522" s="20">
        <v>45789</v>
      </c>
      <c r="B522">
        <v>15</v>
      </c>
      <c r="C522" t="s">
        <v>73</v>
      </c>
      <c r="D522">
        <v>1</v>
      </c>
      <c r="E522">
        <v>0</v>
      </c>
      <c r="F522" t="s">
        <v>77</v>
      </c>
    </row>
    <row r="523" spans="1:6" x14ac:dyDescent="0.3">
      <c r="A523" s="20">
        <v>45789</v>
      </c>
      <c r="B523">
        <v>15</v>
      </c>
      <c r="C523" t="s">
        <v>153</v>
      </c>
      <c r="D523">
        <v>5567</v>
      </c>
      <c r="E523">
        <v>160</v>
      </c>
      <c r="F523" t="s">
        <v>248</v>
      </c>
    </row>
    <row r="524" spans="1:6" x14ac:dyDescent="0.3">
      <c r="A524" s="20">
        <v>45789</v>
      </c>
      <c r="B524">
        <v>15</v>
      </c>
      <c r="C524" t="s">
        <v>156</v>
      </c>
      <c r="D524">
        <v>6999</v>
      </c>
      <c r="E524">
        <v>559</v>
      </c>
      <c r="F524" t="s">
        <v>229</v>
      </c>
    </row>
    <row r="525" spans="1:6" x14ac:dyDescent="0.3">
      <c r="A525" s="20">
        <v>45789</v>
      </c>
      <c r="B525">
        <v>15</v>
      </c>
      <c r="C525" t="s">
        <v>156</v>
      </c>
      <c r="D525">
        <v>11524</v>
      </c>
      <c r="E525">
        <v>1200</v>
      </c>
      <c r="F525" t="s">
        <v>43</v>
      </c>
    </row>
    <row r="526" spans="1:6" x14ac:dyDescent="0.3">
      <c r="A526" s="20">
        <v>45789</v>
      </c>
      <c r="B526">
        <v>15</v>
      </c>
      <c r="C526" t="s">
        <v>67</v>
      </c>
      <c r="D526">
        <v>6664</v>
      </c>
      <c r="E526">
        <v>319</v>
      </c>
      <c r="F526" t="s">
        <v>31</v>
      </c>
    </row>
    <row r="527" spans="1:6" x14ac:dyDescent="0.3">
      <c r="A527" s="20">
        <v>45789</v>
      </c>
      <c r="B527">
        <v>15</v>
      </c>
      <c r="C527" t="s">
        <v>41</v>
      </c>
      <c r="D527">
        <v>2879</v>
      </c>
      <c r="E527">
        <v>168</v>
      </c>
      <c r="F527" t="s">
        <v>31</v>
      </c>
    </row>
    <row r="528" spans="1:6" x14ac:dyDescent="0.3">
      <c r="A528" s="20">
        <v>45789</v>
      </c>
      <c r="B528">
        <v>15</v>
      </c>
      <c r="C528" t="s">
        <v>247</v>
      </c>
      <c r="D528">
        <v>12237</v>
      </c>
      <c r="E528">
        <v>1337</v>
      </c>
      <c r="F528" t="s">
        <v>31</v>
      </c>
    </row>
    <row r="529" spans="1:6" x14ac:dyDescent="0.3">
      <c r="A529" s="20">
        <v>45789</v>
      </c>
      <c r="B529">
        <v>15</v>
      </c>
      <c r="C529" t="s">
        <v>238</v>
      </c>
      <c r="D529">
        <v>8391</v>
      </c>
      <c r="E529">
        <v>1019</v>
      </c>
      <c r="F529" t="s">
        <v>47</v>
      </c>
    </row>
    <row r="530" spans="1:6" x14ac:dyDescent="0.3">
      <c r="A530" s="20">
        <v>45789</v>
      </c>
      <c r="B530">
        <v>15</v>
      </c>
      <c r="C530" t="s">
        <v>255</v>
      </c>
      <c r="D530">
        <v>8918</v>
      </c>
      <c r="E530">
        <v>1587</v>
      </c>
      <c r="F530" t="s">
        <v>74</v>
      </c>
    </row>
    <row r="531" spans="1:6" x14ac:dyDescent="0.3">
      <c r="A531" s="20">
        <v>45789</v>
      </c>
      <c r="B531">
        <v>15</v>
      </c>
      <c r="C531" t="s">
        <v>155</v>
      </c>
      <c r="D531">
        <v>259</v>
      </c>
      <c r="E531">
        <v>66</v>
      </c>
      <c r="F531" t="s">
        <v>229</v>
      </c>
    </row>
    <row r="532" spans="1:6" x14ac:dyDescent="0.3">
      <c r="A532" s="20">
        <v>45789</v>
      </c>
      <c r="B532">
        <v>15</v>
      </c>
      <c r="C532" t="s">
        <v>250</v>
      </c>
      <c r="D532">
        <v>96</v>
      </c>
      <c r="E532">
        <v>21</v>
      </c>
      <c r="F532" t="s">
        <v>34</v>
      </c>
    </row>
    <row r="533" spans="1:6" x14ac:dyDescent="0.3">
      <c r="A533" s="20">
        <v>45789</v>
      </c>
      <c r="B533">
        <v>15</v>
      </c>
      <c r="C533" t="s">
        <v>250</v>
      </c>
      <c r="D533">
        <v>67</v>
      </c>
      <c r="E533">
        <v>6</v>
      </c>
      <c r="F533" t="s">
        <v>74</v>
      </c>
    </row>
    <row r="534" spans="1:6" x14ac:dyDescent="0.3">
      <c r="A534" s="20">
        <v>45789</v>
      </c>
      <c r="B534">
        <v>15</v>
      </c>
      <c r="C534" t="s">
        <v>160</v>
      </c>
      <c r="D534">
        <v>4416</v>
      </c>
      <c r="E534">
        <v>705</v>
      </c>
      <c r="F534" t="s">
        <v>229</v>
      </c>
    </row>
    <row r="535" spans="1:6" x14ac:dyDescent="0.3">
      <c r="A535" s="20">
        <v>45789</v>
      </c>
      <c r="B535">
        <v>15</v>
      </c>
      <c r="C535" t="s">
        <v>251</v>
      </c>
      <c r="D535">
        <v>3767</v>
      </c>
      <c r="E535">
        <v>439</v>
      </c>
      <c r="F535" t="s">
        <v>47</v>
      </c>
    </row>
    <row r="536" spans="1:6" x14ac:dyDescent="0.3">
      <c r="A536" s="20">
        <v>45789</v>
      </c>
      <c r="B536">
        <v>15</v>
      </c>
      <c r="C536" t="s">
        <v>235</v>
      </c>
      <c r="D536">
        <v>12561</v>
      </c>
      <c r="E536">
        <v>1964</v>
      </c>
      <c r="F536" t="s">
        <v>75</v>
      </c>
    </row>
    <row r="537" spans="1:6" x14ac:dyDescent="0.3">
      <c r="A537" s="20">
        <v>45789</v>
      </c>
      <c r="B537">
        <v>16</v>
      </c>
      <c r="C537" t="s">
        <v>228</v>
      </c>
      <c r="D537">
        <v>14339</v>
      </c>
      <c r="E537">
        <v>2123</v>
      </c>
      <c r="F537" t="s">
        <v>45</v>
      </c>
    </row>
    <row r="538" spans="1:6" x14ac:dyDescent="0.3">
      <c r="A538" s="20">
        <v>45789</v>
      </c>
      <c r="B538">
        <v>16</v>
      </c>
      <c r="C538" t="s">
        <v>249</v>
      </c>
      <c r="D538">
        <v>8909</v>
      </c>
      <c r="E538">
        <v>367</v>
      </c>
      <c r="F538" t="s">
        <v>31</v>
      </c>
    </row>
    <row r="539" spans="1:6" x14ac:dyDescent="0.3">
      <c r="A539" s="20">
        <v>45789</v>
      </c>
      <c r="B539">
        <v>16</v>
      </c>
      <c r="C539" t="s">
        <v>36</v>
      </c>
      <c r="D539">
        <v>428</v>
      </c>
      <c r="E539">
        <v>94</v>
      </c>
      <c r="F539" t="s">
        <v>31</v>
      </c>
    </row>
    <row r="540" spans="1:6" x14ac:dyDescent="0.3">
      <c r="A540" s="20">
        <v>45789</v>
      </c>
      <c r="B540">
        <v>16</v>
      </c>
      <c r="C540" t="s">
        <v>232</v>
      </c>
      <c r="D540">
        <v>379</v>
      </c>
      <c r="E540">
        <v>44</v>
      </c>
      <c r="F540" t="s">
        <v>68</v>
      </c>
    </row>
    <row r="541" spans="1:6" x14ac:dyDescent="0.3">
      <c r="A541" s="20">
        <v>45789</v>
      </c>
      <c r="B541">
        <v>16</v>
      </c>
      <c r="C541" t="s">
        <v>238</v>
      </c>
      <c r="D541">
        <v>8652</v>
      </c>
      <c r="E541">
        <v>814</v>
      </c>
      <c r="F541" t="s">
        <v>32</v>
      </c>
    </row>
    <row r="542" spans="1:6" x14ac:dyDescent="0.3">
      <c r="A542" s="20">
        <v>45789</v>
      </c>
      <c r="B542">
        <v>16</v>
      </c>
      <c r="C542" t="s">
        <v>261</v>
      </c>
      <c r="D542">
        <v>15448</v>
      </c>
      <c r="E542">
        <v>1985</v>
      </c>
      <c r="F542" t="s">
        <v>31</v>
      </c>
    </row>
    <row r="543" spans="1:6" x14ac:dyDescent="0.3">
      <c r="A543" s="20">
        <v>45789</v>
      </c>
      <c r="B543">
        <v>16</v>
      </c>
      <c r="C543" t="s">
        <v>256</v>
      </c>
      <c r="D543">
        <v>15519</v>
      </c>
      <c r="E543">
        <v>216</v>
      </c>
      <c r="F543" t="s">
        <v>163</v>
      </c>
    </row>
    <row r="544" spans="1:6" x14ac:dyDescent="0.3">
      <c r="A544" s="20">
        <v>45789</v>
      </c>
      <c r="B544">
        <v>16</v>
      </c>
      <c r="C544" t="s">
        <v>262</v>
      </c>
      <c r="D544">
        <v>15959</v>
      </c>
      <c r="E544">
        <v>290</v>
      </c>
      <c r="F544" t="s">
        <v>86</v>
      </c>
    </row>
    <row r="545" spans="1:6" x14ac:dyDescent="0.3">
      <c r="A545" s="20">
        <v>45789</v>
      </c>
      <c r="B545">
        <v>16</v>
      </c>
      <c r="C545" t="s">
        <v>250</v>
      </c>
      <c r="D545">
        <v>54</v>
      </c>
      <c r="E545">
        <v>9</v>
      </c>
      <c r="F545" t="s">
        <v>85</v>
      </c>
    </row>
    <row r="546" spans="1:6" x14ac:dyDescent="0.3">
      <c r="A546" s="20">
        <v>45789</v>
      </c>
      <c r="B546">
        <v>16</v>
      </c>
      <c r="C546" t="s">
        <v>250</v>
      </c>
      <c r="D546">
        <v>361</v>
      </c>
      <c r="E546">
        <v>81</v>
      </c>
      <c r="F546" t="s">
        <v>257</v>
      </c>
    </row>
    <row r="547" spans="1:6" x14ac:dyDescent="0.3">
      <c r="A547" s="20">
        <v>45789</v>
      </c>
      <c r="B547">
        <v>16</v>
      </c>
      <c r="C547" t="s">
        <v>160</v>
      </c>
      <c r="D547">
        <v>742</v>
      </c>
      <c r="E547">
        <v>135</v>
      </c>
      <c r="F547" t="s">
        <v>47</v>
      </c>
    </row>
    <row r="548" spans="1:6" x14ac:dyDescent="0.3">
      <c r="A548" s="20">
        <v>45789</v>
      </c>
      <c r="B548">
        <v>16</v>
      </c>
      <c r="C548" t="s">
        <v>160</v>
      </c>
      <c r="D548">
        <v>419</v>
      </c>
      <c r="E548">
        <v>78</v>
      </c>
      <c r="F548" t="s">
        <v>74</v>
      </c>
    </row>
    <row r="549" spans="1:6" x14ac:dyDescent="0.3">
      <c r="A549" s="20">
        <v>45789</v>
      </c>
      <c r="B549">
        <v>16</v>
      </c>
      <c r="C549" t="s">
        <v>124</v>
      </c>
      <c r="D549">
        <v>78259</v>
      </c>
      <c r="E549">
        <v>3831</v>
      </c>
      <c r="F549" t="s">
        <v>38</v>
      </c>
    </row>
    <row r="550" spans="1:6" x14ac:dyDescent="0.3">
      <c r="A550" s="20">
        <v>45789</v>
      </c>
      <c r="B550">
        <v>16</v>
      </c>
      <c r="C550" t="s">
        <v>126</v>
      </c>
      <c r="D550">
        <v>15</v>
      </c>
      <c r="E550">
        <v>15</v>
      </c>
      <c r="F550" t="s">
        <v>38</v>
      </c>
    </row>
    <row r="551" spans="1:6" x14ac:dyDescent="0.3">
      <c r="A551" s="20">
        <v>45789</v>
      </c>
      <c r="B551">
        <v>16</v>
      </c>
      <c r="C551" t="s">
        <v>165</v>
      </c>
      <c r="D551">
        <v>6</v>
      </c>
      <c r="E551">
        <v>6</v>
      </c>
      <c r="F551" t="s">
        <v>38</v>
      </c>
    </row>
    <row r="552" spans="1:6" x14ac:dyDescent="0.3">
      <c r="A552" s="20">
        <v>45789</v>
      </c>
      <c r="B552">
        <v>16</v>
      </c>
      <c r="C552" t="s">
        <v>235</v>
      </c>
      <c r="D552">
        <v>855</v>
      </c>
      <c r="E552">
        <v>140</v>
      </c>
      <c r="F552" t="s">
        <v>161</v>
      </c>
    </row>
    <row r="553" spans="1:6" x14ac:dyDescent="0.3">
      <c r="A553" s="20">
        <v>45789</v>
      </c>
      <c r="B553">
        <v>17</v>
      </c>
      <c r="C553" t="s">
        <v>73</v>
      </c>
      <c r="D553">
        <v>0</v>
      </c>
      <c r="E553">
        <v>0</v>
      </c>
      <c r="F553" t="s">
        <v>39</v>
      </c>
    </row>
    <row r="554" spans="1:6" x14ac:dyDescent="0.3">
      <c r="A554" s="20">
        <v>45789</v>
      </c>
      <c r="B554">
        <v>17</v>
      </c>
      <c r="C554" t="s">
        <v>73</v>
      </c>
      <c r="D554">
        <v>0</v>
      </c>
      <c r="E554">
        <v>0</v>
      </c>
      <c r="F554" t="s">
        <v>231</v>
      </c>
    </row>
    <row r="555" spans="1:6" x14ac:dyDescent="0.3">
      <c r="A555" s="20">
        <v>45789</v>
      </c>
      <c r="B555">
        <v>17</v>
      </c>
      <c r="C555" t="s">
        <v>73</v>
      </c>
      <c r="D555">
        <v>0</v>
      </c>
      <c r="E555">
        <v>0</v>
      </c>
      <c r="F555" t="s">
        <v>75</v>
      </c>
    </row>
    <row r="556" spans="1:6" x14ac:dyDescent="0.3">
      <c r="A556" s="20">
        <v>45789</v>
      </c>
      <c r="B556">
        <v>17</v>
      </c>
      <c r="C556" t="s">
        <v>158</v>
      </c>
      <c r="D556">
        <v>6742</v>
      </c>
      <c r="E556">
        <v>384</v>
      </c>
      <c r="F556" t="s">
        <v>31</v>
      </c>
    </row>
    <row r="557" spans="1:6" x14ac:dyDescent="0.3">
      <c r="A557" s="20">
        <v>45789</v>
      </c>
      <c r="B557">
        <v>17</v>
      </c>
      <c r="C557" t="s">
        <v>52</v>
      </c>
      <c r="D557">
        <v>32129</v>
      </c>
      <c r="E557">
        <v>1427</v>
      </c>
      <c r="F557" t="s">
        <v>31</v>
      </c>
    </row>
    <row r="558" spans="1:6" x14ac:dyDescent="0.3">
      <c r="A558" s="20">
        <v>45789</v>
      </c>
      <c r="B558">
        <v>17</v>
      </c>
      <c r="C558" t="s">
        <v>233</v>
      </c>
      <c r="D558">
        <v>3549</v>
      </c>
      <c r="E558">
        <v>388</v>
      </c>
      <c r="F558" t="s">
        <v>39</v>
      </c>
    </row>
    <row r="559" spans="1:6" x14ac:dyDescent="0.3">
      <c r="A559" s="20">
        <v>45789</v>
      </c>
      <c r="B559">
        <v>17</v>
      </c>
      <c r="C559" t="s">
        <v>238</v>
      </c>
      <c r="D559">
        <v>6237</v>
      </c>
      <c r="E559">
        <v>983</v>
      </c>
      <c r="F559" t="s">
        <v>229</v>
      </c>
    </row>
    <row r="560" spans="1:6" x14ac:dyDescent="0.3">
      <c r="A560" s="20">
        <v>45789</v>
      </c>
      <c r="B560">
        <v>17</v>
      </c>
      <c r="C560" t="s">
        <v>162</v>
      </c>
      <c r="D560">
        <v>6680</v>
      </c>
      <c r="E560">
        <v>936</v>
      </c>
      <c r="F560" t="s">
        <v>47</v>
      </c>
    </row>
    <row r="561" spans="1:6" x14ac:dyDescent="0.3">
      <c r="A561" s="20">
        <v>45789</v>
      </c>
      <c r="B561">
        <v>17</v>
      </c>
      <c r="C561" t="s">
        <v>40</v>
      </c>
      <c r="D561">
        <v>116155</v>
      </c>
      <c r="E561">
        <v>6177</v>
      </c>
      <c r="F561" t="s">
        <v>38</v>
      </c>
    </row>
    <row r="562" spans="1:6" x14ac:dyDescent="0.3">
      <c r="A562" s="20">
        <v>45789</v>
      </c>
      <c r="B562">
        <v>17</v>
      </c>
      <c r="C562" t="s">
        <v>76</v>
      </c>
      <c r="D562">
        <v>53224</v>
      </c>
      <c r="E562">
        <v>2282</v>
      </c>
      <c r="F562" t="s">
        <v>38</v>
      </c>
    </row>
    <row r="563" spans="1:6" x14ac:dyDescent="0.3">
      <c r="A563" s="20">
        <v>45789</v>
      </c>
      <c r="B563">
        <v>18</v>
      </c>
      <c r="C563" t="s">
        <v>73</v>
      </c>
      <c r="D563">
        <v>11</v>
      </c>
      <c r="E563">
        <v>11</v>
      </c>
      <c r="F563" t="s">
        <v>31</v>
      </c>
    </row>
    <row r="564" spans="1:6" x14ac:dyDescent="0.3">
      <c r="A564" s="20">
        <v>45789</v>
      </c>
      <c r="B564">
        <v>18</v>
      </c>
      <c r="C564" t="s">
        <v>73</v>
      </c>
      <c r="D564">
        <v>0</v>
      </c>
      <c r="E564">
        <v>0</v>
      </c>
      <c r="F564" t="s">
        <v>161</v>
      </c>
    </row>
    <row r="565" spans="1:6" x14ac:dyDescent="0.3">
      <c r="A565" s="20">
        <v>45789</v>
      </c>
      <c r="B565">
        <v>18</v>
      </c>
      <c r="C565" t="s">
        <v>73</v>
      </c>
      <c r="D565">
        <v>0</v>
      </c>
      <c r="E565">
        <v>0</v>
      </c>
      <c r="F565" t="s">
        <v>72</v>
      </c>
    </row>
    <row r="566" spans="1:6" x14ac:dyDescent="0.3">
      <c r="A566" s="20">
        <v>45789</v>
      </c>
      <c r="B566">
        <v>18</v>
      </c>
      <c r="C566" t="s">
        <v>153</v>
      </c>
      <c r="D566">
        <v>1534</v>
      </c>
      <c r="E566">
        <v>46</v>
      </c>
      <c r="F566" t="s">
        <v>248</v>
      </c>
    </row>
    <row r="567" spans="1:6" x14ac:dyDescent="0.3">
      <c r="A567" s="20">
        <v>45789</v>
      </c>
      <c r="B567">
        <v>18</v>
      </c>
      <c r="C567" t="s">
        <v>156</v>
      </c>
      <c r="D567">
        <v>5858</v>
      </c>
      <c r="E567">
        <v>467</v>
      </c>
      <c r="F567" t="s">
        <v>229</v>
      </c>
    </row>
    <row r="568" spans="1:6" x14ac:dyDescent="0.3">
      <c r="A568" s="20">
        <v>45789</v>
      </c>
      <c r="B568">
        <v>18</v>
      </c>
      <c r="C568" t="s">
        <v>156</v>
      </c>
      <c r="D568">
        <v>8156</v>
      </c>
      <c r="E568">
        <v>831</v>
      </c>
      <c r="F568" t="s">
        <v>43</v>
      </c>
    </row>
    <row r="569" spans="1:6" x14ac:dyDescent="0.3">
      <c r="A569" s="20">
        <v>45789</v>
      </c>
      <c r="B569">
        <v>18</v>
      </c>
      <c r="C569" t="s">
        <v>67</v>
      </c>
      <c r="D569">
        <v>28015</v>
      </c>
      <c r="E569">
        <v>904</v>
      </c>
      <c r="F569" t="s">
        <v>31</v>
      </c>
    </row>
    <row r="570" spans="1:6" x14ac:dyDescent="0.3">
      <c r="A570" s="20">
        <v>45789</v>
      </c>
      <c r="B570">
        <v>18</v>
      </c>
      <c r="C570" t="s">
        <v>238</v>
      </c>
      <c r="D570">
        <v>8904</v>
      </c>
      <c r="E570">
        <v>1157</v>
      </c>
      <c r="F570" t="s">
        <v>47</v>
      </c>
    </row>
    <row r="571" spans="1:6" x14ac:dyDescent="0.3">
      <c r="A571" s="20">
        <v>45789</v>
      </c>
      <c r="B571">
        <v>18</v>
      </c>
      <c r="C571" t="s">
        <v>255</v>
      </c>
      <c r="D571">
        <v>7199</v>
      </c>
      <c r="E571">
        <v>1276</v>
      </c>
      <c r="F571" t="s">
        <v>74</v>
      </c>
    </row>
    <row r="572" spans="1:6" x14ac:dyDescent="0.3">
      <c r="A572" s="20">
        <v>45789</v>
      </c>
      <c r="B572">
        <v>18</v>
      </c>
      <c r="C572" t="s">
        <v>250</v>
      </c>
      <c r="D572">
        <v>111</v>
      </c>
      <c r="E572">
        <v>26</v>
      </c>
      <c r="F572" t="s">
        <v>34</v>
      </c>
    </row>
    <row r="573" spans="1:6" x14ac:dyDescent="0.3">
      <c r="A573" s="20">
        <v>45789</v>
      </c>
      <c r="B573">
        <v>18</v>
      </c>
      <c r="C573" t="s">
        <v>250</v>
      </c>
      <c r="D573">
        <v>65</v>
      </c>
      <c r="E573">
        <v>2</v>
      </c>
      <c r="F573" t="s">
        <v>74</v>
      </c>
    </row>
    <row r="574" spans="1:6" x14ac:dyDescent="0.3">
      <c r="A574" s="20">
        <v>45789</v>
      </c>
      <c r="B574">
        <v>18</v>
      </c>
      <c r="C574" t="s">
        <v>235</v>
      </c>
      <c r="D574">
        <v>10397</v>
      </c>
      <c r="E574">
        <v>1435</v>
      </c>
      <c r="F574" t="s">
        <v>75</v>
      </c>
    </row>
    <row r="575" spans="1:6" x14ac:dyDescent="0.3">
      <c r="A575" s="20">
        <v>45789</v>
      </c>
      <c r="B575">
        <v>19</v>
      </c>
      <c r="C575" t="s">
        <v>228</v>
      </c>
      <c r="D575">
        <v>12892</v>
      </c>
      <c r="E575">
        <v>1487</v>
      </c>
      <c r="F575" t="s">
        <v>45</v>
      </c>
    </row>
    <row r="576" spans="1:6" x14ac:dyDescent="0.3">
      <c r="A576" s="20">
        <v>45789</v>
      </c>
      <c r="B576">
        <v>19</v>
      </c>
      <c r="C576" t="s">
        <v>228</v>
      </c>
      <c r="D576">
        <v>121</v>
      </c>
      <c r="E576">
        <v>11</v>
      </c>
      <c r="F576" t="s">
        <v>72</v>
      </c>
    </row>
    <row r="577" spans="1:6" x14ac:dyDescent="0.3">
      <c r="A577" s="20">
        <v>45789</v>
      </c>
      <c r="B577">
        <v>19</v>
      </c>
      <c r="C577" t="s">
        <v>36</v>
      </c>
      <c r="D577">
        <v>26</v>
      </c>
      <c r="E577">
        <v>2</v>
      </c>
      <c r="F577" t="s">
        <v>31</v>
      </c>
    </row>
    <row r="578" spans="1:6" x14ac:dyDescent="0.3">
      <c r="A578" s="20">
        <v>45789</v>
      </c>
      <c r="B578">
        <v>19</v>
      </c>
      <c r="C578" t="s">
        <v>245</v>
      </c>
      <c r="D578">
        <v>50128</v>
      </c>
      <c r="E578">
        <v>5338</v>
      </c>
      <c r="F578" t="s">
        <v>31</v>
      </c>
    </row>
    <row r="579" spans="1:6" x14ac:dyDescent="0.3">
      <c r="A579" s="20">
        <v>45789</v>
      </c>
      <c r="B579">
        <v>19</v>
      </c>
      <c r="C579" t="s">
        <v>232</v>
      </c>
      <c r="D579">
        <v>288</v>
      </c>
      <c r="E579">
        <v>17</v>
      </c>
      <c r="F579" t="s">
        <v>68</v>
      </c>
    </row>
    <row r="580" spans="1:6" x14ac:dyDescent="0.3">
      <c r="A580" s="20">
        <v>45789</v>
      </c>
      <c r="B580">
        <v>19</v>
      </c>
      <c r="C580" t="s">
        <v>238</v>
      </c>
      <c r="D580">
        <v>3255</v>
      </c>
      <c r="E580">
        <v>212</v>
      </c>
      <c r="F580" t="s">
        <v>32</v>
      </c>
    </row>
    <row r="581" spans="1:6" x14ac:dyDescent="0.3">
      <c r="A581" s="20">
        <v>45789</v>
      </c>
      <c r="B581">
        <v>19</v>
      </c>
      <c r="C581" t="s">
        <v>256</v>
      </c>
      <c r="D581">
        <v>9924</v>
      </c>
      <c r="E581">
        <v>181</v>
      </c>
      <c r="F581" t="s">
        <v>163</v>
      </c>
    </row>
    <row r="582" spans="1:6" x14ac:dyDescent="0.3">
      <c r="A582" s="20">
        <v>45789</v>
      </c>
      <c r="B582">
        <v>19</v>
      </c>
      <c r="C582" t="s">
        <v>250</v>
      </c>
      <c r="D582">
        <v>143</v>
      </c>
      <c r="E582">
        <v>18</v>
      </c>
      <c r="F582" t="s">
        <v>85</v>
      </c>
    </row>
    <row r="583" spans="1:6" x14ac:dyDescent="0.3">
      <c r="A583" s="20">
        <v>45789</v>
      </c>
      <c r="B583">
        <v>19</v>
      </c>
      <c r="C583" t="s">
        <v>160</v>
      </c>
      <c r="D583">
        <v>295</v>
      </c>
      <c r="E583">
        <v>45</v>
      </c>
      <c r="F583" t="s">
        <v>74</v>
      </c>
    </row>
    <row r="584" spans="1:6" x14ac:dyDescent="0.3">
      <c r="A584" s="20">
        <v>45789</v>
      </c>
      <c r="B584">
        <v>19</v>
      </c>
      <c r="C584" t="s">
        <v>124</v>
      </c>
      <c r="D584">
        <v>51697</v>
      </c>
      <c r="E584">
        <v>2057</v>
      </c>
      <c r="F584" t="s">
        <v>38</v>
      </c>
    </row>
    <row r="585" spans="1:6" x14ac:dyDescent="0.3">
      <c r="A585" s="20">
        <v>45789</v>
      </c>
      <c r="B585">
        <v>19</v>
      </c>
      <c r="C585" t="s">
        <v>165</v>
      </c>
      <c r="D585">
        <v>2</v>
      </c>
      <c r="E585">
        <v>2</v>
      </c>
      <c r="F585" t="s">
        <v>38</v>
      </c>
    </row>
    <row r="586" spans="1:6" x14ac:dyDescent="0.3">
      <c r="A586" s="20">
        <v>45789</v>
      </c>
      <c r="B586">
        <v>20</v>
      </c>
      <c r="C586" t="s">
        <v>73</v>
      </c>
      <c r="D586">
        <v>0</v>
      </c>
      <c r="E586">
        <v>0</v>
      </c>
      <c r="F586" t="s">
        <v>231</v>
      </c>
    </row>
    <row r="587" spans="1:6" x14ac:dyDescent="0.3">
      <c r="A587" s="20">
        <v>45789</v>
      </c>
      <c r="B587">
        <v>20</v>
      </c>
      <c r="C587" t="s">
        <v>73</v>
      </c>
      <c r="D587">
        <v>0</v>
      </c>
      <c r="E587">
        <v>0</v>
      </c>
      <c r="F587" t="s">
        <v>75</v>
      </c>
    </row>
    <row r="588" spans="1:6" x14ac:dyDescent="0.3">
      <c r="A588" s="20">
        <v>45789</v>
      </c>
      <c r="B588">
        <v>20</v>
      </c>
      <c r="C588" t="s">
        <v>158</v>
      </c>
      <c r="D588">
        <v>18617</v>
      </c>
      <c r="E588">
        <v>516</v>
      </c>
      <c r="F588" t="s">
        <v>31</v>
      </c>
    </row>
    <row r="589" spans="1:6" x14ac:dyDescent="0.3">
      <c r="A589" s="20">
        <v>45789</v>
      </c>
      <c r="B589">
        <v>20</v>
      </c>
      <c r="C589" t="s">
        <v>246</v>
      </c>
      <c r="D589">
        <v>8715</v>
      </c>
      <c r="E589">
        <v>882</v>
      </c>
      <c r="F589" t="s">
        <v>31</v>
      </c>
    </row>
    <row r="590" spans="1:6" x14ac:dyDescent="0.3">
      <c r="A590" s="20">
        <v>45789</v>
      </c>
      <c r="B590">
        <v>20</v>
      </c>
      <c r="C590" t="s">
        <v>233</v>
      </c>
      <c r="D590">
        <v>2095</v>
      </c>
      <c r="E590">
        <v>381</v>
      </c>
      <c r="F590" t="s">
        <v>34</v>
      </c>
    </row>
    <row r="591" spans="1:6" x14ac:dyDescent="0.3">
      <c r="A591" s="20">
        <v>45789</v>
      </c>
      <c r="B591">
        <v>20</v>
      </c>
      <c r="C591" t="s">
        <v>233</v>
      </c>
      <c r="D591">
        <v>1256</v>
      </c>
      <c r="E591">
        <v>116</v>
      </c>
      <c r="F591" t="s">
        <v>39</v>
      </c>
    </row>
    <row r="592" spans="1:6" x14ac:dyDescent="0.3">
      <c r="A592" s="20">
        <v>45789</v>
      </c>
      <c r="B592">
        <v>20</v>
      </c>
      <c r="C592" t="s">
        <v>238</v>
      </c>
      <c r="D592">
        <v>2847</v>
      </c>
      <c r="E592">
        <v>275</v>
      </c>
      <c r="F592" t="s">
        <v>229</v>
      </c>
    </row>
    <row r="593" spans="1:6" x14ac:dyDescent="0.3">
      <c r="A593" s="20">
        <v>45789</v>
      </c>
      <c r="B593">
        <v>20</v>
      </c>
      <c r="C593" t="s">
        <v>160</v>
      </c>
      <c r="D593">
        <v>281</v>
      </c>
      <c r="E593">
        <v>16</v>
      </c>
      <c r="F593" t="s">
        <v>39</v>
      </c>
    </row>
    <row r="594" spans="1:6" x14ac:dyDescent="0.3">
      <c r="A594" s="20">
        <v>45789</v>
      </c>
      <c r="B594">
        <v>20</v>
      </c>
      <c r="C594" t="s">
        <v>162</v>
      </c>
      <c r="D594">
        <v>1090</v>
      </c>
      <c r="E594">
        <v>227</v>
      </c>
      <c r="F594" t="s">
        <v>47</v>
      </c>
    </row>
    <row r="595" spans="1:6" x14ac:dyDescent="0.3">
      <c r="A595" s="20">
        <v>45789</v>
      </c>
      <c r="B595">
        <v>20</v>
      </c>
      <c r="C595" t="s">
        <v>40</v>
      </c>
      <c r="D595">
        <v>62528</v>
      </c>
      <c r="E595">
        <v>2595</v>
      </c>
      <c r="F595" t="s">
        <v>38</v>
      </c>
    </row>
    <row r="596" spans="1:6" x14ac:dyDescent="0.3">
      <c r="A596" s="20">
        <v>45789</v>
      </c>
      <c r="B596">
        <v>20</v>
      </c>
      <c r="C596" t="s">
        <v>76</v>
      </c>
      <c r="D596">
        <v>25202</v>
      </c>
      <c r="E596">
        <v>996</v>
      </c>
      <c r="F596" t="s">
        <v>38</v>
      </c>
    </row>
    <row r="597" spans="1:6" x14ac:dyDescent="0.3">
      <c r="A597" s="20">
        <v>45789</v>
      </c>
      <c r="B597">
        <v>21</v>
      </c>
      <c r="C597" t="s">
        <v>73</v>
      </c>
      <c r="D597">
        <v>0</v>
      </c>
      <c r="E597">
        <v>0</v>
      </c>
      <c r="F597" t="s">
        <v>31</v>
      </c>
    </row>
    <row r="598" spans="1:6" x14ac:dyDescent="0.3">
      <c r="A598" s="20">
        <v>45789</v>
      </c>
      <c r="B598">
        <v>21</v>
      </c>
      <c r="C598" t="s">
        <v>67</v>
      </c>
      <c r="D598">
        <v>1</v>
      </c>
      <c r="E598">
        <v>0</v>
      </c>
      <c r="F598" t="s">
        <v>31</v>
      </c>
    </row>
    <row r="599" spans="1:6" x14ac:dyDescent="0.3">
      <c r="A599" s="20">
        <v>45789</v>
      </c>
      <c r="B599">
        <v>21</v>
      </c>
      <c r="C599" t="s">
        <v>238</v>
      </c>
      <c r="D599">
        <v>1</v>
      </c>
      <c r="E599">
        <v>0</v>
      </c>
      <c r="F599" t="s">
        <v>47</v>
      </c>
    </row>
    <row r="600" spans="1:6" x14ac:dyDescent="0.3">
      <c r="A600" s="20">
        <v>45789</v>
      </c>
      <c r="B600">
        <v>22</v>
      </c>
      <c r="C600" t="s">
        <v>228</v>
      </c>
      <c r="D600">
        <v>1</v>
      </c>
      <c r="E600">
        <v>1</v>
      </c>
      <c r="F600" t="s">
        <v>72</v>
      </c>
    </row>
    <row r="601" spans="1:6" x14ac:dyDescent="0.3">
      <c r="A601" s="20">
        <v>45789</v>
      </c>
      <c r="B601">
        <v>23</v>
      </c>
      <c r="C601" t="s">
        <v>73</v>
      </c>
      <c r="D601">
        <v>0</v>
      </c>
      <c r="E601">
        <v>0</v>
      </c>
      <c r="F601" t="s">
        <v>231</v>
      </c>
    </row>
    <row r="602" spans="1:6" x14ac:dyDescent="0.3">
      <c r="A602" s="20">
        <v>45789</v>
      </c>
      <c r="B602">
        <v>8</v>
      </c>
      <c r="C602" t="s">
        <v>73</v>
      </c>
      <c r="D602">
        <v>0</v>
      </c>
      <c r="E602">
        <v>0</v>
      </c>
      <c r="F602" t="s">
        <v>234</v>
      </c>
    </row>
    <row r="603" spans="1:6" x14ac:dyDescent="0.3">
      <c r="A603" s="20">
        <v>45789</v>
      </c>
      <c r="B603">
        <v>8</v>
      </c>
      <c r="C603" t="s">
        <v>73</v>
      </c>
      <c r="D603">
        <v>0</v>
      </c>
      <c r="E603">
        <v>0</v>
      </c>
      <c r="F603" t="s">
        <v>45</v>
      </c>
    </row>
    <row r="604" spans="1:6" x14ac:dyDescent="0.3">
      <c r="A604" s="20">
        <v>45789</v>
      </c>
      <c r="B604">
        <v>8</v>
      </c>
      <c r="C604" t="s">
        <v>73</v>
      </c>
      <c r="D604">
        <v>0</v>
      </c>
      <c r="E604">
        <v>0</v>
      </c>
      <c r="F604" t="s">
        <v>75</v>
      </c>
    </row>
    <row r="605" spans="1:6" x14ac:dyDescent="0.3">
      <c r="A605" s="20">
        <v>45789</v>
      </c>
      <c r="B605">
        <v>8</v>
      </c>
      <c r="C605" t="s">
        <v>156</v>
      </c>
      <c r="D605">
        <v>80</v>
      </c>
      <c r="E605">
        <v>8</v>
      </c>
      <c r="F605" t="s">
        <v>33</v>
      </c>
    </row>
    <row r="606" spans="1:6" x14ac:dyDescent="0.3">
      <c r="A606" s="20">
        <v>45789</v>
      </c>
      <c r="B606">
        <v>8</v>
      </c>
      <c r="C606" t="s">
        <v>228</v>
      </c>
      <c r="D606">
        <v>53</v>
      </c>
      <c r="E606">
        <v>13</v>
      </c>
      <c r="F606" t="s">
        <v>72</v>
      </c>
    </row>
    <row r="607" spans="1:6" x14ac:dyDescent="0.3">
      <c r="A607" s="20">
        <v>45789</v>
      </c>
      <c r="B607">
        <v>8</v>
      </c>
      <c r="C607" t="s">
        <v>246</v>
      </c>
      <c r="D607">
        <v>47145</v>
      </c>
      <c r="E607">
        <v>8000</v>
      </c>
      <c r="F607" t="s">
        <v>31</v>
      </c>
    </row>
    <row r="608" spans="1:6" x14ac:dyDescent="0.3">
      <c r="A608" s="20">
        <v>45789</v>
      </c>
      <c r="B608">
        <v>8</v>
      </c>
      <c r="C608" t="s">
        <v>243</v>
      </c>
      <c r="D608">
        <v>4492</v>
      </c>
      <c r="E608">
        <v>516</v>
      </c>
      <c r="F608" t="s">
        <v>31</v>
      </c>
    </row>
    <row r="609" spans="1:6" x14ac:dyDescent="0.3">
      <c r="A609" s="20">
        <v>45789</v>
      </c>
      <c r="B609">
        <v>8</v>
      </c>
      <c r="C609" t="s">
        <v>233</v>
      </c>
      <c r="D609">
        <v>14065</v>
      </c>
      <c r="E609">
        <v>2162</v>
      </c>
      <c r="F609" t="s">
        <v>34</v>
      </c>
    </row>
    <row r="610" spans="1:6" x14ac:dyDescent="0.3">
      <c r="A610" s="20">
        <v>45789</v>
      </c>
      <c r="B610">
        <v>8</v>
      </c>
      <c r="C610" t="s">
        <v>233</v>
      </c>
      <c r="D610">
        <v>6864</v>
      </c>
      <c r="E610">
        <v>645</v>
      </c>
      <c r="F610" t="s">
        <v>39</v>
      </c>
    </row>
    <row r="611" spans="1:6" x14ac:dyDescent="0.3">
      <c r="A611" s="20">
        <v>45789</v>
      </c>
      <c r="B611">
        <v>8</v>
      </c>
      <c r="C611" t="s">
        <v>238</v>
      </c>
      <c r="D611">
        <v>6236</v>
      </c>
      <c r="E611">
        <v>872</v>
      </c>
      <c r="F611" t="s">
        <v>229</v>
      </c>
    </row>
    <row r="612" spans="1:6" x14ac:dyDescent="0.3">
      <c r="A612" s="20">
        <v>45789</v>
      </c>
      <c r="B612">
        <v>8</v>
      </c>
      <c r="C612" t="s">
        <v>155</v>
      </c>
      <c r="D612">
        <v>10</v>
      </c>
      <c r="E612">
        <v>1</v>
      </c>
      <c r="F612" t="s">
        <v>33</v>
      </c>
    </row>
    <row r="613" spans="1:6" x14ac:dyDescent="0.3">
      <c r="A613" s="20">
        <v>45789</v>
      </c>
      <c r="B613">
        <v>8</v>
      </c>
      <c r="C613" t="s">
        <v>250</v>
      </c>
      <c r="D613">
        <v>37</v>
      </c>
      <c r="E613">
        <v>5</v>
      </c>
      <c r="F613" t="s">
        <v>85</v>
      </c>
    </row>
    <row r="614" spans="1:6" x14ac:dyDescent="0.3">
      <c r="A614" s="20">
        <v>45789</v>
      </c>
      <c r="B614">
        <v>8</v>
      </c>
      <c r="C614" t="s">
        <v>250</v>
      </c>
      <c r="D614">
        <v>1317</v>
      </c>
      <c r="E614">
        <v>162</v>
      </c>
      <c r="F614" t="s">
        <v>75</v>
      </c>
    </row>
    <row r="615" spans="1:6" x14ac:dyDescent="0.3">
      <c r="A615" s="20">
        <v>45789</v>
      </c>
      <c r="B615">
        <v>8</v>
      </c>
      <c r="C615" t="s">
        <v>251</v>
      </c>
      <c r="D615">
        <v>4864</v>
      </c>
      <c r="E615">
        <v>797</v>
      </c>
      <c r="F615" t="s">
        <v>44</v>
      </c>
    </row>
    <row r="616" spans="1:6" x14ac:dyDescent="0.3">
      <c r="A616" s="20">
        <v>45789</v>
      </c>
      <c r="B616">
        <v>9</v>
      </c>
      <c r="C616" t="s">
        <v>73</v>
      </c>
      <c r="D616">
        <v>0</v>
      </c>
      <c r="E616">
        <v>0</v>
      </c>
      <c r="F616" t="s">
        <v>72</v>
      </c>
    </row>
    <row r="617" spans="1:6" x14ac:dyDescent="0.3">
      <c r="A617" s="20">
        <v>45789</v>
      </c>
      <c r="B617">
        <v>9</v>
      </c>
      <c r="C617" t="s">
        <v>73</v>
      </c>
      <c r="D617">
        <v>2</v>
      </c>
      <c r="E617">
        <v>2</v>
      </c>
      <c r="F617" t="s">
        <v>77</v>
      </c>
    </row>
    <row r="618" spans="1:6" x14ac:dyDescent="0.3">
      <c r="A618" s="20">
        <v>45789</v>
      </c>
      <c r="B618">
        <v>9</v>
      </c>
      <c r="C618" t="s">
        <v>67</v>
      </c>
      <c r="D618">
        <v>24581</v>
      </c>
      <c r="E618">
        <v>947</v>
      </c>
      <c r="F618" t="s">
        <v>31</v>
      </c>
    </row>
    <row r="619" spans="1:6" x14ac:dyDescent="0.3">
      <c r="A619" s="20">
        <v>45789</v>
      </c>
      <c r="B619">
        <v>9</v>
      </c>
      <c r="C619" t="s">
        <v>67</v>
      </c>
      <c r="D619">
        <v>3890</v>
      </c>
      <c r="E619">
        <v>157</v>
      </c>
      <c r="F619" t="s">
        <v>42</v>
      </c>
    </row>
    <row r="620" spans="1:6" x14ac:dyDescent="0.3">
      <c r="A620" s="20">
        <v>45789</v>
      </c>
      <c r="B620">
        <v>9</v>
      </c>
      <c r="C620" t="s">
        <v>239</v>
      </c>
      <c r="D620">
        <v>75594</v>
      </c>
      <c r="E620">
        <v>6384</v>
      </c>
      <c r="F620" t="s">
        <v>31</v>
      </c>
    </row>
    <row r="621" spans="1:6" x14ac:dyDescent="0.3">
      <c r="A621" s="20">
        <v>45789</v>
      </c>
      <c r="B621">
        <v>9</v>
      </c>
      <c r="C621" t="s">
        <v>244</v>
      </c>
      <c r="D621">
        <v>49879</v>
      </c>
      <c r="E621">
        <v>5378</v>
      </c>
      <c r="F621" t="s">
        <v>31</v>
      </c>
    </row>
    <row r="622" spans="1:6" x14ac:dyDescent="0.3">
      <c r="A622" s="20">
        <v>45789</v>
      </c>
      <c r="B622">
        <v>9</v>
      </c>
      <c r="C622" t="s">
        <v>238</v>
      </c>
      <c r="D622">
        <v>7630</v>
      </c>
      <c r="E622">
        <v>802</v>
      </c>
      <c r="F622" t="s">
        <v>47</v>
      </c>
    </row>
    <row r="623" spans="1:6" x14ac:dyDescent="0.3">
      <c r="A623" s="20">
        <v>45789</v>
      </c>
      <c r="B623">
        <v>9</v>
      </c>
      <c r="C623" t="s">
        <v>255</v>
      </c>
      <c r="D623">
        <v>13384</v>
      </c>
      <c r="E623">
        <v>1936</v>
      </c>
      <c r="F623" t="s">
        <v>39</v>
      </c>
    </row>
    <row r="624" spans="1:6" x14ac:dyDescent="0.3">
      <c r="A624" s="20">
        <v>45789</v>
      </c>
      <c r="B624">
        <v>9</v>
      </c>
      <c r="C624" t="s">
        <v>255</v>
      </c>
      <c r="D624">
        <v>9580</v>
      </c>
      <c r="E624">
        <v>1562</v>
      </c>
      <c r="F624" t="s">
        <v>74</v>
      </c>
    </row>
    <row r="625" spans="1:6" x14ac:dyDescent="0.3">
      <c r="A625" s="20">
        <v>45789</v>
      </c>
      <c r="B625">
        <v>9</v>
      </c>
      <c r="C625" t="s">
        <v>160</v>
      </c>
      <c r="D625">
        <v>1348</v>
      </c>
      <c r="E625">
        <v>225</v>
      </c>
      <c r="F625" t="s">
        <v>39</v>
      </c>
    </row>
    <row r="626" spans="1:6" x14ac:dyDescent="0.3">
      <c r="A626" s="20">
        <v>45789</v>
      </c>
      <c r="B626">
        <v>9</v>
      </c>
      <c r="C626" t="s">
        <v>160</v>
      </c>
      <c r="D626">
        <v>5</v>
      </c>
      <c r="E626">
        <v>1</v>
      </c>
      <c r="F626" t="s">
        <v>68</v>
      </c>
    </row>
    <row r="627" spans="1:6" x14ac:dyDescent="0.3">
      <c r="A627" s="20">
        <v>45789</v>
      </c>
      <c r="B627">
        <v>9</v>
      </c>
      <c r="C627" t="s">
        <v>160</v>
      </c>
      <c r="D627">
        <v>5467</v>
      </c>
      <c r="E627">
        <v>892</v>
      </c>
      <c r="F627" t="s">
        <v>231</v>
      </c>
    </row>
    <row r="628" spans="1:6" x14ac:dyDescent="0.3">
      <c r="A628" s="20">
        <v>45789</v>
      </c>
      <c r="B628">
        <v>9</v>
      </c>
      <c r="C628" t="s">
        <v>160</v>
      </c>
      <c r="D628">
        <v>177</v>
      </c>
      <c r="E628">
        <v>50</v>
      </c>
      <c r="F628" t="s">
        <v>161</v>
      </c>
    </row>
    <row r="629" spans="1:6" x14ac:dyDescent="0.3">
      <c r="A629" s="20">
        <v>45789</v>
      </c>
      <c r="B629">
        <v>9</v>
      </c>
      <c r="C629" t="s">
        <v>235</v>
      </c>
      <c r="D629">
        <v>13573</v>
      </c>
      <c r="E629">
        <v>1710</v>
      </c>
      <c r="F629" t="s">
        <v>234</v>
      </c>
    </row>
    <row r="630" spans="1:6" x14ac:dyDescent="0.3">
      <c r="A630" s="20">
        <v>45789</v>
      </c>
      <c r="B630">
        <v>9</v>
      </c>
      <c r="C630" t="s">
        <v>235</v>
      </c>
      <c r="D630">
        <v>16184</v>
      </c>
      <c r="E630">
        <v>2714</v>
      </c>
      <c r="F630" t="s">
        <v>75</v>
      </c>
    </row>
    <row r="631" spans="1:6" x14ac:dyDescent="0.3">
      <c r="A631" s="20">
        <v>45789</v>
      </c>
      <c r="B631">
        <v>10</v>
      </c>
      <c r="C631" t="s">
        <v>73</v>
      </c>
      <c r="D631">
        <v>0</v>
      </c>
      <c r="E631">
        <v>0</v>
      </c>
    </row>
    <row r="632" spans="1:6" x14ac:dyDescent="0.3">
      <c r="A632" s="20">
        <v>45789</v>
      </c>
      <c r="B632">
        <v>10</v>
      </c>
      <c r="C632" t="s">
        <v>73</v>
      </c>
      <c r="D632">
        <v>0</v>
      </c>
      <c r="E632">
        <v>0</v>
      </c>
      <c r="F632" t="s">
        <v>46</v>
      </c>
    </row>
    <row r="633" spans="1:6" x14ac:dyDescent="0.3">
      <c r="A633" s="20">
        <v>45789</v>
      </c>
      <c r="B633">
        <v>10</v>
      </c>
      <c r="C633" t="s">
        <v>228</v>
      </c>
      <c r="D633">
        <v>10158</v>
      </c>
      <c r="E633">
        <v>1904</v>
      </c>
      <c r="F633" t="s">
        <v>45</v>
      </c>
    </row>
    <row r="634" spans="1:6" x14ac:dyDescent="0.3">
      <c r="A634" s="20">
        <v>45789</v>
      </c>
      <c r="B634">
        <v>10</v>
      </c>
      <c r="C634" t="s">
        <v>228</v>
      </c>
      <c r="D634">
        <v>850</v>
      </c>
      <c r="E634">
        <v>138</v>
      </c>
      <c r="F634" t="s">
        <v>43</v>
      </c>
    </row>
    <row r="635" spans="1:6" x14ac:dyDescent="0.3">
      <c r="A635" s="20">
        <v>45789</v>
      </c>
      <c r="B635">
        <v>10</v>
      </c>
      <c r="C635" t="s">
        <v>158</v>
      </c>
      <c r="D635">
        <v>34504</v>
      </c>
      <c r="E635">
        <v>761</v>
      </c>
      <c r="F635" t="s">
        <v>42</v>
      </c>
    </row>
    <row r="636" spans="1:6" x14ac:dyDescent="0.3">
      <c r="A636" s="20">
        <v>45789</v>
      </c>
      <c r="B636">
        <v>10</v>
      </c>
      <c r="C636" t="s">
        <v>48</v>
      </c>
      <c r="D636">
        <v>57486</v>
      </c>
      <c r="E636">
        <v>5021</v>
      </c>
      <c r="F636" t="s">
        <v>31</v>
      </c>
    </row>
    <row r="637" spans="1:6" x14ac:dyDescent="0.3">
      <c r="A637" s="20">
        <v>45789</v>
      </c>
      <c r="B637">
        <v>10</v>
      </c>
      <c r="C637" t="s">
        <v>53</v>
      </c>
      <c r="D637">
        <v>1857</v>
      </c>
      <c r="E637">
        <v>84</v>
      </c>
      <c r="F637" t="s">
        <v>31</v>
      </c>
    </row>
    <row r="638" spans="1:6" x14ac:dyDescent="0.3">
      <c r="A638" s="20">
        <v>45789</v>
      </c>
      <c r="B638">
        <v>10</v>
      </c>
      <c r="C638" t="s">
        <v>49</v>
      </c>
      <c r="D638">
        <v>22537</v>
      </c>
      <c r="E638">
        <v>2238</v>
      </c>
      <c r="F638" t="s">
        <v>42</v>
      </c>
    </row>
    <row r="639" spans="1:6" x14ac:dyDescent="0.3">
      <c r="A639" s="20">
        <v>45789</v>
      </c>
      <c r="B639">
        <v>10</v>
      </c>
      <c r="C639" t="s">
        <v>36</v>
      </c>
      <c r="D639">
        <v>621</v>
      </c>
      <c r="E639">
        <v>136</v>
      </c>
      <c r="F639" t="s">
        <v>31</v>
      </c>
    </row>
    <row r="640" spans="1:6" x14ac:dyDescent="0.3">
      <c r="A640" s="20">
        <v>45789</v>
      </c>
      <c r="B640">
        <v>10</v>
      </c>
      <c r="C640" t="s">
        <v>245</v>
      </c>
      <c r="D640">
        <v>63228</v>
      </c>
      <c r="E640">
        <v>7675</v>
      </c>
      <c r="F640" t="s">
        <v>31</v>
      </c>
    </row>
    <row r="641" spans="1:6" x14ac:dyDescent="0.3">
      <c r="A641" s="20">
        <v>45789</v>
      </c>
      <c r="B641">
        <v>10</v>
      </c>
      <c r="C641" t="s">
        <v>71</v>
      </c>
      <c r="D641">
        <v>8882</v>
      </c>
      <c r="E641">
        <v>2742</v>
      </c>
      <c r="F641" t="s">
        <v>32</v>
      </c>
    </row>
    <row r="642" spans="1:6" x14ac:dyDescent="0.3">
      <c r="A642" s="20">
        <v>45789</v>
      </c>
      <c r="B642">
        <v>10</v>
      </c>
      <c r="C642" t="s">
        <v>71</v>
      </c>
      <c r="D642">
        <v>31858</v>
      </c>
      <c r="E642">
        <v>3632</v>
      </c>
      <c r="F642" t="s">
        <v>164</v>
      </c>
    </row>
    <row r="643" spans="1:6" x14ac:dyDescent="0.3">
      <c r="A643" s="20">
        <v>45789</v>
      </c>
      <c r="B643">
        <v>10</v>
      </c>
      <c r="C643" t="s">
        <v>233</v>
      </c>
      <c r="D643">
        <v>2462</v>
      </c>
      <c r="E643">
        <v>344</v>
      </c>
      <c r="F643" t="s">
        <v>85</v>
      </c>
    </row>
    <row r="644" spans="1:6" x14ac:dyDescent="0.3">
      <c r="A644" s="20">
        <v>45789</v>
      </c>
      <c r="B644">
        <v>10</v>
      </c>
      <c r="C644" t="s">
        <v>262</v>
      </c>
      <c r="D644">
        <v>18872</v>
      </c>
      <c r="E644">
        <v>402</v>
      </c>
      <c r="F644" t="s">
        <v>86</v>
      </c>
    </row>
    <row r="645" spans="1:6" x14ac:dyDescent="0.3">
      <c r="A645" s="20">
        <v>45789</v>
      </c>
      <c r="B645">
        <v>10</v>
      </c>
      <c r="C645" t="s">
        <v>160</v>
      </c>
      <c r="D645">
        <v>11</v>
      </c>
      <c r="E645">
        <v>1</v>
      </c>
      <c r="F645" t="s">
        <v>138</v>
      </c>
    </row>
    <row r="646" spans="1:6" x14ac:dyDescent="0.3">
      <c r="A646" s="20">
        <v>45789</v>
      </c>
      <c r="B646">
        <v>10</v>
      </c>
      <c r="C646" t="s">
        <v>124</v>
      </c>
      <c r="D646">
        <v>81557</v>
      </c>
      <c r="E646">
        <v>4964</v>
      </c>
      <c r="F646" t="s">
        <v>38</v>
      </c>
    </row>
    <row r="647" spans="1:6" x14ac:dyDescent="0.3">
      <c r="A647" s="20">
        <v>45789</v>
      </c>
      <c r="B647">
        <v>10</v>
      </c>
      <c r="C647" t="s">
        <v>55</v>
      </c>
      <c r="D647">
        <v>82911</v>
      </c>
      <c r="E647">
        <v>5185</v>
      </c>
      <c r="F647" t="s">
        <v>38</v>
      </c>
    </row>
    <row r="648" spans="1:6" x14ac:dyDescent="0.3">
      <c r="A648" s="20">
        <v>45789</v>
      </c>
      <c r="B648">
        <v>10</v>
      </c>
      <c r="C648" t="s">
        <v>253</v>
      </c>
      <c r="D648">
        <v>1080</v>
      </c>
      <c r="E648">
        <v>231</v>
      </c>
      <c r="F648" t="s">
        <v>47</v>
      </c>
    </row>
    <row r="649" spans="1:6" x14ac:dyDescent="0.3">
      <c r="A649" s="20">
        <v>45789</v>
      </c>
      <c r="B649">
        <v>10</v>
      </c>
      <c r="C649" t="s">
        <v>258</v>
      </c>
      <c r="D649">
        <v>5412</v>
      </c>
      <c r="E649">
        <v>895</v>
      </c>
      <c r="F649" t="s">
        <v>229</v>
      </c>
    </row>
    <row r="650" spans="1:6" x14ac:dyDescent="0.3">
      <c r="A650" s="20">
        <v>45789</v>
      </c>
      <c r="B650">
        <v>11</v>
      </c>
      <c r="C650" t="s">
        <v>73</v>
      </c>
      <c r="D650">
        <v>0</v>
      </c>
      <c r="E650">
        <v>0</v>
      </c>
      <c r="F650" t="s">
        <v>234</v>
      </c>
    </row>
    <row r="651" spans="1:6" x14ac:dyDescent="0.3">
      <c r="A651" s="20">
        <v>45789</v>
      </c>
      <c r="B651">
        <v>11</v>
      </c>
      <c r="C651" t="s">
        <v>73</v>
      </c>
      <c r="D651">
        <v>0</v>
      </c>
      <c r="E651">
        <v>0</v>
      </c>
      <c r="F651" t="s">
        <v>45</v>
      </c>
    </row>
    <row r="652" spans="1:6" x14ac:dyDescent="0.3">
      <c r="A652" s="20">
        <v>45789</v>
      </c>
      <c r="B652">
        <v>11</v>
      </c>
      <c r="C652" t="s">
        <v>228</v>
      </c>
      <c r="D652">
        <v>153</v>
      </c>
      <c r="E652">
        <v>28</v>
      </c>
      <c r="F652" t="s">
        <v>72</v>
      </c>
    </row>
    <row r="653" spans="1:6" x14ac:dyDescent="0.3">
      <c r="A653" s="20">
        <v>45789</v>
      </c>
      <c r="B653">
        <v>11</v>
      </c>
      <c r="C653" t="s">
        <v>242</v>
      </c>
      <c r="D653">
        <v>64841</v>
      </c>
      <c r="E653">
        <v>7942</v>
      </c>
      <c r="F653" t="s">
        <v>31</v>
      </c>
    </row>
    <row r="654" spans="1:6" x14ac:dyDescent="0.3">
      <c r="A654" s="20">
        <v>45789</v>
      </c>
      <c r="B654">
        <v>11</v>
      </c>
      <c r="C654" t="s">
        <v>50</v>
      </c>
      <c r="D654">
        <v>497</v>
      </c>
      <c r="E654">
        <v>126</v>
      </c>
      <c r="F654" t="s">
        <v>31</v>
      </c>
    </row>
    <row r="655" spans="1:6" x14ac:dyDescent="0.3">
      <c r="A655" s="20">
        <v>45789</v>
      </c>
      <c r="B655">
        <v>11</v>
      </c>
      <c r="C655" t="s">
        <v>246</v>
      </c>
      <c r="D655">
        <v>37737</v>
      </c>
      <c r="E655">
        <v>7006</v>
      </c>
      <c r="F655" t="s">
        <v>31</v>
      </c>
    </row>
    <row r="656" spans="1:6" x14ac:dyDescent="0.3">
      <c r="A656" s="20">
        <v>45789</v>
      </c>
      <c r="B656">
        <v>11</v>
      </c>
      <c r="C656" t="s">
        <v>243</v>
      </c>
      <c r="D656">
        <v>12726</v>
      </c>
      <c r="E656">
        <v>1067</v>
      </c>
      <c r="F656" t="s">
        <v>31</v>
      </c>
    </row>
    <row r="657" spans="1:6" x14ac:dyDescent="0.3">
      <c r="A657" s="20">
        <v>45789</v>
      </c>
      <c r="B657">
        <v>11</v>
      </c>
      <c r="C657" t="s">
        <v>243</v>
      </c>
      <c r="D657">
        <v>314</v>
      </c>
      <c r="E657">
        <v>26</v>
      </c>
      <c r="F657" t="s">
        <v>42</v>
      </c>
    </row>
    <row r="658" spans="1:6" x14ac:dyDescent="0.3">
      <c r="A658" s="20">
        <v>45789</v>
      </c>
      <c r="B658">
        <v>11</v>
      </c>
      <c r="C658" t="s">
        <v>232</v>
      </c>
      <c r="D658">
        <v>22040</v>
      </c>
      <c r="E658">
        <v>3429</v>
      </c>
      <c r="F658" t="s">
        <v>229</v>
      </c>
    </row>
    <row r="659" spans="1:6" x14ac:dyDescent="0.3">
      <c r="A659" s="20">
        <v>45789</v>
      </c>
      <c r="B659">
        <v>11</v>
      </c>
      <c r="C659" t="s">
        <v>233</v>
      </c>
      <c r="D659">
        <v>14699</v>
      </c>
      <c r="E659">
        <v>2121</v>
      </c>
      <c r="F659" t="s">
        <v>34</v>
      </c>
    </row>
    <row r="660" spans="1:6" x14ac:dyDescent="0.3">
      <c r="A660" s="20">
        <v>45789</v>
      </c>
      <c r="B660">
        <v>11</v>
      </c>
      <c r="C660" t="s">
        <v>233</v>
      </c>
      <c r="D660">
        <v>5641</v>
      </c>
      <c r="E660">
        <v>504</v>
      </c>
      <c r="F660" t="s">
        <v>39</v>
      </c>
    </row>
    <row r="661" spans="1:6" x14ac:dyDescent="0.3">
      <c r="A661" s="20">
        <v>45789</v>
      </c>
      <c r="B661">
        <v>11</v>
      </c>
      <c r="C661" t="s">
        <v>238</v>
      </c>
      <c r="D661">
        <v>6360</v>
      </c>
      <c r="E661">
        <v>818</v>
      </c>
      <c r="F661" t="s">
        <v>229</v>
      </c>
    </row>
    <row r="662" spans="1:6" x14ac:dyDescent="0.3">
      <c r="A662" s="20">
        <v>45789</v>
      </c>
      <c r="B662">
        <v>11</v>
      </c>
      <c r="C662" t="s">
        <v>250</v>
      </c>
      <c r="D662">
        <v>1258</v>
      </c>
      <c r="E662">
        <v>183</v>
      </c>
      <c r="F662" t="s">
        <v>75</v>
      </c>
    </row>
    <row r="663" spans="1:6" x14ac:dyDescent="0.3">
      <c r="A663" s="20">
        <v>45789</v>
      </c>
      <c r="B663">
        <v>11</v>
      </c>
      <c r="C663" t="s">
        <v>251</v>
      </c>
      <c r="D663">
        <v>4252</v>
      </c>
      <c r="E663">
        <v>750</v>
      </c>
      <c r="F663" t="s">
        <v>44</v>
      </c>
    </row>
    <row r="664" spans="1:6" x14ac:dyDescent="0.3">
      <c r="A664" s="20">
        <v>45789</v>
      </c>
      <c r="B664">
        <v>12</v>
      </c>
      <c r="C664" t="s">
        <v>73</v>
      </c>
      <c r="D664">
        <v>0</v>
      </c>
      <c r="E664">
        <v>0</v>
      </c>
      <c r="F664" t="s">
        <v>163</v>
      </c>
    </row>
    <row r="665" spans="1:6" x14ac:dyDescent="0.3">
      <c r="A665" s="20">
        <v>45789</v>
      </c>
      <c r="B665">
        <v>12</v>
      </c>
      <c r="C665" t="s">
        <v>73</v>
      </c>
      <c r="D665">
        <v>0</v>
      </c>
      <c r="E665">
        <v>0</v>
      </c>
      <c r="F665" t="s">
        <v>72</v>
      </c>
    </row>
    <row r="666" spans="1:6" x14ac:dyDescent="0.3">
      <c r="A666" s="20">
        <v>45789</v>
      </c>
      <c r="B666">
        <v>12</v>
      </c>
      <c r="C666" t="s">
        <v>73</v>
      </c>
      <c r="D666">
        <v>0</v>
      </c>
      <c r="E666">
        <v>0</v>
      </c>
      <c r="F666" t="s">
        <v>43</v>
      </c>
    </row>
    <row r="667" spans="1:6" x14ac:dyDescent="0.3">
      <c r="A667" s="20">
        <v>45789</v>
      </c>
      <c r="B667">
        <v>12</v>
      </c>
      <c r="C667" t="s">
        <v>67</v>
      </c>
      <c r="D667">
        <v>14603</v>
      </c>
      <c r="E667">
        <v>789</v>
      </c>
      <c r="F667" t="s">
        <v>31</v>
      </c>
    </row>
    <row r="668" spans="1:6" x14ac:dyDescent="0.3">
      <c r="A668" s="20">
        <v>45789</v>
      </c>
      <c r="B668">
        <v>12</v>
      </c>
      <c r="C668" t="s">
        <v>67</v>
      </c>
      <c r="D668">
        <v>6359</v>
      </c>
      <c r="E668">
        <v>259</v>
      </c>
      <c r="F668" t="s">
        <v>42</v>
      </c>
    </row>
    <row r="669" spans="1:6" x14ac:dyDescent="0.3">
      <c r="A669" s="20">
        <v>45789</v>
      </c>
      <c r="B669">
        <v>12</v>
      </c>
      <c r="C669" t="s">
        <v>48</v>
      </c>
      <c r="D669">
        <v>0</v>
      </c>
      <c r="E669">
        <v>0</v>
      </c>
      <c r="F669" t="s">
        <v>259</v>
      </c>
    </row>
    <row r="670" spans="1:6" x14ac:dyDescent="0.3">
      <c r="A670" s="20">
        <v>45789</v>
      </c>
      <c r="B670">
        <v>12</v>
      </c>
      <c r="C670" t="s">
        <v>239</v>
      </c>
      <c r="D670">
        <v>77833</v>
      </c>
      <c r="E670">
        <v>7081</v>
      </c>
      <c r="F670" t="s">
        <v>31</v>
      </c>
    </row>
    <row r="671" spans="1:6" x14ac:dyDescent="0.3">
      <c r="A671" s="20">
        <v>45789</v>
      </c>
      <c r="B671">
        <v>12</v>
      </c>
      <c r="C671" t="s">
        <v>244</v>
      </c>
      <c r="D671">
        <v>48305</v>
      </c>
      <c r="E671">
        <v>4979</v>
      </c>
      <c r="F671" t="s">
        <v>31</v>
      </c>
    </row>
    <row r="672" spans="1:6" x14ac:dyDescent="0.3">
      <c r="A672" s="20">
        <v>45789</v>
      </c>
      <c r="B672">
        <v>12</v>
      </c>
      <c r="C672" t="s">
        <v>238</v>
      </c>
      <c r="D672">
        <v>7839</v>
      </c>
      <c r="E672">
        <v>1289</v>
      </c>
      <c r="F672" t="s">
        <v>47</v>
      </c>
    </row>
    <row r="673" spans="1:6" x14ac:dyDescent="0.3">
      <c r="A673" s="20">
        <v>45789</v>
      </c>
      <c r="B673">
        <v>12</v>
      </c>
      <c r="C673" t="s">
        <v>255</v>
      </c>
      <c r="D673">
        <v>14847</v>
      </c>
      <c r="E673">
        <v>2185</v>
      </c>
      <c r="F673" t="s">
        <v>39</v>
      </c>
    </row>
    <row r="674" spans="1:6" x14ac:dyDescent="0.3">
      <c r="A674" s="20">
        <v>45789</v>
      </c>
      <c r="B674">
        <v>12</v>
      </c>
      <c r="C674" t="s">
        <v>255</v>
      </c>
      <c r="D674">
        <v>8968</v>
      </c>
      <c r="E674">
        <v>1545</v>
      </c>
      <c r="F674" t="s">
        <v>74</v>
      </c>
    </row>
    <row r="675" spans="1:6" x14ac:dyDescent="0.3">
      <c r="A675" s="20">
        <v>45789</v>
      </c>
      <c r="B675">
        <v>12</v>
      </c>
      <c r="C675" t="s">
        <v>155</v>
      </c>
      <c r="D675">
        <v>83</v>
      </c>
      <c r="E675">
        <v>52</v>
      </c>
      <c r="F675" t="s">
        <v>32</v>
      </c>
    </row>
    <row r="676" spans="1:6" x14ac:dyDescent="0.3">
      <c r="A676" s="20">
        <v>45789</v>
      </c>
      <c r="B676">
        <v>12</v>
      </c>
      <c r="C676" t="s">
        <v>160</v>
      </c>
      <c r="D676">
        <v>4</v>
      </c>
      <c r="E676">
        <v>0</v>
      </c>
      <c r="F676" t="s">
        <v>68</v>
      </c>
    </row>
    <row r="677" spans="1:6" x14ac:dyDescent="0.3">
      <c r="A677" s="20">
        <v>45789</v>
      </c>
      <c r="B677">
        <v>12</v>
      </c>
      <c r="C677" t="s">
        <v>160</v>
      </c>
      <c r="D677">
        <v>4984</v>
      </c>
      <c r="E677">
        <v>1047</v>
      </c>
      <c r="F677" t="s">
        <v>231</v>
      </c>
    </row>
    <row r="678" spans="1:6" x14ac:dyDescent="0.3">
      <c r="A678" s="20">
        <v>45789</v>
      </c>
      <c r="B678">
        <v>12</v>
      </c>
      <c r="C678" t="s">
        <v>160</v>
      </c>
      <c r="D678">
        <v>152</v>
      </c>
      <c r="E678">
        <v>47</v>
      </c>
      <c r="F678" t="s">
        <v>161</v>
      </c>
    </row>
    <row r="679" spans="1:6" x14ac:dyDescent="0.3">
      <c r="A679" s="20">
        <v>45789</v>
      </c>
      <c r="B679">
        <v>12</v>
      </c>
      <c r="C679" t="s">
        <v>235</v>
      </c>
      <c r="D679">
        <v>2085</v>
      </c>
      <c r="E679">
        <v>276</v>
      </c>
      <c r="F679" t="s">
        <v>229</v>
      </c>
    </row>
    <row r="680" spans="1:6" x14ac:dyDescent="0.3">
      <c r="A680" s="20">
        <v>45789</v>
      </c>
      <c r="B680">
        <v>12</v>
      </c>
      <c r="C680" t="s">
        <v>235</v>
      </c>
      <c r="D680">
        <v>10947</v>
      </c>
      <c r="E680">
        <v>1544</v>
      </c>
      <c r="F680" t="s">
        <v>234</v>
      </c>
    </row>
    <row r="681" spans="1:6" x14ac:dyDescent="0.3">
      <c r="A681" s="20">
        <v>45789</v>
      </c>
      <c r="B681">
        <v>13</v>
      </c>
      <c r="C681" t="s">
        <v>73</v>
      </c>
      <c r="D681">
        <v>0</v>
      </c>
      <c r="E681">
        <v>0</v>
      </c>
      <c r="F681" t="s">
        <v>46</v>
      </c>
    </row>
    <row r="682" spans="1:6" x14ac:dyDescent="0.3">
      <c r="A682" s="20">
        <v>45789</v>
      </c>
      <c r="B682">
        <v>13</v>
      </c>
      <c r="C682" t="s">
        <v>228</v>
      </c>
      <c r="D682">
        <v>730</v>
      </c>
      <c r="E682">
        <v>111</v>
      </c>
      <c r="F682" t="s">
        <v>43</v>
      </c>
    </row>
    <row r="683" spans="1:6" x14ac:dyDescent="0.3">
      <c r="A683" s="20">
        <v>45789</v>
      </c>
      <c r="B683">
        <v>13</v>
      </c>
      <c r="C683" t="s">
        <v>66</v>
      </c>
      <c r="D683">
        <v>20561</v>
      </c>
      <c r="E683">
        <v>2046</v>
      </c>
      <c r="F683" t="s">
        <v>31</v>
      </c>
    </row>
    <row r="684" spans="1:6" x14ac:dyDescent="0.3">
      <c r="A684" s="20">
        <v>45789</v>
      </c>
      <c r="B684">
        <v>13</v>
      </c>
      <c r="C684" t="s">
        <v>230</v>
      </c>
      <c r="D684">
        <v>40462</v>
      </c>
      <c r="E684">
        <v>4023</v>
      </c>
      <c r="F684" t="s">
        <v>31</v>
      </c>
    </row>
    <row r="685" spans="1:6" x14ac:dyDescent="0.3">
      <c r="A685" s="20">
        <v>45789</v>
      </c>
      <c r="B685">
        <v>13</v>
      </c>
      <c r="C685" t="s">
        <v>48</v>
      </c>
      <c r="D685">
        <v>58148</v>
      </c>
      <c r="E685">
        <v>4075</v>
      </c>
      <c r="F685" t="s">
        <v>31</v>
      </c>
    </row>
    <row r="686" spans="1:6" x14ac:dyDescent="0.3">
      <c r="A686" s="20">
        <v>45789</v>
      </c>
      <c r="B686">
        <v>13</v>
      </c>
      <c r="C686" t="s">
        <v>53</v>
      </c>
      <c r="D686">
        <v>2349</v>
      </c>
      <c r="E686">
        <v>84</v>
      </c>
      <c r="F686" t="s">
        <v>31</v>
      </c>
    </row>
    <row r="687" spans="1:6" x14ac:dyDescent="0.3">
      <c r="A687" s="20">
        <v>45789</v>
      </c>
      <c r="B687">
        <v>13</v>
      </c>
      <c r="C687" t="s">
        <v>49</v>
      </c>
      <c r="D687">
        <v>16203</v>
      </c>
      <c r="E687">
        <v>1217</v>
      </c>
      <c r="F687" t="s">
        <v>42</v>
      </c>
    </row>
    <row r="688" spans="1:6" x14ac:dyDescent="0.3">
      <c r="A688" s="20">
        <v>45789</v>
      </c>
      <c r="B688">
        <v>13</v>
      </c>
      <c r="C688" t="s">
        <v>36</v>
      </c>
      <c r="D688">
        <v>542</v>
      </c>
      <c r="E688">
        <v>122</v>
      </c>
      <c r="F688" t="s">
        <v>31</v>
      </c>
    </row>
    <row r="689" spans="1:6" x14ac:dyDescent="0.3">
      <c r="A689" s="20">
        <v>45789</v>
      </c>
      <c r="B689">
        <v>13</v>
      </c>
      <c r="C689" t="s">
        <v>245</v>
      </c>
      <c r="D689">
        <v>68722</v>
      </c>
      <c r="E689">
        <v>10738</v>
      </c>
      <c r="F689" t="s">
        <v>31</v>
      </c>
    </row>
    <row r="690" spans="1:6" x14ac:dyDescent="0.3">
      <c r="A690" s="20">
        <v>45789</v>
      </c>
      <c r="B690">
        <v>13</v>
      </c>
      <c r="C690" t="s">
        <v>71</v>
      </c>
      <c r="D690">
        <v>19816</v>
      </c>
      <c r="E690">
        <v>2358</v>
      </c>
      <c r="F690" t="s">
        <v>164</v>
      </c>
    </row>
    <row r="691" spans="1:6" x14ac:dyDescent="0.3">
      <c r="A691" s="20">
        <v>45789</v>
      </c>
      <c r="B691">
        <v>13</v>
      </c>
      <c r="C691" t="s">
        <v>232</v>
      </c>
      <c r="D691">
        <v>3712</v>
      </c>
      <c r="E691">
        <v>357</v>
      </c>
      <c r="F691" t="s">
        <v>39</v>
      </c>
    </row>
    <row r="692" spans="1:6" x14ac:dyDescent="0.3">
      <c r="A692" s="20">
        <v>45789</v>
      </c>
      <c r="B692">
        <v>13</v>
      </c>
      <c r="C692" t="s">
        <v>233</v>
      </c>
      <c r="D692">
        <v>2259</v>
      </c>
      <c r="E692">
        <v>346</v>
      </c>
      <c r="F692" t="s">
        <v>85</v>
      </c>
    </row>
    <row r="693" spans="1:6" x14ac:dyDescent="0.3">
      <c r="A693" s="20">
        <v>45789</v>
      </c>
      <c r="B693">
        <v>13</v>
      </c>
      <c r="C693" t="s">
        <v>162</v>
      </c>
      <c r="D693">
        <v>12306</v>
      </c>
      <c r="E693">
        <v>1174</v>
      </c>
      <c r="F693" t="s">
        <v>44</v>
      </c>
    </row>
    <row r="694" spans="1:6" x14ac:dyDescent="0.3">
      <c r="A694" s="20">
        <v>45789</v>
      </c>
      <c r="B694">
        <v>13</v>
      </c>
      <c r="C694" t="s">
        <v>124</v>
      </c>
      <c r="D694">
        <v>87862</v>
      </c>
      <c r="E694">
        <v>4462</v>
      </c>
      <c r="F694" t="s">
        <v>38</v>
      </c>
    </row>
    <row r="695" spans="1:6" x14ac:dyDescent="0.3">
      <c r="A695" s="20">
        <v>45789</v>
      </c>
      <c r="B695">
        <v>13</v>
      </c>
      <c r="C695" t="s">
        <v>253</v>
      </c>
      <c r="D695">
        <v>1067</v>
      </c>
      <c r="E695">
        <v>254</v>
      </c>
      <c r="F695" t="s">
        <v>47</v>
      </c>
    </row>
    <row r="696" spans="1:6" x14ac:dyDescent="0.3">
      <c r="A696" s="20">
        <v>45789</v>
      </c>
      <c r="B696">
        <v>13</v>
      </c>
      <c r="C696" t="s">
        <v>258</v>
      </c>
      <c r="D696">
        <v>5333</v>
      </c>
      <c r="E696">
        <v>978</v>
      </c>
      <c r="F696" t="s">
        <v>229</v>
      </c>
    </row>
    <row r="697" spans="1:6" x14ac:dyDescent="0.3">
      <c r="A697" s="20">
        <v>45789</v>
      </c>
      <c r="B697">
        <v>14</v>
      </c>
      <c r="C697" t="s">
        <v>73</v>
      </c>
      <c r="D697">
        <v>0</v>
      </c>
      <c r="E697">
        <v>0</v>
      </c>
      <c r="F697" t="s">
        <v>229</v>
      </c>
    </row>
    <row r="698" spans="1:6" x14ac:dyDescent="0.3">
      <c r="A698" s="20">
        <v>45789</v>
      </c>
      <c r="B698">
        <v>14</v>
      </c>
      <c r="C698" t="s">
        <v>73</v>
      </c>
      <c r="D698">
        <v>0</v>
      </c>
      <c r="E698">
        <v>0</v>
      </c>
      <c r="F698" t="s">
        <v>234</v>
      </c>
    </row>
    <row r="699" spans="1:6" x14ac:dyDescent="0.3">
      <c r="A699" s="20">
        <v>45789</v>
      </c>
      <c r="B699">
        <v>14</v>
      </c>
      <c r="C699" t="s">
        <v>242</v>
      </c>
      <c r="D699">
        <v>53645</v>
      </c>
      <c r="E699">
        <v>5977</v>
      </c>
      <c r="F699" t="s">
        <v>31</v>
      </c>
    </row>
    <row r="700" spans="1:6" x14ac:dyDescent="0.3">
      <c r="A700" s="20">
        <v>45789</v>
      </c>
      <c r="B700">
        <v>14</v>
      </c>
      <c r="C700" t="s">
        <v>50</v>
      </c>
      <c r="D700">
        <v>406</v>
      </c>
      <c r="E700">
        <v>64</v>
      </c>
      <c r="F700" t="s">
        <v>31</v>
      </c>
    </row>
    <row r="701" spans="1:6" x14ac:dyDescent="0.3">
      <c r="A701" s="20">
        <v>45789</v>
      </c>
      <c r="B701">
        <v>14</v>
      </c>
      <c r="C701" t="s">
        <v>246</v>
      </c>
      <c r="D701">
        <v>50394</v>
      </c>
      <c r="E701">
        <v>6543</v>
      </c>
      <c r="F701" t="s">
        <v>31</v>
      </c>
    </row>
    <row r="702" spans="1:6" x14ac:dyDescent="0.3">
      <c r="A702" s="20">
        <v>45789</v>
      </c>
      <c r="B702">
        <v>14</v>
      </c>
      <c r="C702" t="s">
        <v>243</v>
      </c>
      <c r="D702">
        <v>13842</v>
      </c>
      <c r="E702">
        <v>1128</v>
      </c>
      <c r="F702" t="s">
        <v>31</v>
      </c>
    </row>
    <row r="703" spans="1:6" x14ac:dyDescent="0.3">
      <c r="A703" s="20">
        <v>45789</v>
      </c>
      <c r="B703">
        <v>14</v>
      </c>
      <c r="C703" t="s">
        <v>243</v>
      </c>
      <c r="D703">
        <v>121</v>
      </c>
      <c r="E703">
        <v>8</v>
      </c>
      <c r="F703" t="s">
        <v>42</v>
      </c>
    </row>
    <row r="704" spans="1:6" x14ac:dyDescent="0.3">
      <c r="A704" s="20">
        <v>45789</v>
      </c>
      <c r="B704">
        <v>14</v>
      </c>
      <c r="C704" t="s">
        <v>71</v>
      </c>
      <c r="D704">
        <v>4002</v>
      </c>
      <c r="E704">
        <v>476</v>
      </c>
      <c r="F704" t="s">
        <v>229</v>
      </c>
    </row>
    <row r="705" spans="1:6" x14ac:dyDescent="0.3">
      <c r="A705" s="20">
        <v>45789</v>
      </c>
      <c r="B705">
        <v>14</v>
      </c>
      <c r="C705" t="s">
        <v>232</v>
      </c>
      <c r="D705">
        <v>5883</v>
      </c>
      <c r="E705">
        <v>394</v>
      </c>
      <c r="F705" t="s">
        <v>74</v>
      </c>
    </row>
    <row r="706" spans="1:6" x14ac:dyDescent="0.3">
      <c r="A706" s="20">
        <v>45789</v>
      </c>
      <c r="B706">
        <v>14</v>
      </c>
      <c r="C706" t="s">
        <v>232</v>
      </c>
      <c r="D706">
        <v>21265</v>
      </c>
      <c r="E706">
        <v>2883</v>
      </c>
      <c r="F706" t="s">
        <v>229</v>
      </c>
    </row>
    <row r="707" spans="1:6" x14ac:dyDescent="0.3">
      <c r="A707" s="20">
        <v>45789</v>
      </c>
      <c r="B707">
        <v>14</v>
      </c>
      <c r="C707" t="s">
        <v>233</v>
      </c>
      <c r="D707">
        <v>17777</v>
      </c>
      <c r="E707">
        <v>2448</v>
      </c>
      <c r="F707" t="s">
        <v>34</v>
      </c>
    </row>
    <row r="708" spans="1:6" x14ac:dyDescent="0.3">
      <c r="A708" s="20">
        <v>45789</v>
      </c>
      <c r="B708">
        <v>14</v>
      </c>
      <c r="C708" t="s">
        <v>233</v>
      </c>
      <c r="D708">
        <v>8522</v>
      </c>
      <c r="E708">
        <v>710</v>
      </c>
      <c r="F708" t="s">
        <v>39</v>
      </c>
    </row>
    <row r="709" spans="1:6" x14ac:dyDescent="0.3">
      <c r="A709" s="20">
        <v>45789</v>
      </c>
      <c r="B709">
        <v>14</v>
      </c>
      <c r="C709" t="s">
        <v>250</v>
      </c>
      <c r="D709">
        <v>7496</v>
      </c>
      <c r="E709">
        <v>1118</v>
      </c>
      <c r="F709" t="s">
        <v>164</v>
      </c>
    </row>
    <row r="710" spans="1:6" x14ac:dyDescent="0.3">
      <c r="A710" s="20">
        <v>45789</v>
      </c>
      <c r="B710">
        <v>14</v>
      </c>
      <c r="C710" t="s">
        <v>250</v>
      </c>
      <c r="D710">
        <v>1385</v>
      </c>
      <c r="E710">
        <v>175</v>
      </c>
      <c r="F710" t="s">
        <v>75</v>
      </c>
    </row>
    <row r="711" spans="1:6" x14ac:dyDescent="0.3">
      <c r="A711" s="20">
        <v>45789</v>
      </c>
      <c r="B711">
        <v>14</v>
      </c>
      <c r="C711" t="s">
        <v>160</v>
      </c>
      <c r="D711">
        <v>260</v>
      </c>
      <c r="E711">
        <v>52</v>
      </c>
      <c r="F711" t="s">
        <v>44</v>
      </c>
    </row>
    <row r="712" spans="1:6" x14ac:dyDescent="0.3">
      <c r="A712" s="20">
        <v>45789</v>
      </c>
      <c r="B712">
        <v>14</v>
      </c>
      <c r="C712" t="s">
        <v>160</v>
      </c>
      <c r="D712">
        <v>389</v>
      </c>
      <c r="E712">
        <v>91</v>
      </c>
      <c r="F712" t="s">
        <v>45</v>
      </c>
    </row>
    <row r="713" spans="1:6" x14ac:dyDescent="0.3">
      <c r="A713" s="20">
        <v>45789</v>
      </c>
      <c r="B713">
        <v>14</v>
      </c>
      <c r="C713" t="s">
        <v>251</v>
      </c>
      <c r="D713">
        <v>6050</v>
      </c>
      <c r="E713">
        <v>861</v>
      </c>
      <c r="F713" t="s">
        <v>44</v>
      </c>
    </row>
    <row r="714" spans="1:6" x14ac:dyDescent="0.3">
      <c r="A714" s="20">
        <v>45789</v>
      </c>
      <c r="B714">
        <v>15</v>
      </c>
      <c r="C714" t="s">
        <v>73</v>
      </c>
      <c r="D714">
        <v>0</v>
      </c>
      <c r="E714">
        <v>0</v>
      </c>
      <c r="F714" t="s">
        <v>163</v>
      </c>
    </row>
    <row r="715" spans="1:6" x14ac:dyDescent="0.3">
      <c r="A715" s="20">
        <v>45789</v>
      </c>
      <c r="B715">
        <v>15</v>
      </c>
      <c r="C715" t="s">
        <v>73</v>
      </c>
      <c r="D715">
        <v>0</v>
      </c>
      <c r="E715">
        <v>0</v>
      </c>
      <c r="F715" t="s">
        <v>86</v>
      </c>
    </row>
    <row r="716" spans="1:6" x14ac:dyDescent="0.3">
      <c r="A716" s="20">
        <v>45789</v>
      </c>
      <c r="B716">
        <v>15</v>
      </c>
      <c r="C716" t="s">
        <v>73</v>
      </c>
      <c r="D716">
        <v>0</v>
      </c>
      <c r="E716">
        <v>0</v>
      </c>
      <c r="F716" t="s">
        <v>43</v>
      </c>
    </row>
    <row r="717" spans="1:6" x14ac:dyDescent="0.3">
      <c r="A717" s="20">
        <v>45789</v>
      </c>
      <c r="B717">
        <v>15</v>
      </c>
      <c r="C717" t="s">
        <v>156</v>
      </c>
      <c r="D717">
        <v>10053</v>
      </c>
      <c r="E717">
        <v>1617</v>
      </c>
      <c r="F717" t="s">
        <v>45</v>
      </c>
    </row>
    <row r="718" spans="1:6" x14ac:dyDescent="0.3">
      <c r="A718" s="20">
        <v>45789</v>
      </c>
      <c r="B718">
        <v>15</v>
      </c>
      <c r="C718" t="s">
        <v>67</v>
      </c>
      <c r="D718">
        <v>5360</v>
      </c>
      <c r="E718">
        <v>179</v>
      </c>
      <c r="F718" t="s">
        <v>42</v>
      </c>
    </row>
    <row r="719" spans="1:6" x14ac:dyDescent="0.3">
      <c r="A719" s="20">
        <v>45789</v>
      </c>
      <c r="B719">
        <v>15</v>
      </c>
      <c r="C719" t="s">
        <v>157</v>
      </c>
      <c r="D719">
        <v>13482</v>
      </c>
      <c r="E719">
        <v>3562</v>
      </c>
      <c r="F719" t="s">
        <v>31</v>
      </c>
    </row>
    <row r="720" spans="1:6" x14ac:dyDescent="0.3">
      <c r="A720" s="20">
        <v>45789</v>
      </c>
      <c r="B720">
        <v>15</v>
      </c>
      <c r="C720" t="s">
        <v>48</v>
      </c>
      <c r="D720">
        <v>0</v>
      </c>
      <c r="E720">
        <v>0</v>
      </c>
      <c r="F720" t="s">
        <v>259</v>
      </c>
    </row>
    <row r="721" spans="1:6" x14ac:dyDescent="0.3">
      <c r="A721" s="20">
        <v>45789</v>
      </c>
      <c r="B721">
        <v>15</v>
      </c>
      <c r="C721" t="s">
        <v>239</v>
      </c>
      <c r="D721">
        <v>84340</v>
      </c>
      <c r="E721">
        <v>7278</v>
      </c>
      <c r="F721" t="s">
        <v>31</v>
      </c>
    </row>
    <row r="722" spans="1:6" x14ac:dyDescent="0.3">
      <c r="A722" s="20">
        <v>45789</v>
      </c>
      <c r="B722">
        <v>15</v>
      </c>
      <c r="C722" t="s">
        <v>139</v>
      </c>
      <c r="D722">
        <v>23878</v>
      </c>
      <c r="E722">
        <v>781</v>
      </c>
      <c r="F722" t="s">
        <v>46</v>
      </c>
    </row>
    <row r="723" spans="1:6" x14ac:dyDescent="0.3">
      <c r="A723" s="20">
        <v>45789</v>
      </c>
      <c r="B723">
        <v>15</v>
      </c>
      <c r="C723" t="s">
        <v>49</v>
      </c>
      <c r="D723">
        <v>0</v>
      </c>
      <c r="E723">
        <v>0</v>
      </c>
      <c r="F723" t="s">
        <v>77</v>
      </c>
    </row>
    <row r="724" spans="1:6" x14ac:dyDescent="0.3">
      <c r="A724" s="20">
        <v>45789</v>
      </c>
      <c r="B724">
        <v>15</v>
      </c>
      <c r="C724" t="s">
        <v>255</v>
      </c>
      <c r="D724">
        <v>13361</v>
      </c>
      <c r="E724">
        <v>1844</v>
      </c>
      <c r="F724" t="s">
        <v>39</v>
      </c>
    </row>
    <row r="725" spans="1:6" x14ac:dyDescent="0.3">
      <c r="A725" s="20">
        <v>45789</v>
      </c>
      <c r="B725">
        <v>15</v>
      </c>
      <c r="C725" t="s">
        <v>155</v>
      </c>
      <c r="D725">
        <v>36</v>
      </c>
      <c r="E725">
        <v>33</v>
      </c>
      <c r="F725" t="s">
        <v>32</v>
      </c>
    </row>
    <row r="726" spans="1:6" x14ac:dyDescent="0.3">
      <c r="A726" s="20">
        <v>45789</v>
      </c>
      <c r="B726">
        <v>15</v>
      </c>
      <c r="C726" t="s">
        <v>160</v>
      </c>
      <c r="D726">
        <v>4</v>
      </c>
      <c r="E726">
        <v>0</v>
      </c>
      <c r="F726" t="s">
        <v>68</v>
      </c>
    </row>
    <row r="727" spans="1:6" x14ac:dyDescent="0.3">
      <c r="A727" s="20">
        <v>45789</v>
      </c>
      <c r="B727">
        <v>15</v>
      </c>
      <c r="C727" t="s">
        <v>160</v>
      </c>
      <c r="D727">
        <v>98</v>
      </c>
      <c r="E727">
        <v>27</v>
      </c>
      <c r="F727" t="s">
        <v>161</v>
      </c>
    </row>
    <row r="728" spans="1:6" x14ac:dyDescent="0.3">
      <c r="A728" s="20">
        <v>45789</v>
      </c>
      <c r="B728">
        <v>15</v>
      </c>
      <c r="C728" t="s">
        <v>160</v>
      </c>
      <c r="D728">
        <v>8</v>
      </c>
      <c r="E728">
        <v>2</v>
      </c>
      <c r="F728" t="s">
        <v>72</v>
      </c>
    </row>
    <row r="729" spans="1:6" x14ac:dyDescent="0.3">
      <c r="A729" s="20">
        <v>45789</v>
      </c>
      <c r="B729">
        <v>15</v>
      </c>
      <c r="C729" t="s">
        <v>51</v>
      </c>
      <c r="D729">
        <v>62097</v>
      </c>
      <c r="E729">
        <v>2127</v>
      </c>
      <c r="F729" t="s">
        <v>38</v>
      </c>
    </row>
    <row r="730" spans="1:6" x14ac:dyDescent="0.3">
      <c r="A730" s="20">
        <v>45789</v>
      </c>
      <c r="B730">
        <v>15</v>
      </c>
      <c r="C730" t="s">
        <v>235</v>
      </c>
      <c r="D730">
        <v>2558</v>
      </c>
      <c r="E730">
        <v>246</v>
      </c>
      <c r="F730" t="s">
        <v>229</v>
      </c>
    </row>
    <row r="731" spans="1:6" x14ac:dyDescent="0.3">
      <c r="A731" s="20">
        <v>45789</v>
      </c>
      <c r="B731">
        <v>16</v>
      </c>
      <c r="C731" t="s">
        <v>156</v>
      </c>
      <c r="D731">
        <v>1975</v>
      </c>
      <c r="E731">
        <v>288</v>
      </c>
      <c r="F731" t="s">
        <v>72</v>
      </c>
    </row>
    <row r="732" spans="1:6" x14ac:dyDescent="0.3">
      <c r="A732" s="20">
        <v>45789</v>
      </c>
      <c r="B732">
        <v>16</v>
      </c>
      <c r="C732" t="s">
        <v>228</v>
      </c>
      <c r="D732">
        <v>697</v>
      </c>
      <c r="E732">
        <v>94</v>
      </c>
      <c r="F732" t="s">
        <v>43</v>
      </c>
    </row>
    <row r="733" spans="1:6" x14ac:dyDescent="0.3">
      <c r="A733" s="20">
        <v>45789</v>
      </c>
      <c r="B733">
        <v>16</v>
      </c>
      <c r="C733" t="s">
        <v>66</v>
      </c>
      <c r="D733">
        <v>5866</v>
      </c>
      <c r="E733">
        <v>519</v>
      </c>
      <c r="F733" t="s">
        <v>31</v>
      </c>
    </row>
    <row r="734" spans="1:6" x14ac:dyDescent="0.3">
      <c r="A734" s="20">
        <v>45789</v>
      </c>
      <c r="B734">
        <v>16</v>
      </c>
      <c r="C734" t="s">
        <v>230</v>
      </c>
      <c r="D734">
        <v>25825</v>
      </c>
      <c r="E734">
        <v>2914</v>
      </c>
      <c r="F734" t="s">
        <v>31</v>
      </c>
    </row>
    <row r="735" spans="1:6" x14ac:dyDescent="0.3">
      <c r="A735" s="20">
        <v>45789</v>
      </c>
      <c r="B735">
        <v>16</v>
      </c>
      <c r="C735" t="s">
        <v>48</v>
      </c>
      <c r="D735">
        <v>56307</v>
      </c>
      <c r="E735">
        <v>3243</v>
      </c>
      <c r="F735" t="s">
        <v>31</v>
      </c>
    </row>
    <row r="736" spans="1:6" x14ac:dyDescent="0.3">
      <c r="A736" s="20">
        <v>45789</v>
      </c>
      <c r="B736">
        <v>16</v>
      </c>
      <c r="C736" t="s">
        <v>53</v>
      </c>
      <c r="D736">
        <v>2330</v>
      </c>
      <c r="E736">
        <v>84</v>
      </c>
      <c r="F736" t="s">
        <v>31</v>
      </c>
    </row>
    <row r="737" spans="1:6" x14ac:dyDescent="0.3">
      <c r="A737" s="20">
        <v>45789</v>
      </c>
      <c r="B737">
        <v>16</v>
      </c>
      <c r="C737" t="s">
        <v>49</v>
      </c>
      <c r="D737">
        <v>15248</v>
      </c>
      <c r="E737">
        <v>1080</v>
      </c>
      <c r="F737" t="s">
        <v>42</v>
      </c>
    </row>
    <row r="738" spans="1:6" x14ac:dyDescent="0.3">
      <c r="A738" s="20">
        <v>45789</v>
      </c>
      <c r="B738">
        <v>16</v>
      </c>
      <c r="C738" t="s">
        <v>245</v>
      </c>
      <c r="D738">
        <v>66822</v>
      </c>
      <c r="E738">
        <v>8731</v>
      </c>
      <c r="F738" t="s">
        <v>31</v>
      </c>
    </row>
    <row r="739" spans="1:6" x14ac:dyDescent="0.3">
      <c r="A739" s="20">
        <v>45789</v>
      </c>
      <c r="B739">
        <v>16</v>
      </c>
      <c r="C739" t="s">
        <v>232</v>
      </c>
      <c r="D739">
        <v>1762</v>
      </c>
      <c r="E739">
        <v>174</v>
      </c>
      <c r="F739" t="s">
        <v>39</v>
      </c>
    </row>
    <row r="740" spans="1:6" x14ac:dyDescent="0.3">
      <c r="A740" s="20">
        <v>45789</v>
      </c>
      <c r="B740">
        <v>16</v>
      </c>
      <c r="C740" t="s">
        <v>233</v>
      </c>
      <c r="D740">
        <v>3138</v>
      </c>
      <c r="E740">
        <v>456</v>
      </c>
      <c r="F740" t="s">
        <v>85</v>
      </c>
    </row>
    <row r="741" spans="1:6" x14ac:dyDescent="0.3">
      <c r="A741" s="20">
        <v>45789</v>
      </c>
      <c r="B741">
        <v>16</v>
      </c>
      <c r="C741" t="s">
        <v>162</v>
      </c>
      <c r="D741">
        <v>9113</v>
      </c>
      <c r="E741">
        <v>577</v>
      </c>
      <c r="F741" t="s">
        <v>44</v>
      </c>
    </row>
    <row r="742" spans="1:6" x14ac:dyDescent="0.3">
      <c r="A742" s="20">
        <v>45789</v>
      </c>
      <c r="B742">
        <v>16</v>
      </c>
      <c r="C742" t="s">
        <v>258</v>
      </c>
      <c r="D742">
        <v>4930</v>
      </c>
      <c r="E742">
        <v>637</v>
      </c>
      <c r="F742" t="s">
        <v>229</v>
      </c>
    </row>
    <row r="743" spans="1:6" x14ac:dyDescent="0.3">
      <c r="A743" s="20">
        <v>45789</v>
      </c>
      <c r="B743">
        <v>17</v>
      </c>
      <c r="C743" t="s">
        <v>73</v>
      </c>
      <c r="D743">
        <v>0</v>
      </c>
      <c r="E743">
        <v>0</v>
      </c>
      <c r="F743" t="s">
        <v>229</v>
      </c>
    </row>
    <row r="744" spans="1:6" x14ac:dyDescent="0.3">
      <c r="A744" s="20">
        <v>45789</v>
      </c>
      <c r="B744">
        <v>17</v>
      </c>
      <c r="C744" t="s">
        <v>242</v>
      </c>
      <c r="D744">
        <v>52947</v>
      </c>
      <c r="E744">
        <v>5477</v>
      </c>
      <c r="F744" t="s">
        <v>31</v>
      </c>
    </row>
    <row r="745" spans="1:6" x14ac:dyDescent="0.3">
      <c r="A745" s="20">
        <v>45789</v>
      </c>
      <c r="B745">
        <v>17</v>
      </c>
      <c r="C745" t="s">
        <v>35</v>
      </c>
      <c r="D745">
        <v>4243</v>
      </c>
      <c r="E745">
        <v>201</v>
      </c>
      <c r="F745" t="s">
        <v>31</v>
      </c>
    </row>
    <row r="746" spans="1:6" x14ac:dyDescent="0.3">
      <c r="A746" s="20">
        <v>45789</v>
      </c>
      <c r="B746">
        <v>17</v>
      </c>
      <c r="C746" t="s">
        <v>35</v>
      </c>
      <c r="D746">
        <v>24</v>
      </c>
      <c r="E746">
        <v>4</v>
      </c>
      <c r="F746" t="s">
        <v>42</v>
      </c>
    </row>
    <row r="747" spans="1:6" x14ac:dyDescent="0.3">
      <c r="A747" s="20">
        <v>45789</v>
      </c>
      <c r="B747">
        <v>17</v>
      </c>
      <c r="C747" t="s">
        <v>50</v>
      </c>
      <c r="D747">
        <v>302</v>
      </c>
      <c r="E747">
        <v>69</v>
      </c>
      <c r="F747" t="s">
        <v>31</v>
      </c>
    </row>
    <row r="748" spans="1:6" x14ac:dyDescent="0.3">
      <c r="A748" s="20">
        <v>45789</v>
      </c>
      <c r="B748">
        <v>17</v>
      </c>
      <c r="C748" t="s">
        <v>246</v>
      </c>
      <c r="D748">
        <v>47634</v>
      </c>
      <c r="E748">
        <v>5984</v>
      </c>
      <c r="F748" t="s">
        <v>31</v>
      </c>
    </row>
    <row r="749" spans="1:6" x14ac:dyDescent="0.3">
      <c r="A749" s="20">
        <v>45789</v>
      </c>
      <c r="B749">
        <v>17</v>
      </c>
      <c r="C749" t="s">
        <v>71</v>
      </c>
      <c r="D749">
        <v>1483</v>
      </c>
      <c r="E749">
        <v>166</v>
      </c>
      <c r="F749" t="s">
        <v>229</v>
      </c>
    </row>
    <row r="750" spans="1:6" x14ac:dyDescent="0.3">
      <c r="A750" s="20">
        <v>45789</v>
      </c>
      <c r="B750">
        <v>17</v>
      </c>
      <c r="C750" t="s">
        <v>232</v>
      </c>
      <c r="D750">
        <v>3554</v>
      </c>
      <c r="E750">
        <v>255</v>
      </c>
      <c r="F750" t="s">
        <v>74</v>
      </c>
    </row>
    <row r="751" spans="1:6" x14ac:dyDescent="0.3">
      <c r="A751" s="20">
        <v>45789</v>
      </c>
      <c r="B751">
        <v>17</v>
      </c>
      <c r="C751" t="s">
        <v>232</v>
      </c>
      <c r="D751">
        <v>18285</v>
      </c>
      <c r="E751">
        <v>3335</v>
      </c>
      <c r="F751" t="s">
        <v>229</v>
      </c>
    </row>
    <row r="752" spans="1:6" x14ac:dyDescent="0.3">
      <c r="A752" s="20">
        <v>45789</v>
      </c>
      <c r="B752">
        <v>17</v>
      </c>
      <c r="C752" t="s">
        <v>233</v>
      </c>
      <c r="D752">
        <v>13374</v>
      </c>
      <c r="E752">
        <v>2131</v>
      </c>
      <c r="F752" t="s">
        <v>34</v>
      </c>
    </row>
    <row r="753" spans="1:6" x14ac:dyDescent="0.3">
      <c r="A753" s="20">
        <v>45789</v>
      </c>
      <c r="B753">
        <v>17</v>
      </c>
      <c r="C753" t="s">
        <v>250</v>
      </c>
      <c r="D753">
        <v>2490</v>
      </c>
      <c r="E753">
        <v>386</v>
      </c>
      <c r="F753" t="s">
        <v>164</v>
      </c>
    </row>
    <row r="754" spans="1:6" x14ac:dyDescent="0.3">
      <c r="A754" s="20">
        <v>45789</v>
      </c>
      <c r="B754">
        <v>17</v>
      </c>
      <c r="C754" t="s">
        <v>160</v>
      </c>
      <c r="D754">
        <v>302</v>
      </c>
      <c r="E754">
        <v>79</v>
      </c>
      <c r="F754" t="s">
        <v>44</v>
      </c>
    </row>
    <row r="755" spans="1:6" x14ac:dyDescent="0.3">
      <c r="A755" s="20">
        <v>45789</v>
      </c>
      <c r="B755">
        <v>17</v>
      </c>
      <c r="C755" t="s">
        <v>160</v>
      </c>
      <c r="D755">
        <v>200</v>
      </c>
      <c r="E755">
        <v>51</v>
      </c>
      <c r="F755" t="s">
        <v>32</v>
      </c>
    </row>
    <row r="756" spans="1:6" x14ac:dyDescent="0.3">
      <c r="A756" s="20">
        <v>45789</v>
      </c>
      <c r="B756">
        <v>17</v>
      </c>
      <c r="C756" t="s">
        <v>160</v>
      </c>
      <c r="D756">
        <v>11448</v>
      </c>
      <c r="E756">
        <v>1319</v>
      </c>
      <c r="F756" t="s">
        <v>234</v>
      </c>
    </row>
    <row r="757" spans="1:6" x14ac:dyDescent="0.3">
      <c r="A757" s="20">
        <v>45789</v>
      </c>
      <c r="B757">
        <v>17</v>
      </c>
      <c r="C757" t="s">
        <v>160</v>
      </c>
      <c r="D757">
        <v>399</v>
      </c>
      <c r="E757">
        <v>111</v>
      </c>
      <c r="F757" t="s">
        <v>45</v>
      </c>
    </row>
    <row r="758" spans="1:6" x14ac:dyDescent="0.3">
      <c r="A758" s="20">
        <v>45789</v>
      </c>
      <c r="B758">
        <v>17</v>
      </c>
      <c r="C758" t="s">
        <v>125</v>
      </c>
      <c r="D758">
        <v>113974</v>
      </c>
      <c r="E758">
        <v>5814</v>
      </c>
      <c r="F758" t="s">
        <v>38</v>
      </c>
    </row>
    <row r="759" spans="1:6" x14ac:dyDescent="0.3">
      <c r="A759" s="20">
        <v>45789</v>
      </c>
      <c r="B759">
        <v>18</v>
      </c>
      <c r="C759" t="s">
        <v>73</v>
      </c>
      <c r="D759">
        <v>0</v>
      </c>
      <c r="E759">
        <v>0</v>
      </c>
      <c r="F759" t="s">
        <v>86</v>
      </c>
    </row>
    <row r="760" spans="1:6" x14ac:dyDescent="0.3">
      <c r="A760" s="20">
        <v>45789</v>
      </c>
      <c r="B760">
        <v>18</v>
      </c>
      <c r="C760" t="s">
        <v>73</v>
      </c>
      <c r="D760">
        <v>0</v>
      </c>
      <c r="E760">
        <v>0</v>
      </c>
      <c r="F760" t="s">
        <v>38</v>
      </c>
    </row>
    <row r="761" spans="1:6" x14ac:dyDescent="0.3">
      <c r="A761" s="20">
        <v>45789</v>
      </c>
      <c r="B761">
        <v>18</v>
      </c>
      <c r="C761" t="s">
        <v>73</v>
      </c>
      <c r="D761">
        <v>0</v>
      </c>
      <c r="E761">
        <v>0</v>
      </c>
      <c r="F761" t="s">
        <v>43</v>
      </c>
    </row>
    <row r="762" spans="1:6" x14ac:dyDescent="0.3">
      <c r="A762" s="20">
        <v>45789</v>
      </c>
      <c r="B762">
        <v>18</v>
      </c>
      <c r="C762" t="s">
        <v>156</v>
      </c>
      <c r="D762">
        <v>10000</v>
      </c>
      <c r="E762">
        <v>1588</v>
      </c>
      <c r="F762" t="s">
        <v>45</v>
      </c>
    </row>
    <row r="763" spans="1:6" x14ac:dyDescent="0.3">
      <c r="A763" s="20">
        <v>45789</v>
      </c>
      <c r="B763">
        <v>18</v>
      </c>
      <c r="C763" t="s">
        <v>228</v>
      </c>
      <c r="D763">
        <v>21557</v>
      </c>
      <c r="E763">
        <v>2806</v>
      </c>
      <c r="F763" t="s">
        <v>231</v>
      </c>
    </row>
    <row r="764" spans="1:6" x14ac:dyDescent="0.3">
      <c r="A764" s="20">
        <v>45789</v>
      </c>
      <c r="B764">
        <v>18</v>
      </c>
      <c r="C764" t="s">
        <v>159</v>
      </c>
      <c r="D764">
        <v>17476</v>
      </c>
      <c r="E764">
        <v>456</v>
      </c>
      <c r="F764" t="s">
        <v>31</v>
      </c>
    </row>
    <row r="765" spans="1:6" x14ac:dyDescent="0.3">
      <c r="A765" s="20">
        <v>45789</v>
      </c>
      <c r="B765">
        <v>18</v>
      </c>
      <c r="C765" t="s">
        <v>157</v>
      </c>
      <c r="D765">
        <v>7738</v>
      </c>
      <c r="E765">
        <v>2486</v>
      </c>
      <c r="F765" t="s">
        <v>31</v>
      </c>
    </row>
    <row r="766" spans="1:6" x14ac:dyDescent="0.3">
      <c r="A766" s="20">
        <v>45789</v>
      </c>
      <c r="B766">
        <v>18</v>
      </c>
      <c r="C766" t="s">
        <v>48</v>
      </c>
      <c r="D766">
        <v>0</v>
      </c>
      <c r="E766">
        <v>0</v>
      </c>
      <c r="F766" t="s">
        <v>259</v>
      </c>
    </row>
    <row r="767" spans="1:6" x14ac:dyDescent="0.3">
      <c r="A767" s="20">
        <v>45789</v>
      </c>
      <c r="B767">
        <v>18</v>
      </c>
      <c r="C767" t="s">
        <v>139</v>
      </c>
      <c r="D767">
        <v>228</v>
      </c>
      <c r="E767">
        <v>8</v>
      </c>
      <c r="F767" t="s">
        <v>46</v>
      </c>
    </row>
    <row r="768" spans="1:6" x14ac:dyDescent="0.3">
      <c r="A768" s="20">
        <v>45789</v>
      </c>
      <c r="B768">
        <v>18</v>
      </c>
      <c r="C768" t="s">
        <v>155</v>
      </c>
      <c r="D768">
        <v>5</v>
      </c>
      <c r="E768">
        <v>2</v>
      </c>
      <c r="F768" t="s">
        <v>32</v>
      </c>
    </row>
    <row r="769" spans="1:6" x14ac:dyDescent="0.3">
      <c r="A769" s="20">
        <v>45789</v>
      </c>
      <c r="B769">
        <v>18</v>
      </c>
      <c r="C769" t="s">
        <v>160</v>
      </c>
      <c r="D769">
        <v>1</v>
      </c>
      <c r="E769">
        <v>0</v>
      </c>
      <c r="F769" t="s">
        <v>68</v>
      </c>
    </row>
    <row r="770" spans="1:6" x14ac:dyDescent="0.3">
      <c r="A770" s="20">
        <v>45789</v>
      </c>
      <c r="B770">
        <v>18</v>
      </c>
      <c r="C770" t="s">
        <v>160</v>
      </c>
      <c r="D770">
        <v>43</v>
      </c>
      <c r="E770">
        <v>7</v>
      </c>
      <c r="F770" t="s">
        <v>161</v>
      </c>
    </row>
    <row r="771" spans="1:6" x14ac:dyDescent="0.3">
      <c r="A771" s="20">
        <v>45789</v>
      </c>
      <c r="B771">
        <v>18</v>
      </c>
      <c r="C771" t="s">
        <v>160</v>
      </c>
      <c r="D771">
        <v>58</v>
      </c>
      <c r="E771">
        <v>18</v>
      </c>
      <c r="F771" t="s">
        <v>72</v>
      </c>
    </row>
    <row r="772" spans="1:6" x14ac:dyDescent="0.3">
      <c r="A772" s="20">
        <v>45789</v>
      </c>
      <c r="B772">
        <v>18</v>
      </c>
      <c r="C772" t="s">
        <v>51</v>
      </c>
      <c r="D772">
        <v>39853</v>
      </c>
      <c r="E772">
        <v>1137</v>
      </c>
      <c r="F772" t="s">
        <v>38</v>
      </c>
    </row>
    <row r="773" spans="1:6" x14ac:dyDescent="0.3">
      <c r="A773" s="20">
        <v>45789</v>
      </c>
      <c r="B773">
        <v>18</v>
      </c>
      <c r="C773" t="s">
        <v>240</v>
      </c>
      <c r="D773">
        <v>390</v>
      </c>
      <c r="E773">
        <v>13</v>
      </c>
      <c r="F773" t="s">
        <v>38</v>
      </c>
    </row>
    <row r="774" spans="1:6" x14ac:dyDescent="0.3">
      <c r="A774" s="20">
        <v>45789</v>
      </c>
      <c r="B774">
        <v>18</v>
      </c>
      <c r="C774" t="s">
        <v>251</v>
      </c>
      <c r="D774">
        <v>119</v>
      </c>
      <c r="E774">
        <v>1</v>
      </c>
      <c r="F774" t="s">
        <v>47</v>
      </c>
    </row>
    <row r="775" spans="1:6" x14ac:dyDescent="0.3">
      <c r="A775" s="20">
        <v>45789</v>
      </c>
      <c r="B775">
        <v>18</v>
      </c>
      <c r="C775" t="s">
        <v>235</v>
      </c>
      <c r="D775">
        <v>2144</v>
      </c>
      <c r="E775">
        <v>247</v>
      </c>
      <c r="F775" t="s">
        <v>229</v>
      </c>
    </row>
    <row r="776" spans="1:6" x14ac:dyDescent="0.3">
      <c r="A776" s="20">
        <v>45789</v>
      </c>
      <c r="B776">
        <v>19</v>
      </c>
      <c r="C776" t="s">
        <v>156</v>
      </c>
      <c r="D776">
        <v>1597</v>
      </c>
      <c r="E776">
        <v>215</v>
      </c>
      <c r="F776" t="s">
        <v>72</v>
      </c>
    </row>
    <row r="777" spans="1:6" x14ac:dyDescent="0.3">
      <c r="A777" s="20">
        <v>45789</v>
      </c>
      <c r="B777">
        <v>19</v>
      </c>
      <c r="C777" t="s">
        <v>66</v>
      </c>
      <c r="D777">
        <v>51413</v>
      </c>
      <c r="E777">
        <v>2189</v>
      </c>
      <c r="F777" t="s">
        <v>31</v>
      </c>
    </row>
    <row r="778" spans="1:6" x14ac:dyDescent="0.3">
      <c r="A778" s="20">
        <v>45789</v>
      </c>
      <c r="B778">
        <v>19</v>
      </c>
      <c r="C778" t="s">
        <v>230</v>
      </c>
      <c r="D778">
        <v>28179</v>
      </c>
      <c r="E778">
        <v>2183</v>
      </c>
      <c r="F778" t="s">
        <v>31</v>
      </c>
    </row>
    <row r="779" spans="1:6" x14ac:dyDescent="0.3">
      <c r="A779" s="20">
        <v>45789</v>
      </c>
      <c r="B779">
        <v>19</v>
      </c>
      <c r="C779" t="s">
        <v>52</v>
      </c>
      <c r="D779">
        <v>23</v>
      </c>
      <c r="E779">
        <v>23</v>
      </c>
      <c r="F779" t="s">
        <v>259</v>
      </c>
    </row>
    <row r="780" spans="1:6" x14ac:dyDescent="0.3">
      <c r="A780" s="20">
        <v>45789</v>
      </c>
      <c r="B780">
        <v>19</v>
      </c>
      <c r="C780" t="s">
        <v>48</v>
      </c>
      <c r="D780">
        <v>56406</v>
      </c>
      <c r="E780">
        <v>2440</v>
      </c>
      <c r="F780" t="s">
        <v>31</v>
      </c>
    </row>
    <row r="781" spans="1:6" x14ac:dyDescent="0.3">
      <c r="A781" s="20">
        <v>45789</v>
      </c>
      <c r="B781">
        <v>19</v>
      </c>
      <c r="C781" t="s">
        <v>53</v>
      </c>
      <c r="D781">
        <v>1149</v>
      </c>
      <c r="E781">
        <v>33</v>
      </c>
      <c r="F781" t="s">
        <v>31</v>
      </c>
    </row>
    <row r="782" spans="1:6" x14ac:dyDescent="0.3">
      <c r="A782" s="20">
        <v>45789</v>
      </c>
      <c r="B782">
        <v>19</v>
      </c>
      <c r="C782" t="s">
        <v>152</v>
      </c>
      <c r="D782">
        <v>1066</v>
      </c>
      <c r="E782">
        <v>181</v>
      </c>
      <c r="F782" t="s">
        <v>252</v>
      </c>
    </row>
    <row r="783" spans="1:6" x14ac:dyDescent="0.3">
      <c r="A783" s="20">
        <v>45789</v>
      </c>
      <c r="B783">
        <v>19</v>
      </c>
      <c r="C783" t="s">
        <v>232</v>
      </c>
      <c r="D783">
        <v>2304</v>
      </c>
      <c r="E783">
        <v>184</v>
      </c>
      <c r="F783" t="s">
        <v>39</v>
      </c>
    </row>
    <row r="784" spans="1:6" x14ac:dyDescent="0.3">
      <c r="A784" s="20">
        <v>45789</v>
      </c>
      <c r="B784">
        <v>19</v>
      </c>
      <c r="C784" t="s">
        <v>162</v>
      </c>
      <c r="D784">
        <v>4280</v>
      </c>
      <c r="E784">
        <v>283</v>
      </c>
      <c r="F784" t="s">
        <v>44</v>
      </c>
    </row>
    <row r="785" spans="1:6" x14ac:dyDescent="0.3">
      <c r="A785" s="20">
        <v>45789</v>
      </c>
      <c r="B785">
        <v>19</v>
      </c>
      <c r="C785" t="s">
        <v>37</v>
      </c>
      <c r="D785">
        <v>57803</v>
      </c>
      <c r="E785">
        <v>1251</v>
      </c>
      <c r="F785" t="s">
        <v>38</v>
      </c>
    </row>
    <row r="786" spans="1:6" x14ac:dyDescent="0.3">
      <c r="A786" s="20">
        <v>45789</v>
      </c>
      <c r="B786">
        <v>19</v>
      </c>
      <c r="C786" t="s">
        <v>126</v>
      </c>
      <c r="D786">
        <v>6</v>
      </c>
      <c r="E786">
        <v>6</v>
      </c>
      <c r="F786" t="s">
        <v>38</v>
      </c>
    </row>
    <row r="787" spans="1:6" x14ac:dyDescent="0.3">
      <c r="A787" s="20">
        <v>45789</v>
      </c>
      <c r="B787">
        <v>19</v>
      </c>
      <c r="C787" t="s">
        <v>258</v>
      </c>
      <c r="D787">
        <v>5973</v>
      </c>
      <c r="E787">
        <v>534</v>
      </c>
      <c r="F787" t="s">
        <v>229</v>
      </c>
    </row>
    <row r="788" spans="1:6" x14ac:dyDescent="0.3">
      <c r="A788" s="20">
        <v>45789</v>
      </c>
      <c r="B788">
        <v>20</v>
      </c>
      <c r="C788" t="s">
        <v>73</v>
      </c>
      <c r="D788">
        <v>0</v>
      </c>
      <c r="E788">
        <v>0</v>
      </c>
      <c r="F788" t="s">
        <v>39</v>
      </c>
    </row>
    <row r="789" spans="1:6" x14ac:dyDescent="0.3">
      <c r="A789" s="20">
        <v>45789</v>
      </c>
      <c r="B789">
        <v>20</v>
      </c>
      <c r="C789" t="s">
        <v>73</v>
      </c>
      <c r="D789">
        <v>0</v>
      </c>
      <c r="E789">
        <v>0</v>
      </c>
      <c r="F789" t="s">
        <v>229</v>
      </c>
    </row>
    <row r="790" spans="1:6" x14ac:dyDescent="0.3">
      <c r="A790" s="20">
        <v>45789</v>
      </c>
      <c r="B790">
        <v>20</v>
      </c>
      <c r="C790" t="s">
        <v>52</v>
      </c>
      <c r="D790">
        <v>13441</v>
      </c>
      <c r="E790">
        <v>383</v>
      </c>
      <c r="F790" t="s">
        <v>31</v>
      </c>
    </row>
    <row r="791" spans="1:6" x14ac:dyDescent="0.3">
      <c r="A791" s="20">
        <v>45789</v>
      </c>
      <c r="B791">
        <v>20</v>
      </c>
      <c r="C791" t="s">
        <v>242</v>
      </c>
      <c r="D791">
        <v>14481</v>
      </c>
      <c r="E791">
        <v>1144</v>
      </c>
      <c r="F791" t="s">
        <v>31</v>
      </c>
    </row>
    <row r="792" spans="1:6" x14ac:dyDescent="0.3">
      <c r="A792" s="20">
        <v>45789</v>
      </c>
      <c r="B792">
        <v>20</v>
      </c>
      <c r="C792" t="s">
        <v>236</v>
      </c>
      <c r="D792">
        <v>13134</v>
      </c>
      <c r="E792">
        <v>1272</v>
      </c>
      <c r="F792" t="s">
        <v>31</v>
      </c>
    </row>
    <row r="793" spans="1:6" x14ac:dyDescent="0.3">
      <c r="A793" s="20">
        <v>45789</v>
      </c>
      <c r="B793">
        <v>20</v>
      </c>
      <c r="C793" t="s">
        <v>35</v>
      </c>
      <c r="D793">
        <v>66</v>
      </c>
      <c r="E793">
        <v>9</v>
      </c>
      <c r="F793" t="s">
        <v>31</v>
      </c>
    </row>
    <row r="794" spans="1:6" x14ac:dyDescent="0.3">
      <c r="A794" s="20">
        <v>45789</v>
      </c>
      <c r="B794">
        <v>20</v>
      </c>
      <c r="C794" t="s">
        <v>237</v>
      </c>
      <c r="D794">
        <v>631</v>
      </c>
      <c r="E794">
        <v>41</v>
      </c>
      <c r="F794" t="s">
        <v>31</v>
      </c>
    </row>
    <row r="795" spans="1:6" x14ac:dyDescent="0.3">
      <c r="A795" s="20">
        <v>45789</v>
      </c>
      <c r="B795">
        <v>20</v>
      </c>
      <c r="C795" t="s">
        <v>50</v>
      </c>
      <c r="D795">
        <v>90</v>
      </c>
      <c r="E795">
        <v>32</v>
      </c>
      <c r="F795" t="s">
        <v>31</v>
      </c>
    </row>
    <row r="796" spans="1:6" x14ac:dyDescent="0.3">
      <c r="A796" s="20">
        <v>45789</v>
      </c>
      <c r="B796">
        <v>20</v>
      </c>
      <c r="C796" t="s">
        <v>232</v>
      </c>
      <c r="D796">
        <v>1289</v>
      </c>
      <c r="E796">
        <v>80</v>
      </c>
      <c r="F796" t="s">
        <v>74</v>
      </c>
    </row>
    <row r="797" spans="1:6" x14ac:dyDescent="0.3">
      <c r="A797" s="20">
        <v>45789</v>
      </c>
      <c r="B797">
        <v>20</v>
      </c>
      <c r="C797" t="s">
        <v>232</v>
      </c>
      <c r="D797">
        <v>6948</v>
      </c>
      <c r="E797">
        <v>808</v>
      </c>
      <c r="F797" t="s">
        <v>229</v>
      </c>
    </row>
    <row r="798" spans="1:6" x14ac:dyDescent="0.3">
      <c r="A798" s="20">
        <v>45789</v>
      </c>
      <c r="B798">
        <v>20</v>
      </c>
      <c r="C798" t="s">
        <v>250</v>
      </c>
      <c r="D798">
        <v>393</v>
      </c>
      <c r="E798">
        <v>14</v>
      </c>
      <c r="F798" t="s">
        <v>164</v>
      </c>
    </row>
    <row r="799" spans="1:6" x14ac:dyDescent="0.3">
      <c r="A799" s="20">
        <v>45789</v>
      </c>
      <c r="B799">
        <v>20</v>
      </c>
      <c r="C799" t="s">
        <v>160</v>
      </c>
      <c r="D799">
        <v>42</v>
      </c>
      <c r="E799">
        <v>7</v>
      </c>
      <c r="F799" t="s">
        <v>32</v>
      </c>
    </row>
    <row r="800" spans="1:6" x14ac:dyDescent="0.3">
      <c r="A800" s="20">
        <v>45789</v>
      </c>
      <c r="B800">
        <v>20</v>
      </c>
      <c r="C800" t="s">
        <v>160</v>
      </c>
      <c r="D800">
        <v>19</v>
      </c>
      <c r="E800">
        <v>3</v>
      </c>
      <c r="F800" t="s">
        <v>234</v>
      </c>
    </row>
    <row r="801" spans="1:6" x14ac:dyDescent="0.3">
      <c r="A801" s="20">
        <v>45789</v>
      </c>
      <c r="B801">
        <v>20</v>
      </c>
      <c r="C801" t="s">
        <v>160</v>
      </c>
      <c r="D801">
        <v>127</v>
      </c>
      <c r="E801">
        <v>14</v>
      </c>
      <c r="F801" t="s">
        <v>45</v>
      </c>
    </row>
    <row r="802" spans="1:6" x14ac:dyDescent="0.3">
      <c r="A802" s="20">
        <v>45789</v>
      </c>
      <c r="B802">
        <v>20</v>
      </c>
      <c r="C802" t="s">
        <v>125</v>
      </c>
      <c r="D802">
        <v>57614</v>
      </c>
      <c r="E802">
        <v>2327</v>
      </c>
      <c r="F802" t="s">
        <v>38</v>
      </c>
    </row>
    <row r="803" spans="1:6" x14ac:dyDescent="0.3">
      <c r="A803" s="20">
        <v>45789</v>
      </c>
      <c r="B803">
        <v>21</v>
      </c>
      <c r="C803" t="s">
        <v>159</v>
      </c>
      <c r="D803">
        <v>2</v>
      </c>
      <c r="E803">
        <v>0</v>
      </c>
      <c r="F803" t="s">
        <v>31</v>
      </c>
    </row>
    <row r="804" spans="1:6" x14ac:dyDescent="0.3">
      <c r="A804" s="20">
        <v>45789</v>
      </c>
      <c r="B804">
        <v>21</v>
      </c>
      <c r="C804" t="s">
        <v>157</v>
      </c>
      <c r="D804">
        <v>0</v>
      </c>
      <c r="E804">
        <v>0</v>
      </c>
      <c r="F804" t="s">
        <v>31</v>
      </c>
    </row>
    <row r="805" spans="1:6" x14ac:dyDescent="0.3">
      <c r="A805" s="20">
        <v>45789</v>
      </c>
      <c r="B805">
        <v>8</v>
      </c>
      <c r="C805" t="s">
        <v>239</v>
      </c>
      <c r="D805">
        <v>80726</v>
      </c>
      <c r="E805">
        <v>7197</v>
      </c>
      <c r="F805" t="s">
        <v>31</v>
      </c>
    </row>
    <row r="806" spans="1:6" x14ac:dyDescent="0.3">
      <c r="A806" s="20">
        <v>45789</v>
      </c>
      <c r="B806">
        <v>8</v>
      </c>
      <c r="C806" t="s">
        <v>236</v>
      </c>
      <c r="D806">
        <v>54348</v>
      </c>
      <c r="E806">
        <v>5807</v>
      </c>
      <c r="F806" t="s">
        <v>31</v>
      </c>
    </row>
    <row r="807" spans="1:6" x14ac:dyDescent="0.3">
      <c r="A807" s="20">
        <v>45789</v>
      </c>
      <c r="B807">
        <v>8</v>
      </c>
      <c r="C807" t="s">
        <v>237</v>
      </c>
      <c r="D807">
        <v>25718</v>
      </c>
      <c r="E807">
        <v>3244</v>
      </c>
      <c r="F807" t="s">
        <v>31</v>
      </c>
    </row>
    <row r="808" spans="1:6" x14ac:dyDescent="0.3">
      <c r="A808" s="20">
        <v>45789</v>
      </c>
      <c r="B808">
        <v>8</v>
      </c>
      <c r="C808" t="s">
        <v>50</v>
      </c>
      <c r="D808">
        <v>498</v>
      </c>
      <c r="E808">
        <v>137</v>
      </c>
      <c r="F808" t="s">
        <v>31</v>
      </c>
    </row>
    <row r="809" spans="1:6" x14ac:dyDescent="0.3">
      <c r="A809" s="20">
        <v>45789</v>
      </c>
      <c r="B809">
        <v>8</v>
      </c>
      <c r="C809" t="s">
        <v>152</v>
      </c>
      <c r="D809">
        <v>3467</v>
      </c>
      <c r="E809">
        <v>494</v>
      </c>
      <c r="F809" t="s">
        <v>138</v>
      </c>
    </row>
    <row r="810" spans="1:6" x14ac:dyDescent="0.3">
      <c r="A810" s="20">
        <v>45789</v>
      </c>
      <c r="B810">
        <v>8</v>
      </c>
      <c r="C810" t="s">
        <v>238</v>
      </c>
      <c r="D810">
        <v>11939</v>
      </c>
      <c r="E810">
        <v>989</v>
      </c>
      <c r="F810" t="s">
        <v>32</v>
      </c>
    </row>
    <row r="811" spans="1:6" x14ac:dyDescent="0.3">
      <c r="A811" s="20">
        <v>45789</v>
      </c>
      <c r="B811">
        <v>8</v>
      </c>
      <c r="C811" t="s">
        <v>261</v>
      </c>
      <c r="D811">
        <v>17093</v>
      </c>
      <c r="E811">
        <v>2135</v>
      </c>
      <c r="F811" t="s">
        <v>31</v>
      </c>
    </row>
    <row r="812" spans="1:6" x14ac:dyDescent="0.3">
      <c r="A812" s="20">
        <v>45789</v>
      </c>
      <c r="B812">
        <v>8</v>
      </c>
      <c r="C812" t="s">
        <v>255</v>
      </c>
      <c r="D812">
        <v>13663</v>
      </c>
      <c r="E812">
        <v>1875</v>
      </c>
      <c r="F812" t="s">
        <v>39</v>
      </c>
    </row>
    <row r="813" spans="1:6" x14ac:dyDescent="0.3">
      <c r="A813" s="20">
        <v>45789</v>
      </c>
      <c r="B813">
        <v>8</v>
      </c>
      <c r="C813" t="s">
        <v>160</v>
      </c>
      <c r="D813">
        <v>511</v>
      </c>
      <c r="E813">
        <v>74</v>
      </c>
      <c r="F813" t="s">
        <v>74</v>
      </c>
    </row>
    <row r="814" spans="1:6" x14ac:dyDescent="0.3">
      <c r="A814" s="20">
        <v>45789</v>
      </c>
      <c r="B814">
        <v>8</v>
      </c>
      <c r="C814" t="s">
        <v>124</v>
      </c>
      <c r="D814">
        <v>84553</v>
      </c>
      <c r="E814">
        <v>4776</v>
      </c>
      <c r="F814" t="s">
        <v>38</v>
      </c>
    </row>
    <row r="815" spans="1:6" x14ac:dyDescent="0.3">
      <c r="A815" s="20">
        <v>45789</v>
      </c>
      <c r="B815">
        <v>8</v>
      </c>
      <c r="C815" t="s">
        <v>165</v>
      </c>
      <c r="D815">
        <v>7</v>
      </c>
      <c r="E815">
        <v>7</v>
      </c>
      <c r="F815" t="s">
        <v>38</v>
      </c>
    </row>
    <row r="816" spans="1:6" x14ac:dyDescent="0.3">
      <c r="A816" s="20">
        <v>45789</v>
      </c>
      <c r="B816">
        <v>8</v>
      </c>
      <c r="C816" t="s">
        <v>235</v>
      </c>
      <c r="D816">
        <v>12347</v>
      </c>
      <c r="E816">
        <v>1342</v>
      </c>
      <c r="F816" t="s">
        <v>234</v>
      </c>
    </row>
    <row r="817" spans="1:6" x14ac:dyDescent="0.3">
      <c r="A817" s="20">
        <v>45789</v>
      </c>
      <c r="B817">
        <v>9</v>
      </c>
      <c r="C817" t="s">
        <v>73</v>
      </c>
      <c r="D817">
        <v>0</v>
      </c>
      <c r="E817">
        <v>0</v>
      </c>
      <c r="F817" t="s">
        <v>39</v>
      </c>
    </row>
    <row r="818" spans="1:6" x14ac:dyDescent="0.3">
      <c r="A818" s="20">
        <v>45789</v>
      </c>
      <c r="B818">
        <v>9</v>
      </c>
      <c r="C818" t="s">
        <v>73</v>
      </c>
      <c r="D818">
        <v>0</v>
      </c>
      <c r="E818">
        <v>0</v>
      </c>
      <c r="F818" t="s">
        <v>231</v>
      </c>
    </row>
    <row r="819" spans="1:6" x14ac:dyDescent="0.3">
      <c r="A819" s="20">
        <v>45789</v>
      </c>
      <c r="B819">
        <v>9</v>
      </c>
      <c r="C819" t="s">
        <v>73</v>
      </c>
      <c r="D819">
        <v>0</v>
      </c>
      <c r="E819">
        <v>0</v>
      </c>
      <c r="F819" t="s">
        <v>46</v>
      </c>
    </row>
    <row r="820" spans="1:6" x14ac:dyDescent="0.3">
      <c r="A820" s="20">
        <v>45789</v>
      </c>
      <c r="B820">
        <v>9</v>
      </c>
      <c r="C820" t="s">
        <v>73</v>
      </c>
      <c r="D820">
        <v>0</v>
      </c>
      <c r="E820">
        <v>0</v>
      </c>
      <c r="F820" t="s">
        <v>43</v>
      </c>
    </row>
    <row r="821" spans="1:6" x14ac:dyDescent="0.3">
      <c r="A821" s="20">
        <v>45789</v>
      </c>
      <c r="B821">
        <v>9</v>
      </c>
      <c r="C821" t="s">
        <v>156</v>
      </c>
      <c r="D821">
        <v>6838</v>
      </c>
      <c r="E821">
        <v>1406</v>
      </c>
      <c r="F821" t="s">
        <v>45</v>
      </c>
    </row>
    <row r="822" spans="1:6" x14ac:dyDescent="0.3">
      <c r="A822" s="20">
        <v>45789</v>
      </c>
      <c r="B822">
        <v>9</v>
      </c>
      <c r="C822" t="s">
        <v>228</v>
      </c>
      <c r="D822">
        <v>23223</v>
      </c>
      <c r="E822">
        <v>3413</v>
      </c>
      <c r="F822" t="s">
        <v>231</v>
      </c>
    </row>
    <row r="823" spans="1:6" x14ac:dyDescent="0.3">
      <c r="A823" s="20">
        <v>45789</v>
      </c>
      <c r="B823">
        <v>9</v>
      </c>
      <c r="C823" t="s">
        <v>228</v>
      </c>
      <c r="D823">
        <v>892</v>
      </c>
      <c r="E823">
        <v>147</v>
      </c>
      <c r="F823" t="s">
        <v>43</v>
      </c>
    </row>
    <row r="824" spans="1:6" x14ac:dyDescent="0.3">
      <c r="A824" s="20">
        <v>45789</v>
      </c>
      <c r="B824">
        <v>9</v>
      </c>
      <c r="C824" t="s">
        <v>159</v>
      </c>
      <c r="D824">
        <v>24971</v>
      </c>
      <c r="E824">
        <v>1292</v>
      </c>
      <c r="F824" t="s">
        <v>31</v>
      </c>
    </row>
    <row r="825" spans="1:6" x14ac:dyDescent="0.3">
      <c r="A825" s="20">
        <v>45789</v>
      </c>
      <c r="B825">
        <v>9</v>
      </c>
      <c r="C825" t="s">
        <v>230</v>
      </c>
      <c r="D825">
        <v>18457</v>
      </c>
      <c r="E825">
        <v>2078</v>
      </c>
      <c r="F825" t="s">
        <v>31</v>
      </c>
    </row>
    <row r="826" spans="1:6" x14ac:dyDescent="0.3">
      <c r="A826" s="20">
        <v>45789</v>
      </c>
      <c r="B826">
        <v>9</v>
      </c>
      <c r="C826" t="s">
        <v>52</v>
      </c>
      <c r="D826">
        <v>34021</v>
      </c>
      <c r="E826">
        <v>1523</v>
      </c>
      <c r="F826" t="s">
        <v>31</v>
      </c>
    </row>
    <row r="827" spans="1:6" x14ac:dyDescent="0.3">
      <c r="A827" s="20">
        <v>45789</v>
      </c>
      <c r="B827">
        <v>9</v>
      </c>
      <c r="C827" t="s">
        <v>139</v>
      </c>
      <c r="D827">
        <v>34541</v>
      </c>
      <c r="E827">
        <v>922</v>
      </c>
      <c r="F827" t="s">
        <v>46</v>
      </c>
    </row>
    <row r="828" spans="1:6" x14ac:dyDescent="0.3">
      <c r="A828" s="20">
        <v>45789</v>
      </c>
      <c r="B828">
        <v>9</v>
      </c>
      <c r="C828" t="s">
        <v>71</v>
      </c>
      <c r="D828">
        <v>26644</v>
      </c>
      <c r="E828">
        <v>3256</v>
      </c>
      <c r="F828" t="s">
        <v>164</v>
      </c>
    </row>
    <row r="829" spans="1:6" x14ac:dyDescent="0.3">
      <c r="A829" s="20">
        <v>45789</v>
      </c>
      <c r="B829">
        <v>9</v>
      </c>
      <c r="C829" t="s">
        <v>233</v>
      </c>
      <c r="D829">
        <v>2270</v>
      </c>
      <c r="E829">
        <v>358</v>
      </c>
      <c r="F829" t="s">
        <v>85</v>
      </c>
    </row>
    <row r="830" spans="1:6" x14ac:dyDescent="0.3">
      <c r="A830" s="20">
        <v>45789</v>
      </c>
      <c r="B830">
        <v>9</v>
      </c>
      <c r="C830" t="s">
        <v>233</v>
      </c>
      <c r="D830">
        <v>6957</v>
      </c>
      <c r="E830">
        <v>709</v>
      </c>
      <c r="F830" t="s">
        <v>39</v>
      </c>
    </row>
    <row r="831" spans="1:6" x14ac:dyDescent="0.3">
      <c r="A831" s="20">
        <v>45789</v>
      </c>
      <c r="B831">
        <v>9</v>
      </c>
      <c r="C831" t="s">
        <v>155</v>
      </c>
      <c r="D831">
        <v>88</v>
      </c>
      <c r="E831">
        <v>59</v>
      </c>
      <c r="F831" t="s">
        <v>32</v>
      </c>
    </row>
    <row r="832" spans="1:6" x14ac:dyDescent="0.3">
      <c r="A832" s="20">
        <v>45789</v>
      </c>
      <c r="B832">
        <v>9</v>
      </c>
      <c r="C832" t="s">
        <v>155</v>
      </c>
      <c r="D832">
        <v>6</v>
      </c>
      <c r="E832">
        <v>1</v>
      </c>
      <c r="F832" t="s">
        <v>33</v>
      </c>
    </row>
    <row r="833" spans="1:6" x14ac:dyDescent="0.3">
      <c r="A833" s="20">
        <v>45789</v>
      </c>
      <c r="B833">
        <v>9</v>
      </c>
      <c r="C833" t="s">
        <v>40</v>
      </c>
      <c r="D833">
        <v>98670</v>
      </c>
      <c r="E833">
        <v>6203</v>
      </c>
      <c r="F833" t="s">
        <v>38</v>
      </c>
    </row>
    <row r="834" spans="1:6" x14ac:dyDescent="0.3">
      <c r="A834" s="20">
        <v>45789</v>
      </c>
      <c r="B834">
        <v>9</v>
      </c>
      <c r="C834" t="s">
        <v>76</v>
      </c>
      <c r="D834">
        <v>88016</v>
      </c>
      <c r="E834">
        <v>4634</v>
      </c>
      <c r="F834" t="s">
        <v>38</v>
      </c>
    </row>
    <row r="835" spans="1:6" x14ac:dyDescent="0.3">
      <c r="A835" s="20">
        <v>45789</v>
      </c>
      <c r="B835">
        <v>9</v>
      </c>
      <c r="C835" t="s">
        <v>81</v>
      </c>
      <c r="D835">
        <v>89681</v>
      </c>
      <c r="E835">
        <v>4404</v>
      </c>
      <c r="F835" t="s">
        <v>38</v>
      </c>
    </row>
    <row r="836" spans="1:6" x14ac:dyDescent="0.3">
      <c r="A836" s="20">
        <v>45789</v>
      </c>
      <c r="B836">
        <v>9</v>
      </c>
      <c r="C836" t="s">
        <v>235</v>
      </c>
      <c r="D836">
        <v>2509</v>
      </c>
      <c r="E836">
        <v>293</v>
      </c>
      <c r="F836" t="s">
        <v>229</v>
      </c>
    </row>
    <row r="837" spans="1:6" x14ac:dyDescent="0.3">
      <c r="A837" s="20">
        <v>45789</v>
      </c>
      <c r="B837">
        <v>10</v>
      </c>
      <c r="C837" t="s">
        <v>73</v>
      </c>
      <c r="D837">
        <v>8</v>
      </c>
      <c r="E837">
        <v>8</v>
      </c>
      <c r="F837" t="s">
        <v>31</v>
      </c>
    </row>
    <row r="838" spans="1:6" x14ac:dyDescent="0.3">
      <c r="A838" s="20">
        <v>45789</v>
      </c>
      <c r="B838">
        <v>10</v>
      </c>
      <c r="C838" t="s">
        <v>73</v>
      </c>
      <c r="D838">
        <v>0</v>
      </c>
      <c r="E838">
        <v>0</v>
      </c>
      <c r="F838" t="s">
        <v>161</v>
      </c>
    </row>
    <row r="839" spans="1:6" x14ac:dyDescent="0.3">
      <c r="A839" s="20">
        <v>45789</v>
      </c>
      <c r="B839">
        <v>10</v>
      </c>
      <c r="C839" t="s">
        <v>73</v>
      </c>
      <c r="D839">
        <v>0</v>
      </c>
      <c r="E839">
        <v>0</v>
      </c>
      <c r="F839" t="s">
        <v>72</v>
      </c>
    </row>
    <row r="840" spans="1:6" x14ac:dyDescent="0.3">
      <c r="A840" s="20">
        <v>45789</v>
      </c>
      <c r="B840">
        <v>10</v>
      </c>
      <c r="C840" t="s">
        <v>153</v>
      </c>
      <c r="D840">
        <v>4406</v>
      </c>
      <c r="E840">
        <v>181</v>
      </c>
      <c r="F840" t="s">
        <v>248</v>
      </c>
    </row>
    <row r="841" spans="1:6" x14ac:dyDescent="0.3">
      <c r="A841" s="20">
        <v>45789</v>
      </c>
      <c r="B841">
        <v>10</v>
      </c>
      <c r="C841" t="s">
        <v>156</v>
      </c>
      <c r="D841">
        <v>6374</v>
      </c>
      <c r="E841">
        <v>789</v>
      </c>
      <c r="F841" t="s">
        <v>229</v>
      </c>
    </row>
    <row r="842" spans="1:6" x14ac:dyDescent="0.3">
      <c r="A842" s="20">
        <v>45789</v>
      </c>
      <c r="B842">
        <v>10</v>
      </c>
      <c r="C842" t="s">
        <v>67</v>
      </c>
      <c r="D842">
        <v>5597</v>
      </c>
      <c r="E842">
        <v>175</v>
      </c>
      <c r="F842" t="s">
        <v>42</v>
      </c>
    </row>
    <row r="843" spans="1:6" x14ac:dyDescent="0.3">
      <c r="A843" s="20">
        <v>45789</v>
      </c>
      <c r="B843">
        <v>10</v>
      </c>
      <c r="C843" t="s">
        <v>241</v>
      </c>
      <c r="D843">
        <v>11160</v>
      </c>
      <c r="E843">
        <v>766</v>
      </c>
      <c r="F843" t="s">
        <v>31</v>
      </c>
    </row>
    <row r="844" spans="1:6" x14ac:dyDescent="0.3">
      <c r="A844" s="20">
        <v>45789</v>
      </c>
      <c r="B844">
        <v>10</v>
      </c>
      <c r="C844" t="s">
        <v>66</v>
      </c>
      <c r="D844">
        <v>21879</v>
      </c>
      <c r="E844">
        <v>2381</v>
      </c>
      <c r="F844" t="s">
        <v>31</v>
      </c>
    </row>
    <row r="845" spans="1:6" x14ac:dyDescent="0.3">
      <c r="A845" s="20">
        <v>45789</v>
      </c>
      <c r="B845">
        <v>10</v>
      </c>
      <c r="C845" t="s">
        <v>243</v>
      </c>
      <c r="D845">
        <v>395</v>
      </c>
      <c r="E845">
        <v>38</v>
      </c>
      <c r="F845" t="s">
        <v>42</v>
      </c>
    </row>
    <row r="846" spans="1:6" x14ac:dyDescent="0.3">
      <c r="A846" s="20">
        <v>45789</v>
      </c>
      <c r="B846">
        <v>10</v>
      </c>
      <c r="C846" t="s">
        <v>247</v>
      </c>
      <c r="D846">
        <v>13000</v>
      </c>
      <c r="E846">
        <v>1527</v>
      </c>
      <c r="F846" t="s">
        <v>31</v>
      </c>
    </row>
    <row r="847" spans="1:6" x14ac:dyDescent="0.3">
      <c r="A847" s="20">
        <v>45789</v>
      </c>
      <c r="B847">
        <v>10</v>
      </c>
      <c r="C847" t="s">
        <v>254</v>
      </c>
      <c r="D847">
        <v>14816</v>
      </c>
      <c r="E847">
        <v>1816</v>
      </c>
      <c r="F847" t="s">
        <v>31</v>
      </c>
    </row>
    <row r="848" spans="1:6" x14ac:dyDescent="0.3">
      <c r="A848" s="20">
        <v>45789</v>
      </c>
      <c r="B848">
        <v>10</v>
      </c>
      <c r="C848" t="s">
        <v>152</v>
      </c>
      <c r="D848">
        <v>6333</v>
      </c>
      <c r="E848">
        <v>861</v>
      </c>
      <c r="F848" t="s">
        <v>252</v>
      </c>
    </row>
    <row r="849" spans="1:6" x14ac:dyDescent="0.3">
      <c r="A849" s="20">
        <v>45789</v>
      </c>
      <c r="B849">
        <v>10</v>
      </c>
      <c r="C849" t="s">
        <v>232</v>
      </c>
      <c r="D849">
        <v>4950</v>
      </c>
      <c r="E849">
        <v>280</v>
      </c>
      <c r="F849" t="s">
        <v>74</v>
      </c>
    </row>
    <row r="850" spans="1:6" x14ac:dyDescent="0.3">
      <c r="A850" s="20">
        <v>45789</v>
      </c>
      <c r="B850">
        <v>10</v>
      </c>
      <c r="C850" t="s">
        <v>232</v>
      </c>
      <c r="D850">
        <v>21104</v>
      </c>
      <c r="E850">
        <v>3281</v>
      </c>
      <c r="F850" t="s">
        <v>229</v>
      </c>
    </row>
    <row r="851" spans="1:6" x14ac:dyDescent="0.3">
      <c r="A851" s="20">
        <v>45789</v>
      </c>
      <c r="B851">
        <v>10</v>
      </c>
      <c r="C851" t="s">
        <v>238</v>
      </c>
      <c r="D851">
        <v>7908</v>
      </c>
      <c r="E851">
        <v>840</v>
      </c>
      <c r="F851" t="s">
        <v>47</v>
      </c>
    </row>
    <row r="852" spans="1:6" x14ac:dyDescent="0.3">
      <c r="A852" s="20">
        <v>45789</v>
      </c>
      <c r="B852">
        <v>10</v>
      </c>
      <c r="C852" t="s">
        <v>250</v>
      </c>
      <c r="D852">
        <v>159</v>
      </c>
      <c r="E852">
        <v>35</v>
      </c>
      <c r="F852" t="s">
        <v>34</v>
      </c>
    </row>
    <row r="853" spans="1:6" x14ac:dyDescent="0.3">
      <c r="A853" s="20">
        <v>45789</v>
      </c>
      <c r="B853">
        <v>10</v>
      </c>
      <c r="C853" t="s">
        <v>250</v>
      </c>
      <c r="D853">
        <v>99</v>
      </c>
      <c r="E853">
        <v>10</v>
      </c>
      <c r="F853" t="s">
        <v>74</v>
      </c>
    </row>
    <row r="854" spans="1:6" x14ac:dyDescent="0.3">
      <c r="A854" s="20">
        <v>45789</v>
      </c>
      <c r="B854">
        <v>10</v>
      </c>
      <c r="C854" t="s">
        <v>250</v>
      </c>
      <c r="D854">
        <v>974</v>
      </c>
      <c r="E854">
        <v>124</v>
      </c>
      <c r="F854" t="s">
        <v>75</v>
      </c>
    </row>
    <row r="855" spans="1:6" x14ac:dyDescent="0.3">
      <c r="A855" s="20">
        <v>45789</v>
      </c>
      <c r="B855">
        <v>10</v>
      </c>
      <c r="C855" t="s">
        <v>235</v>
      </c>
      <c r="D855">
        <v>15547</v>
      </c>
      <c r="E855">
        <v>2634</v>
      </c>
      <c r="F855" t="s">
        <v>75</v>
      </c>
    </row>
    <row r="856" spans="1:6" x14ac:dyDescent="0.3">
      <c r="A856" s="20">
        <v>45789</v>
      </c>
      <c r="B856">
        <v>11</v>
      </c>
      <c r="C856" t="s">
        <v>73</v>
      </c>
      <c r="D856">
        <v>0</v>
      </c>
      <c r="E856">
        <v>0</v>
      </c>
      <c r="F856" t="s">
        <v>86</v>
      </c>
    </row>
    <row r="857" spans="1:6" x14ac:dyDescent="0.3">
      <c r="A857" s="20">
        <v>45789</v>
      </c>
      <c r="B857">
        <v>11</v>
      </c>
      <c r="C857" t="s">
        <v>157</v>
      </c>
      <c r="D857">
        <v>15077</v>
      </c>
      <c r="E857">
        <v>4160</v>
      </c>
      <c r="F857" t="s">
        <v>31</v>
      </c>
    </row>
    <row r="858" spans="1:6" x14ac:dyDescent="0.3">
      <c r="A858" s="20">
        <v>45789</v>
      </c>
      <c r="B858">
        <v>11</v>
      </c>
      <c r="C858" t="s">
        <v>239</v>
      </c>
      <c r="D858">
        <v>71176</v>
      </c>
      <c r="E858">
        <v>5493</v>
      </c>
      <c r="F858" t="s">
        <v>31</v>
      </c>
    </row>
    <row r="859" spans="1:6" x14ac:dyDescent="0.3">
      <c r="A859" s="20">
        <v>45789</v>
      </c>
      <c r="B859">
        <v>11</v>
      </c>
      <c r="C859" t="s">
        <v>236</v>
      </c>
      <c r="D859">
        <v>60892</v>
      </c>
      <c r="E859">
        <v>6341</v>
      </c>
      <c r="F859" t="s">
        <v>31</v>
      </c>
    </row>
    <row r="860" spans="1:6" x14ac:dyDescent="0.3">
      <c r="A860" s="20">
        <v>45789</v>
      </c>
      <c r="B860">
        <v>11</v>
      </c>
      <c r="C860" t="s">
        <v>35</v>
      </c>
      <c r="D860">
        <v>120</v>
      </c>
      <c r="E860">
        <v>21</v>
      </c>
      <c r="F860" t="s">
        <v>42</v>
      </c>
    </row>
    <row r="861" spans="1:6" x14ac:dyDescent="0.3">
      <c r="A861" s="20">
        <v>45789</v>
      </c>
      <c r="B861">
        <v>11</v>
      </c>
      <c r="C861" t="s">
        <v>54</v>
      </c>
      <c r="D861">
        <v>217</v>
      </c>
      <c r="E861">
        <v>44</v>
      </c>
      <c r="F861" t="s">
        <v>31</v>
      </c>
    </row>
    <row r="862" spans="1:6" x14ac:dyDescent="0.3">
      <c r="A862" s="20">
        <v>45789</v>
      </c>
      <c r="B862">
        <v>11</v>
      </c>
      <c r="C862" t="s">
        <v>237</v>
      </c>
      <c r="D862">
        <v>19037</v>
      </c>
      <c r="E862">
        <v>2936</v>
      </c>
      <c r="F862" t="s">
        <v>31</v>
      </c>
    </row>
    <row r="863" spans="1:6" x14ac:dyDescent="0.3">
      <c r="A863" s="20">
        <v>45789</v>
      </c>
      <c r="B863">
        <v>11</v>
      </c>
      <c r="C863" t="s">
        <v>49</v>
      </c>
      <c r="D863">
        <v>18047</v>
      </c>
      <c r="E863">
        <v>2003</v>
      </c>
      <c r="F863" t="s">
        <v>42</v>
      </c>
    </row>
    <row r="864" spans="1:6" x14ac:dyDescent="0.3">
      <c r="A864" s="20">
        <v>45789</v>
      </c>
      <c r="B864">
        <v>11</v>
      </c>
      <c r="C864" t="s">
        <v>245</v>
      </c>
      <c r="D864">
        <v>63208</v>
      </c>
      <c r="E864">
        <v>8028</v>
      </c>
      <c r="F864" t="s">
        <v>31</v>
      </c>
    </row>
    <row r="865" spans="1:6" x14ac:dyDescent="0.3">
      <c r="A865" s="20">
        <v>45789</v>
      </c>
      <c r="B865">
        <v>11</v>
      </c>
      <c r="C865" t="s">
        <v>238</v>
      </c>
      <c r="D865">
        <v>18018</v>
      </c>
      <c r="E865">
        <v>1617</v>
      </c>
      <c r="F865" t="s">
        <v>32</v>
      </c>
    </row>
    <row r="866" spans="1:6" x14ac:dyDescent="0.3">
      <c r="A866" s="20">
        <v>45789</v>
      </c>
      <c r="B866">
        <v>11</v>
      </c>
      <c r="C866" t="s">
        <v>255</v>
      </c>
      <c r="D866">
        <v>13274</v>
      </c>
      <c r="E866">
        <v>1867</v>
      </c>
      <c r="F866" t="s">
        <v>39</v>
      </c>
    </row>
    <row r="867" spans="1:6" x14ac:dyDescent="0.3">
      <c r="A867" s="20">
        <v>45789</v>
      </c>
      <c r="B867">
        <v>11</v>
      </c>
      <c r="C867" t="s">
        <v>256</v>
      </c>
      <c r="D867">
        <v>10118</v>
      </c>
      <c r="E867">
        <v>291</v>
      </c>
      <c r="F867" t="s">
        <v>163</v>
      </c>
    </row>
    <row r="868" spans="1:6" x14ac:dyDescent="0.3">
      <c r="A868" s="20">
        <v>45789</v>
      </c>
      <c r="B868">
        <v>11</v>
      </c>
      <c r="C868" t="s">
        <v>250</v>
      </c>
      <c r="D868">
        <v>23</v>
      </c>
      <c r="E868">
        <v>2</v>
      </c>
      <c r="F868" t="s">
        <v>85</v>
      </c>
    </row>
    <row r="869" spans="1:6" x14ac:dyDescent="0.3">
      <c r="A869" s="20">
        <v>45789</v>
      </c>
      <c r="B869">
        <v>11</v>
      </c>
      <c r="C869" t="s">
        <v>160</v>
      </c>
      <c r="D869">
        <v>734</v>
      </c>
      <c r="E869">
        <v>136</v>
      </c>
      <c r="F869" t="s">
        <v>74</v>
      </c>
    </row>
    <row r="870" spans="1:6" x14ac:dyDescent="0.3">
      <c r="A870" s="20">
        <v>45789</v>
      </c>
      <c r="B870">
        <v>11</v>
      </c>
      <c r="C870" t="s">
        <v>124</v>
      </c>
      <c r="D870">
        <v>88712</v>
      </c>
      <c r="E870">
        <v>5020</v>
      </c>
      <c r="F870" t="s">
        <v>38</v>
      </c>
    </row>
    <row r="871" spans="1:6" x14ac:dyDescent="0.3">
      <c r="A871" s="20">
        <v>45789</v>
      </c>
      <c r="B871">
        <v>11</v>
      </c>
      <c r="C871" t="s">
        <v>165</v>
      </c>
      <c r="D871">
        <v>13</v>
      </c>
      <c r="E871">
        <v>13</v>
      </c>
      <c r="F871" t="s">
        <v>38</v>
      </c>
    </row>
    <row r="872" spans="1:6" x14ac:dyDescent="0.3">
      <c r="A872" s="20">
        <v>45789</v>
      </c>
      <c r="B872">
        <v>12</v>
      </c>
      <c r="C872" t="s">
        <v>73</v>
      </c>
      <c r="D872">
        <v>0</v>
      </c>
      <c r="E872">
        <v>0</v>
      </c>
      <c r="F872" t="s">
        <v>231</v>
      </c>
    </row>
    <row r="873" spans="1:6" x14ac:dyDescent="0.3">
      <c r="A873" s="20">
        <v>45789</v>
      </c>
      <c r="B873">
        <v>12</v>
      </c>
      <c r="C873" t="s">
        <v>156</v>
      </c>
      <c r="D873">
        <v>9136</v>
      </c>
      <c r="E873">
        <v>1766</v>
      </c>
      <c r="F873" t="s">
        <v>45</v>
      </c>
    </row>
    <row r="874" spans="1:6" x14ac:dyDescent="0.3">
      <c r="A874" s="20">
        <v>45789</v>
      </c>
      <c r="B874">
        <v>12</v>
      </c>
      <c r="C874" t="s">
        <v>228</v>
      </c>
      <c r="D874">
        <v>24573</v>
      </c>
      <c r="E874">
        <v>2924</v>
      </c>
      <c r="F874" t="s">
        <v>231</v>
      </c>
    </row>
    <row r="875" spans="1:6" x14ac:dyDescent="0.3">
      <c r="A875" s="20">
        <v>45789</v>
      </c>
      <c r="B875">
        <v>12</v>
      </c>
      <c r="C875" t="s">
        <v>228</v>
      </c>
      <c r="D875">
        <v>816</v>
      </c>
      <c r="E875">
        <v>126</v>
      </c>
      <c r="F875" t="s">
        <v>43</v>
      </c>
    </row>
    <row r="876" spans="1:6" x14ac:dyDescent="0.3">
      <c r="A876" s="20">
        <v>45789</v>
      </c>
      <c r="B876">
        <v>12</v>
      </c>
      <c r="C876" t="s">
        <v>159</v>
      </c>
      <c r="D876">
        <v>30120</v>
      </c>
      <c r="E876">
        <v>1454</v>
      </c>
      <c r="F876" t="s">
        <v>31</v>
      </c>
    </row>
    <row r="877" spans="1:6" x14ac:dyDescent="0.3">
      <c r="A877" s="20">
        <v>45789</v>
      </c>
      <c r="B877">
        <v>12</v>
      </c>
      <c r="C877" t="s">
        <v>230</v>
      </c>
      <c r="D877">
        <v>29806</v>
      </c>
      <c r="E877">
        <v>3015</v>
      </c>
      <c r="F877" t="s">
        <v>31</v>
      </c>
    </row>
    <row r="878" spans="1:6" x14ac:dyDescent="0.3">
      <c r="A878" s="20">
        <v>45789</v>
      </c>
      <c r="B878">
        <v>12</v>
      </c>
      <c r="C878" t="s">
        <v>139</v>
      </c>
      <c r="D878">
        <v>29730</v>
      </c>
      <c r="E878">
        <v>966</v>
      </c>
      <c r="F878" t="s">
        <v>46</v>
      </c>
    </row>
    <row r="879" spans="1:6" x14ac:dyDescent="0.3">
      <c r="A879" s="20">
        <v>45789</v>
      </c>
      <c r="B879">
        <v>12</v>
      </c>
      <c r="C879" t="s">
        <v>246</v>
      </c>
      <c r="D879">
        <v>46660</v>
      </c>
      <c r="E879">
        <v>6959</v>
      </c>
      <c r="F879" t="s">
        <v>31</v>
      </c>
    </row>
    <row r="880" spans="1:6" x14ac:dyDescent="0.3">
      <c r="A880" s="20">
        <v>45789</v>
      </c>
      <c r="B880">
        <v>12</v>
      </c>
      <c r="C880" t="s">
        <v>233</v>
      </c>
      <c r="D880">
        <v>2424</v>
      </c>
      <c r="E880">
        <v>414</v>
      </c>
      <c r="F880" t="s">
        <v>85</v>
      </c>
    </row>
    <row r="881" spans="1:6" x14ac:dyDescent="0.3">
      <c r="A881" s="20">
        <v>45789</v>
      </c>
      <c r="B881">
        <v>12</v>
      </c>
      <c r="C881" t="s">
        <v>233</v>
      </c>
      <c r="D881">
        <v>6619</v>
      </c>
      <c r="E881">
        <v>645</v>
      </c>
      <c r="F881" t="s">
        <v>39</v>
      </c>
    </row>
    <row r="882" spans="1:6" x14ac:dyDescent="0.3">
      <c r="A882" s="20">
        <v>45789</v>
      </c>
      <c r="B882">
        <v>12</v>
      </c>
      <c r="C882" t="s">
        <v>160</v>
      </c>
      <c r="D882">
        <v>1012</v>
      </c>
      <c r="E882">
        <v>192</v>
      </c>
      <c r="F882" t="s">
        <v>39</v>
      </c>
    </row>
    <row r="883" spans="1:6" x14ac:dyDescent="0.3">
      <c r="A883" s="20">
        <v>45789</v>
      </c>
      <c r="B883">
        <v>12</v>
      </c>
      <c r="C883" t="s">
        <v>160</v>
      </c>
      <c r="D883">
        <v>471</v>
      </c>
      <c r="E883">
        <v>98</v>
      </c>
      <c r="F883" t="s">
        <v>43</v>
      </c>
    </row>
    <row r="884" spans="1:6" x14ac:dyDescent="0.3">
      <c r="A884" s="20">
        <v>45789</v>
      </c>
      <c r="B884">
        <v>12</v>
      </c>
      <c r="C884" t="s">
        <v>40</v>
      </c>
      <c r="D884">
        <v>103003</v>
      </c>
      <c r="E884">
        <v>6430</v>
      </c>
      <c r="F884" t="s">
        <v>38</v>
      </c>
    </row>
    <row r="885" spans="1:6" x14ac:dyDescent="0.3">
      <c r="A885" s="20">
        <v>45789</v>
      </c>
      <c r="B885">
        <v>12</v>
      </c>
      <c r="C885" t="s">
        <v>76</v>
      </c>
      <c r="D885">
        <v>94253</v>
      </c>
      <c r="E885">
        <v>4428</v>
      </c>
      <c r="F885" t="s">
        <v>38</v>
      </c>
    </row>
    <row r="886" spans="1:6" x14ac:dyDescent="0.3">
      <c r="A886" s="20">
        <v>45789</v>
      </c>
      <c r="B886">
        <v>12</v>
      </c>
      <c r="C886" t="s">
        <v>81</v>
      </c>
      <c r="D886">
        <v>80995</v>
      </c>
      <c r="E886">
        <v>3530</v>
      </c>
      <c r="F886" t="s">
        <v>38</v>
      </c>
    </row>
    <row r="887" spans="1:6" x14ac:dyDescent="0.3">
      <c r="A887" s="20">
        <v>45789</v>
      </c>
      <c r="B887">
        <v>12</v>
      </c>
      <c r="C887" t="s">
        <v>253</v>
      </c>
      <c r="D887">
        <v>772</v>
      </c>
      <c r="E887">
        <v>173</v>
      </c>
      <c r="F887" t="s">
        <v>44</v>
      </c>
    </row>
    <row r="888" spans="1:6" x14ac:dyDescent="0.3">
      <c r="A888" s="20">
        <v>45789</v>
      </c>
      <c r="B888">
        <v>13</v>
      </c>
      <c r="C888" t="s">
        <v>73</v>
      </c>
      <c r="D888">
        <v>6</v>
      </c>
      <c r="E888">
        <v>6</v>
      </c>
      <c r="F888" t="s">
        <v>31</v>
      </c>
    </row>
    <row r="889" spans="1:6" x14ac:dyDescent="0.3">
      <c r="A889" s="20">
        <v>45789</v>
      </c>
      <c r="B889">
        <v>13</v>
      </c>
      <c r="C889" t="s">
        <v>73</v>
      </c>
      <c r="D889">
        <v>0</v>
      </c>
      <c r="E889">
        <v>0</v>
      </c>
      <c r="F889" t="s">
        <v>72</v>
      </c>
    </row>
    <row r="890" spans="1:6" x14ac:dyDescent="0.3">
      <c r="A890" s="20">
        <v>45789</v>
      </c>
      <c r="B890">
        <v>13</v>
      </c>
      <c r="C890" t="s">
        <v>156</v>
      </c>
      <c r="D890">
        <v>7563</v>
      </c>
      <c r="E890">
        <v>740</v>
      </c>
      <c r="F890" t="s">
        <v>229</v>
      </c>
    </row>
    <row r="891" spans="1:6" x14ac:dyDescent="0.3">
      <c r="A891" s="20">
        <v>45789</v>
      </c>
      <c r="B891">
        <v>13</v>
      </c>
      <c r="C891" t="s">
        <v>67</v>
      </c>
      <c r="D891">
        <v>3570</v>
      </c>
      <c r="E891">
        <v>91</v>
      </c>
      <c r="F891" t="s">
        <v>42</v>
      </c>
    </row>
    <row r="892" spans="1:6" x14ac:dyDescent="0.3">
      <c r="A892" s="20">
        <v>45789</v>
      </c>
      <c r="B892">
        <v>13</v>
      </c>
      <c r="C892" t="s">
        <v>241</v>
      </c>
      <c r="D892">
        <v>9981</v>
      </c>
      <c r="E892">
        <v>671</v>
      </c>
      <c r="F892" t="s">
        <v>31</v>
      </c>
    </row>
    <row r="893" spans="1:6" x14ac:dyDescent="0.3">
      <c r="A893" s="20">
        <v>45789</v>
      </c>
      <c r="B893">
        <v>13</v>
      </c>
      <c r="C893" t="s">
        <v>158</v>
      </c>
      <c r="D893">
        <v>20048</v>
      </c>
      <c r="E893">
        <v>388</v>
      </c>
      <c r="F893" t="s">
        <v>42</v>
      </c>
    </row>
    <row r="894" spans="1:6" x14ac:dyDescent="0.3">
      <c r="A894" s="20">
        <v>45789</v>
      </c>
      <c r="B894">
        <v>13</v>
      </c>
      <c r="C894" t="s">
        <v>247</v>
      </c>
      <c r="D894">
        <v>11767</v>
      </c>
      <c r="E894">
        <v>1655</v>
      </c>
      <c r="F894" t="s">
        <v>31</v>
      </c>
    </row>
    <row r="895" spans="1:6" x14ac:dyDescent="0.3">
      <c r="A895" s="20">
        <v>45789</v>
      </c>
      <c r="B895">
        <v>13</v>
      </c>
      <c r="C895" t="s">
        <v>254</v>
      </c>
      <c r="D895">
        <v>13772</v>
      </c>
      <c r="E895">
        <v>1924</v>
      </c>
      <c r="F895" t="s">
        <v>31</v>
      </c>
    </row>
    <row r="896" spans="1:6" x14ac:dyDescent="0.3">
      <c r="A896" s="20">
        <v>45789</v>
      </c>
      <c r="B896">
        <v>13</v>
      </c>
      <c r="C896" t="s">
        <v>152</v>
      </c>
      <c r="D896">
        <v>6648</v>
      </c>
      <c r="E896">
        <v>854</v>
      </c>
      <c r="F896" t="s">
        <v>252</v>
      </c>
    </row>
    <row r="897" spans="1:6" x14ac:dyDescent="0.3">
      <c r="A897" s="20">
        <v>45789</v>
      </c>
      <c r="B897">
        <v>13</v>
      </c>
      <c r="C897" t="s">
        <v>232</v>
      </c>
      <c r="D897">
        <v>5269</v>
      </c>
      <c r="E897">
        <v>359</v>
      </c>
      <c r="F897" t="s">
        <v>74</v>
      </c>
    </row>
    <row r="898" spans="1:6" x14ac:dyDescent="0.3">
      <c r="A898" s="20">
        <v>45789</v>
      </c>
      <c r="B898">
        <v>13</v>
      </c>
      <c r="C898" t="s">
        <v>232</v>
      </c>
      <c r="D898">
        <v>19780</v>
      </c>
      <c r="E898">
        <v>3256</v>
      </c>
      <c r="F898" t="s">
        <v>229</v>
      </c>
    </row>
    <row r="899" spans="1:6" x14ac:dyDescent="0.3">
      <c r="A899" s="20">
        <v>45789</v>
      </c>
      <c r="B899">
        <v>13</v>
      </c>
      <c r="C899" t="s">
        <v>238</v>
      </c>
      <c r="D899">
        <v>8916</v>
      </c>
      <c r="E899">
        <v>1299</v>
      </c>
      <c r="F899" t="s">
        <v>47</v>
      </c>
    </row>
    <row r="900" spans="1:6" x14ac:dyDescent="0.3">
      <c r="A900" s="20">
        <v>45789</v>
      </c>
      <c r="B900">
        <v>13</v>
      </c>
      <c r="C900" t="s">
        <v>238</v>
      </c>
      <c r="D900">
        <v>2167</v>
      </c>
      <c r="E900">
        <v>297</v>
      </c>
      <c r="F900" t="s">
        <v>44</v>
      </c>
    </row>
    <row r="901" spans="1:6" x14ac:dyDescent="0.3">
      <c r="A901" s="20">
        <v>45789</v>
      </c>
      <c r="B901">
        <v>13</v>
      </c>
      <c r="C901" t="s">
        <v>250</v>
      </c>
      <c r="D901">
        <v>43</v>
      </c>
      <c r="E901">
        <v>3</v>
      </c>
      <c r="F901" t="s">
        <v>74</v>
      </c>
    </row>
    <row r="902" spans="1:6" x14ac:dyDescent="0.3">
      <c r="A902" s="20">
        <v>45789</v>
      </c>
      <c r="B902">
        <v>13</v>
      </c>
      <c r="C902" t="s">
        <v>160</v>
      </c>
      <c r="D902">
        <v>6</v>
      </c>
      <c r="E902">
        <v>0</v>
      </c>
      <c r="F902" t="s">
        <v>68</v>
      </c>
    </row>
    <row r="903" spans="1:6" x14ac:dyDescent="0.3">
      <c r="A903" s="20">
        <v>45789</v>
      </c>
      <c r="B903">
        <v>13</v>
      </c>
      <c r="C903" t="s">
        <v>160</v>
      </c>
      <c r="D903">
        <v>237</v>
      </c>
      <c r="E903">
        <v>65</v>
      </c>
      <c r="F903" t="s">
        <v>32</v>
      </c>
    </row>
    <row r="904" spans="1:6" x14ac:dyDescent="0.3">
      <c r="A904" s="20">
        <v>45789</v>
      </c>
      <c r="B904">
        <v>13</v>
      </c>
      <c r="C904" t="s">
        <v>160</v>
      </c>
      <c r="D904">
        <v>102</v>
      </c>
      <c r="E904">
        <v>23</v>
      </c>
      <c r="F904" t="s">
        <v>138</v>
      </c>
    </row>
    <row r="905" spans="1:6" x14ac:dyDescent="0.3">
      <c r="A905" s="20">
        <v>45789</v>
      </c>
      <c r="B905">
        <v>13</v>
      </c>
      <c r="C905" t="s">
        <v>160</v>
      </c>
      <c r="D905">
        <v>141</v>
      </c>
      <c r="E905">
        <v>40</v>
      </c>
      <c r="F905" t="s">
        <v>161</v>
      </c>
    </row>
    <row r="906" spans="1:6" x14ac:dyDescent="0.3">
      <c r="A906" s="20">
        <v>45789</v>
      </c>
      <c r="B906">
        <v>13</v>
      </c>
      <c r="C906" t="s">
        <v>55</v>
      </c>
      <c r="D906">
        <v>89703</v>
      </c>
      <c r="E906">
        <v>4533</v>
      </c>
      <c r="F906" t="s">
        <v>38</v>
      </c>
    </row>
    <row r="907" spans="1:6" x14ac:dyDescent="0.3">
      <c r="A907" s="20">
        <v>45789</v>
      </c>
      <c r="B907">
        <v>13</v>
      </c>
      <c r="C907" t="s">
        <v>235</v>
      </c>
      <c r="D907">
        <v>15668</v>
      </c>
      <c r="E907">
        <v>2667</v>
      </c>
      <c r="F907" t="s">
        <v>75</v>
      </c>
    </row>
    <row r="908" spans="1:6" x14ac:dyDescent="0.3">
      <c r="A908" s="20">
        <v>45789</v>
      </c>
      <c r="B908">
        <v>14</v>
      </c>
      <c r="C908" t="s">
        <v>73</v>
      </c>
      <c r="D908">
        <v>0</v>
      </c>
      <c r="E908">
        <v>0</v>
      </c>
      <c r="F908" t="s">
        <v>86</v>
      </c>
    </row>
    <row r="909" spans="1:6" x14ac:dyDescent="0.3">
      <c r="A909" s="20">
        <v>45789</v>
      </c>
      <c r="B909">
        <v>14</v>
      </c>
      <c r="C909" t="s">
        <v>73</v>
      </c>
      <c r="D909">
        <v>0</v>
      </c>
      <c r="E909">
        <v>0</v>
      </c>
      <c r="F909" t="s">
        <v>45</v>
      </c>
    </row>
    <row r="910" spans="1:6" x14ac:dyDescent="0.3">
      <c r="A910" s="20">
        <v>45789</v>
      </c>
      <c r="B910">
        <v>14</v>
      </c>
      <c r="C910" t="s">
        <v>228</v>
      </c>
      <c r="D910">
        <v>71</v>
      </c>
      <c r="E910">
        <v>12</v>
      </c>
      <c r="F910" t="s">
        <v>72</v>
      </c>
    </row>
    <row r="911" spans="1:6" x14ac:dyDescent="0.3">
      <c r="A911" s="20">
        <v>45789</v>
      </c>
      <c r="B911">
        <v>14</v>
      </c>
      <c r="C911" t="s">
        <v>157</v>
      </c>
      <c r="D911">
        <v>15815</v>
      </c>
      <c r="E911">
        <v>4151</v>
      </c>
      <c r="F911" t="s">
        <v>31</v>
      </c>
    </row>
    <row r="912" spans="1:6" x14ac:dyDescent="0.3">
      <c r="A912" s="20">
        <v>45789</v>
      </c>
      <c r="B912">
        <v>14</v>
      </c>
      <c r="C912" t="s">
        <v>236</v>
      </c>
      <c r="D912">
        <v>53973</v>
      </c>
      <c r="E912">
        <v>5175</v>
      </c>
      <c r="F912" t="s">
        <v>31</v>
      </c>
    </row>
    <row r="913" spans="1:6" x14ac:dyDescent="0.3">
      <c r="A913" s="20">
        <v>45789</v>
      </c>
      <c r="B913">
        <v>14</v>
      </c>
      <c r="C913" t="s">
        <v>35</v>
      </c>
      <c r="D913">
        <v>45</v>
      </c>
      <c r="E913">
        <v>6</v>
      </c>
      <c r="F913" t="s">
        <v>42</v>
      </c>
    </row>
    <row r="914" spans="1:6" x14ac:dyDescent="0.3">
      <c r="A914" s="20">
        <v>45789</v>
      </c>
      <c r="B914">
        <v>14</v>
      </c>
      <c r="C914" t="s">
        <v>41</v>
      </c>
      <c r="D914">
        <v>2892</v>
      </c>
      <c r="E914">
        <v>175</v>
      </c>
      <c r="F914" t="s">
        <v>31</v>
      </c>
    </row>
    <row r="915" spans="1:6" x14ac:dyDescent="0.3">
      <c r="A915" s="20">
        <v>45789</v>
      </c>
      <c r="B915">
        <v>14</v>
      </c>
      <c r="C915" t="s">
        <v>54</v>
      </c>
      <c r="D915">
        <v>183</v>
      </c>
      <c r="E915">
        <v>26</v>
      </c>
      <c r="F915" t="s">
        <v>31</v>
      </c>
    </row>
    <row r="916" spans="1:6" x14ac:dyDescent="0.3">
      <c r="A916" s="20">
        <v>45789</v>
      </c>
      <c r="B916">
        <v>14</v>
      </c>
      <c r="C916" t="s">
        <v>237</v>
      </c>
      <c r="D916">
        <v>24262</v>
      </c>
      <c r="E916">
        <v>2747</v>
      </c>
      <c r="F916" t="s">
        <v>31</v>
      </c>
    </row>
    <row r="917" spans="1:6" x14ac:dyDescent="0.3">
      <c r="A917" s="20">
        <v>45789</v>
      </c>
      <c r="B917">
        <v>14</v>
      </c>
      <c r="C917" t="s">
        <v>49</v>
      </c>
      <c r="D917">
        <v>16751</v>
      </c>
      <c r="E917">
        <v>1473</v>
      </c>
      <c r="F917" t="s">
        <v>42</v>
      </c>
    </row>
    <row r="918" spans="1:6" x14ac:dyDescent="0.3">
      <c r="A918" s="20">
        <v>45789</v>
      </c>
      <c r="B918">
        <v>14</v>
      </c>
      <c r="C918" t="s">
        <v>49</v>
      </c>
      <c r="D918">
        <v>0</v>
      </c>
      <c r="E918">
        <v>0</v>
      </c>
      <c r="F918" t="s">
        <v>77</v>
      </c>
    </row>
    <row r="919" spans="1:6" x14ac:dyDescent="0.3">
      <c r="A919" s="20">
        <v>45789</v>
      </c>
      <c r="B919">
        <v>14</v>
      </c>
      <c r="C919" t="s">
        <v>245</v>
      </c>
      <c r="D919">
        <v>73438</v>
      </c>
      <c r="E919">
        <v>10141</v>
      </c>
      <c r="F919" t="s">
        <v>31</v>
      </c>
    </row>
    <row r="920" spans="1:6" x14ac:dyDescent="0.3">
      <c r="A920" s="20">
        <v>45789</v>
      </c>
      <c r="B920">
        <v>14</v>
      </c>
      <c r="C920" t="s">
        <v>238</v>
      </c>
      <c r="D920">
        <v>13862</v>
      </c>
      <c r="E920">
        <v>1255</v>
      </c>
      <c r="F920" t="s">
        <v>32</v>
      </c>
    </row>
    <row r="921" spans="1:6" x14ac:dyDescent="0.3">
      <c r="A921" s="20">
        <v>45789</v>
      </c>
      <c r="B921">
        <v>14</v>
      </c>
      <c r="C921" t="s">
        <v>155</v>
      </c>
      <c r="D921">
        <v>167</v>
      </c>
      <c r="E921">
        <v>39</v>
      </c>
      <c r="F921" t="s">
        <v>229</v>
      </c>
    </row>
    <row r="922" spans="1:6" x14ac:dyDescent="0.3">
      <c r="A922" s="20">
        <v>45789</v>
      </c>
      <c r="B922">
        <v>14</v>
      </c>
      <c r="C922" t="s">
        <v>250</v>
      </c>
      <c r="D922">
        <v>47</v>
      </c>
      <c r="E922">
        <v>6</v>
      </c>
      <c r="F922" t="s">
        <v>85</v>
      </c>
    </row>
    <row r="923" spans="1:6" x14ac:dyDescent="0.3">
      <c r="A923" s="20">
        <v>45789</v>
      </c>
      <c r="B923">
        <v>14</v>
      </c>
      <c r="C923" t="s">
        <v>124</v>
      </c>
      <c r="D923">
        <v>88071</v>
      </c>
      <c r="E923">
        <v>4343</v>
      </c>
      <c r="F923" t="s">
        <v>38</v>
      </c>
    </row>
    <row r="924" spans="1:6" x14ac:dyDescent="0.3">
      <c r="A924" s="20">
        <v>45789</v>
      </c>
      <c r="B924">
        <v>14</v>
      </c>
      <c r="C924" t="s">
        <v>165</v>
      </c>
      <c r="D924">
        <v>8</v>
      </c>
      <c r="E924">
        <v>8</v>
      </c>
      <c r="F924" t="s">
        <v>38</v>
      </c>
    </row>
    <row r="925" spans="1:6" x14ac:dyDescent="0.3">
      <c r="A925" s="20">
        <v>45789</v>
      </c>
      <c r="B925">
        <v>14</v>
      </c>
      <c r="C925" t="s">
        <v>251</v>
      </c>
      <c r="D925">
        <v>3587</v>
      </c>
      <c r="E925">
        <v>354</v>
      </c>
      <c r="F925" t="s">
        <v>47</v>
      </c>
    </row>
    <row r="926" spans="1:6" x14ac:dyDescent="0.3">
      <c r="A926" s="20">
        <v>45789</v>
      </c>
      <c r="B926">
        <v>15</v>
      </c>
      <c r="C926" t="s">
        <v>73</v>
      </c>
      <c r="D926">
        <v>0</v>
      </c>
      <c r="E926">
        <v>0</v>
      </c>
      <c r="F926" t="s">
        <v>231</v>
      </c>
    </row>
    <row r="927" spans="1:6" x14ac:dyDescent="0.3">
      <c r="A927" s="20">
        <v>45789</v>
      </c>
      <c r="B927">
        <v>15</v>
      </c>
      <c r="C927" t="s">
        <v>228</v>
      </c>
      <c r="D927">
        <v>24298</v>
      </c>
      <c r="E927">
        <v>3332</v>
      </c>
      <c r="F927" t="s">
        <v>231</v>
      </c>
    </row>
    <row r="928" spans="1:6" x14ac:dyDescent="0.3">
      <c r="A928" s="20">
        <v>45789</v>
      </c>
      <c r="B928">
        <v>15</v>
      </c>
      <c r="C928" t="s">
        <v>159</v>
      </c>
      <c r="D928">
        <v>27029</v>
      </c>
      <c r="E928">
        <v>1036</v>
      </c>
      <c r="F928" t="s">
        <v>31</v>
      </c>
    </row>
    <row r="929" spans="1:6" x14ac:dyDescent="0.3">
      <c r="A929" s="20">
        <v>45789</v>
      </c>
      <c r="B929">
        <v>15</v>
      </c>
      <c r="C929" t="s">
        <v>249</v>
      </c>
      <c r="D929">
        <v>12231</v>
      </c>
      <c r="E929">
        <v>566</v>
      </c>
      <c r="F929" t="s">
        <v>31</v>
      </c>
    </row>
    <row r="930" spans="1:6" x14ac:dyDescent="0.3">
      <c r="A930" s="20">
        <v>45789</v>
      </c>
      <c r="B930">
        <v>15</v>
      </c>
      <c r="C930" t="s">
        <v>230</v>
      </c>
      <c r="D930">
        <v>44063</v>
      </c>
      <c r="E930">
        <v>3794</v>
      </c>
      <c r="F930" t="s">
        <v>31</v>
      </c>
    </row>
    <row r="931" spans="1:6" x14ac:dyDescent="0.3">
      <c r="A931" s="20">
        <v>45789</v>
      </c>
      <c r="B931">
        <v>15</v>
      </c>
      <c r="C931" t="s">
        <v>242</v>
      </c>
      <c r="D931">
        <v>56548</v>
      </c>
      <c r="E931">
        <v>6345</v>
      </c>
      <c r="F931" t="s">
        <v>31</v>
      </c>
    </row>
    <row r="932" spans="1:6" x14ac:dyDescent="0.3">
      <c r="A932" s="20">
        <v>45789</v>
      </c>
      <c r="B932">
        <v>15</v>
      </c>
      <c r="C932" t="s">
        <v>244</v>
      </c>
      <c r="D932">
        <v>46298</v>
      </c>
      <c r="E932">
        <v>4398</v>
      </c>
      <c r="F932" t="s">
        <v>31</v>
      </c>
    </row>
    <row r="933" spans="1:6" x14ac:dyDescent="0.3">
      <c r="A933" s="20">
        <v>45789</v>
      </c>
      <c r="B933">
        <v>15</v>
      </c>
      <c r="C933" t="s">
        <v>246</v>
      </c>
      <c r="D933">
        <v>46618</v>
      </c>
      <c r="E933">
        <v>6064</v>
      </c>
      <c r="F933" t="s">
        <v>31</v>
      </c>
    </row>
    <row r="934" spans="1:6" x14ac:dyDescent="0.3">
      <c r="A934" s="20">
        <v>45789</v>
      </c>
      <c r="B934">
        <v>15</v>
      </c>
      <c r="C934" t="s">
        <v>233</v>
      </c>
      <c r="D934">
        <v>7605</v>
      </c>
      <c r="E934">
        <v>661</v>
      </c>
      <c r="F934" t="s">
        <v>39</v>
      </c>
    </row>
    <row r="935" spans="1:6" x14ac:dyDescent="0.3">
      <c r="A935" s="20">
        <v>45789</v>
      </c>
      <c r="B935">
        <v>15</v>
      </c>
      <c r="C935" t="s">
        <v>250</v>
      </c>
      <c r="D935">
        <v>3758</v>
      </c>
      <c r="E935">
        <v>512</v>
      </c>
      <c r="F935" t="s">
        <v>164</v>
      </c>
    </row>
    <row r="936" spans="1:6" x14ac:dyDescent="0.3">
      <c r="A936" s="20">
        <v>45789</v>
      </c>
      <c r="B936">
        <v>15</v>
      </c>
      <c r="C936" t="s">
        <v>160</v>
      </c>
      <c r="D936">
        <v>779</v>
      </c>
      <c r="E936">
        <v>158</v>
      </c>
      <c r="F936" t="s">
        <v>47</v>
      </c>
    </row>
    <row r="937" spans="1:6" x14ac:dyDescent="0.3">
      <c r="A937" s="20">
        <v>45789</v>
      </c>
      <c r="B937">
        <v>15</v>
      </c>
      <c r="C937" t="s">
        <v>160</v>
      </c>
      <c r="D937">
        <v>1095</v>
      </c>
      <c r="E937">
        <v>229</v>
      </c>
      <c r="F937" t="s">
        <v>39</v>
      </c>
    </row>
    <row r="938" spans="1:6" x14ac:dyDescent="0.3">
      <c r="A938" s="20">
        <v>45789</v>
      </c>
      <c r="B938">
        <v>15</v>
      </c>
      <c r="C938" t="s">
        <v>160</v>
      </c>
      <c r="D938">
        <v>4085</v>
      </c>
      <c r="E938">
        <v>850</v>
      </c>
      <c r="F938" t="s">
        <v>231</v>
      </c>
    </row>
    <row r="939" spans="1:6" x14ac:dyDescent="0.3">
      <c r="A939" s="20">
        <v>45789</v>
      </c>
      <c r="B939">
        <v>15</v>
      </c>
      <c r="C939" t="s">
        <v>160</v>
      </c>
      <c r="D939">
        <v>191</v>
      </c>
      <c r="E939">
        <v>41</v>
      </c>
      <c r="F939" t="s">
        <v>43</v>
      </c>
    </row>
    <row r="940" spans="1:6" x14ac:dyDescent="0.3">
      <c r="A940" s="20">
        <v>45789</v>
      </c>
      <c r="B940">
        <v>15</v>
      </c>
      <c r="C940" t="s">
        <v>126</v>
      </c>
      <c r="D940">
        <v>8</v>
      </c>
      <c r="E940">
        <v>8</v>
      </c>
      <c r="F940" t="s">
        <v>38</v>
      </c>
    </row>
    <row r="941" spans="1:6" x14ac:dyDescent="0.3">
      <c r="A941" s="20">
        <v>45789</v>
      </c>
      <c r="B941">
        <v>15</v>
      </c>
      <c r="C941" t="s">
        <v>40</v>
      </c>
      <c r="D941">
        <v>102622</v>
      </c>
      <c r="E941">
        <v>5890</v>
      </c>
      <c r="F941" t="s">
        <v>38</v>
      </c>
    </row>
    <row r="942" spans="1:6" x14ac:dyDescent="0.3">
      <c r="A942" s="20">
        <v>45789</v>
      </c>
      <c r="B942">
        <v>15</v>
      </c>
      <c r="C942" t="s">
        <v>76</v>
      </c>
      <c r="D942">
        <v>62760</v>
      </c>
      <c r="E942">
        <v>2660</v>
      </c>
      <c r="F942" t="s">
        <v>38</v>
      </c>
    </row>
    <row r="943" spans="1:6" x14ac:dyDescent="0.3">
      <c r="A943" s="20">
        <v>45789</v>
      </c>
      <c r="B943">
        <v>15</v>
      </c>
      <c r="C943" t="s">
        <v>81</v>
      </c>
      <c r="D943">
        <v>85767</v>
      </c>
      <c r="E943">
        <v>3335</v>
      </c>
      <c r="F943" t="s">
        <v>38</v>
      </c>
    </row>
    <row r="944" spans="1:6" x14ac:dyDescent="0.3">
      <c r="A944" s="20">
        <v>45789</v>
      </c>
      <c r="B944">
        <v>16</v>
      </c>
      <c r="C944" t="s">
        <v>73</v>
      </c>
      <c r="D944">
        <v>0</v>
      </c>
      <c r="E944">
        <v>0</v>
      </c>
      <c r="F944" t="s">
        <v>72</v>
      </c>
    </row>
    <row r="945" spans="1:6" x14ac:dyDescent="0.3">
      <c r="A945" s="20">
        <v>45789</v>
      </c>
      <c r="B945">
        <v>16</v>
      </c>
      <c r="C945" t="s">
        <v>156</v>
      </c>
      <c r="D945">
        <v>7420</v>
      </c>
      <c r="E945">
        <v>543</v>
      </c>
      <c r="F945" t="s">
        <v>229</v>
      </c>
    </row>
    <row r="946" spans="1:6" x14ac:dyDescent="0.3">
      <c r="A946" s="20">
        <v>45789</v>
      </c>
      <c r="B946">
        <v>16</v>
      </c>
      <c r="C946" t="s">
        <v>67</v>
      </c>
      <c r="D946">
        <v>5443</v>
      </c>
      <c r="E946">
        <v>195</v>
      </c>
      <c r="F946" t="s">
        <v>42</v>
      </c>
    </row>
    <row r="947" spans="1:6" x14ac:dyDescent="0.3">
      <c r="A947" s="20">
        <v>45789</v>
      </c>
      <c r="B947">
        <v>16</v>
      </c>
      <c r="C947" t="s">
        <v>241</v>
      </c>
      <c r="D947">
        <v>11516</v>
      </c>
      <c r="E947">
        <v>602</v>
      </c>
      <c r="F947" t="s">
        <v>31</v>
      </c>
    </row>
    <row r="948" spans="1:6" x14ac:dyDescent="0.3">
      <c r="A948" s="20">
        <v>45789</v>
      </c>
      <c r="B948">
        <v>16</v>
      </c>
      <c r="C948" t="s">
        <v>158</v>
      </c>
      <c r="D948">
        <v>22656</v>
      </c>
      <c r="E948">
        <v>546</v>
      </c>
      <c r="F948" t="s">
        <v>42</v>
      </c>
    </row>
    <row r="949" spans="1:6" x14ac:dyDescent="0.3">
      <c r="A949" s="20">
        <v>45789</v>
      </c>
      <c r="B949">
        <v>16</v>
      </c>
      <c r="C949" t="s">
        <v>48</v>
      </c>
      <c r="D949">
        <v>0</v>
      </c>
      <c r="E949">
        <v>0</v>
      </c>
      <c r="F949" t="s">
        <v>259</v>
      </c>
    </row>
    <row r="950" spans="1:6" x14ac:dyDescent="0.3">
      <c r="A950" s="20">
        <v>45789</v>
      </c>
      <c r="B950">
        <v>16</v>
      </c>
      <c r="C950" t="s">
        <v>247</v>
      </c>
      <c r="D950">
        <v>8522</v>
      </c>
      <c r="E950">
        <v>1238</v>
      </c>
      <c r="F950" t="s">
        <v>31</v>
      </c>
    </row>
    <row r="951" spans="1:6" x14ac:dyDescent="0.3">
      <c r="A951" s="20">
        <v>45789</v>
      </c>
      <c r="B951">
        <v>16</v>
      </c>
      <c r="C951" t="s">
        <v>254</v>
      </c>
      <c r="D951">
        <v>8580</v>
      </c>
      <c r="E951">
        <v>1051</v>
      </c>
      <c r="F951" t="s">
        <v>31</v>
      </c>
    </row>
    <row r="952" spans="1:6" x14ac:dyDescent="0.3">
      <c r="A952" s="20">
        <v>45789</v>
      </c>
      <c r="B952">
        <v>16</v>
      </c>
      <c r="C952" t="s">
        <v>152</v>
      </c>
      <c r="D952">
        <v>8348</v>
      </c>
      <c r="E952">
        <v>1002</v>
      </c>
      <c r="F952" t="s">
        <v>252</v>
      </c>
    </row>
    <row r="953" spans="1:6" x14ac:dyDescent="0.3">
      <c r="A953" s="20">
        <v>45789</v>
      </c>
      <c r="B953">
        <v>16</v>
      </c>
      <c r="C953" t="s">
        <v>232</v>
      </c>
      <c r="D953">
        <v>2207</v>
      </c>
      <c r="E953">
        <v>134</v>
      </c>
      <c r="F953" t="s">
        <v>74</v>
      </c>
    </row>
    <row r="954" spans="1:6" x14ac:dyDescent="0.3">
      <c r="A954" s="20">
        <v>45789</v>
      </c>
      <c r="B954">
        <v>16</v>
      </c>
      <c r="C954" t="s">
        <v>232</v>
      </c>
      <c r="D954">
        <v>17264</v>
      </c>
      <c r="E954">
        <v>2861</v>
      </c>
      <c r="F954" t="s">
        <v>229</v>
      </c>
    </row>
    <row r="955" spans="1:6" x14ac:dyDescent="0.3">
      <c r="A955" s="20">
        <v>45789</v>
      </c>
      <c r="B955">
        <v>16</v>
      </c>
      <c r="C955" t="s">
        <v>238</v>
      </c>
      <c r="D955">
        <v>7938</v>
      </c>
      <c r="E955">
        <v>1067</v>
      </c>
      <c r="F955" t="s">
        <v>47</v>
      </c>
    </row>
    <row r="956" spans="1:6" x14ac:dyDescent="0.3">
      <c r="A956" s="20">
        <v>45789</v>
      </c>
      <c r="B956">
        <v>16</v>
      </c>
      <c r="C956" t="s">
        <v>238</v>
      </c>
      <c r="D956">
        <v>2685</v>
      </c>
      <c r="E956">
        <v>320</v>
      </c>
      <c r="F956" t="s">
        <v>44</v>
      </c>
    </row>
    <row r="957" spans="1:6" x14ac:dyDescent="0.3">
      <c r="A957" s="20">
        <v>45789</v>
      </c>
      <c r="B957">
        <v>16</v>
      </c>
      <c r="C957" t="s">
        <v>250</v>
      </c>
      <c r="D957">
        <v>44</v>
      </c>
      <c r="E957">
        <v>3</v>
      </c>
      <c r="F957" t="s">
        <v>74</v>
      </c>
    </row>
    <row r="958" spans="1:6" x14ac:dyDescent="0.3">
      <c r="A958" s="20">
        <v>45789</v>
      </c>
      <c r="B958">
        <v>16</v>
      </c>
      <c r="C958" t="s">
        <v>160</v>
      </c>
      <c r="D958">
        <v>3</v>
      </c>
      <c r="E958">
        <v>0</v>
      </c>
      <c r="F958" t="s">
        <v>68</v>
      </c>
    </row>
    <row r="959" spans="1:6" x14ac:dyDescent="0.3">
      <c r="A959" s="20">
        <v>45789</v>
      </c>
      <c r="B959">
        <v>16</v>
      </c>
      <c r="C959" t="s">
        <v>160</v>
      </c>
      <c r="D959">
        <v>241</v>
      </c>
      <c r="E959">
        <v>55</v>
      </c>
      <c r="F959" t="s">
        <v>32</v>
      </c>
    </row>
    <row r="960" spans="1:6" x14ac:dyDescent="0.3">
      <c r="A960" s="20">
        <v>45789</v>
      </c>
      <c r="B960">
        <v>16</v>
      </c>
      <c r="C960" t="s">
        <v>160</v>
      </c>
      <c r="D960">
        <v>11</v>
      </c>
      <c r="E960">
        <v>2</v>
      </c>
      <c r="F960" t="s">
        <v>138</v>
      </c>
    </row>
    <row r="961" spans="1:6" x14ac:dyDescent="0.3">
      <c r="A961" s="20">
        <v>45789</v>
      </c>
      <c r="B961">
        <v>16</v>
      </c>
      <c r="C961" t="s">
        <v>160</v>
      </c>
      <c r="D961">
        <v>91</v>
      </c>
      <c r="E961">
        <v>15</v>
      </c>
      <c r="F961" t="s">
        <v>161</v>
      </c>
    </row>
    <row r="962" spans="1:6" x14ac:dyDescent="0.3">
      <c r="A962" s="20">
        <v>45789</v>
      </c>
      <c r="B962">
        <v>16</v>
      </c>
      <c r="C962" t="s">
        <v>55</v>
      </c>
      <c r="D962">
        <v>98561</v>
      </c>
      <c r="E962">
        <v>4380</v>
      </c>
      <c r="F962" t="s">
        <v>38</v>
      </c>
    </row>
    <row r="963" spans="1:6" x14ac:dyDescent="0.3">
      <c r="A963" s="20">
        <v>45789</v>
      </c>
      <c r="B963">
        <v>17</v>
      </c>
      <c r="C963" t="s">
        <v>73</v>
      </c>
      <c r="D963">
        <v>0</v>
      </c>
      <c r="E963">
        <v>0</v>
      </c>
      <c r="F963" t="s">
        <v>86</v>
      </c>
    </row>
    <row r="964" spans="1:6" x14ac:dyDescent="0.3">
      <c r="A964" s="20">
        <v>45789</v>
      </c>
      <c r="B964">
        <v>17</v>
      </c>
      <c r="C964" t="s">
        <v>73</v>
      </c>
      <c r="D964">
        <v>0</v>
      </c>
      <c r="E964">
        <v>0</v>
      </c>
      <c r="F964" t="s">
        <v>234</v>
      </c>
    </row>
    <row r="965" spans="1:6" x14ac:dyDescent="0.3">
      <c r="A965" s="20">
        <v>45789</v>
      </c>
      <c r="B965">
        <v>17</v>
      </c>
      <c r="C965" t="s">
        <v>73</v>
      </c>
      <c r="D965">
        <v>0</v>
      </c>
      <c r="E965">
        <v>0</v>
      </c>
      <c r="F965" t="s">
        <v>45</v>
      </c>
    </row>
    <row r="966" spans="1:6" x14ac:dyDescent="0.3">
      <c r="A966" s="20">
        <v>45789</v>
      </c>
      <c r="B966">
        <v>17</v>
      </c>
      <c r="C966" t="s">
        <v>156</v>
      </c>
      <c r="D966">
        <v>9990</v>
      </c>
      <c r="E966">
        <v>1160</v>
      </c>
      <c r="F966" t="s">
        <v>43</v>
      </c>
    </row>
    <row r="967" spans="1:6" x14ac:dyDescent="0.3">
      <c r="A967" s="20">
        <v>45789</v>
      </c>
      <c r="B967">
        <v>17</v>
      </c>
      <c r="C967" t="s">
        <v>228</v>
      </c>
      <c r="D967">
        <v>95</v>
      </c>
      <c r="E967">
        <v>21</v>
      </c>
      <c r="F967" t="s">
        <v>72</v>
      </c>
    </row>
    <row r="968" spans="1:6" x14ac:dyDescent="0.3">
      <c r="A968" s="20">
        <v>45789</v>
      </c>
      <c r="B968">
        <v>17</v>
      </c>
      <c r="C968" t="s">
        <v>157</v>
      </c>
      <c r="D968">
        <v>11574</v>
      </c>
      <c r="E968">
        <v>3401</v>
      </c>
      <c r="F968" t="s">
        <v>31</v>
      </c>
    </row>
    <row r="969" spans="1:6" x14ac:dyDescent="0.3">
      <c r="A969" s="20">
        <v>45789</v>
      </c>
      <c r="B969">
        <v>17</v>
      </c>
      <c r="C969" t="s">
        <v>236</v>
      </c>
      <c r="D969">
        <v>53745</v>
      </c>
      <c r="E969">
        <v>5130</v>
      </c>
      <c r="F969" t="s">
        <v>31</v>
      </c>
    </row>
    <row r="970" spans="1:6" x14ac:dyDescent="0.3">
      <c r="A970" s="20">
        <v>45789</v>
      </c>
      <c r="B970">
        <v>17</v>
      </c>
      <c r="C970" t="s">
        <v>41</v>
      </c>
      <c r="D970">
        <v>2426</v>
      </c>
      <c r="E970">
        <v>156</v>
      </c>
      <c r="F970" t="s">
        <v>31</v>
      </c>
    </row>
    <row r="971" spans="1:6" x14ac:dyDescent="0.3">
      <c r="A971" s="20">
        <v>45789</v>
      </c>
      <c r="B971">
        <v>17</v>
      </c>
      <c r="C971" t="s">
        <v>54</v>
      </c>
      <c r="D971">
        <v>131</v>
      </c>
      <c r="E971">
        <v>23</v>
      </c>
      <c r="F971" t="s">
        <v>31</v>
      </c>
    </row>
    <row r="972" spans="1:6" x14ac:dyDescent="0.3">
      <c r="A972" s="20">
        <v>45789</v>
      </c>
      <c r="B972">
        <v>17</v>
      </c>
      <c r="C972" t="s">
        <v>237</v>
      </c>
      <c r="D972">
        <v>17926</v>
      </c>
      <c r="E972">
        <v>2137</v>
      </c>
      <c r="F972" t="s">
        <v>31</v>
      </c>
    </row>
    <row r="973" spans="1:6" x14ac:dyDescent="0.3">
      <c r="A973" s="20">
        <v>45789</v>
      </c>
      <c r="B973">
        <v>17</v>
      </c>
      <c r="C973" t="s">
        <v>49</v>
      </c>
      <c r="D973">
        <v>3267</v>
      </c>
      <c r="E973">
        <v>308</v>
      </c>
      <c r="F973" t="s">
        <v>42</v>
      </c>
    </row>
    <row r="974" spans="1:6" x14ac:dyDescent="0.3">
      <c r="A974" s="20">
        <v>45789</v>
      </c>
      <c r="B974">
        <v>17</v>
      </c>
      <c r="C974" t="s">
        <v>245</v>
      </c>
      <c r="D974">
        <v>66062</v>
      </c>
      <c r="E974">
        <v>9141</v>
      </c>
      <c r="F974" t="s">
        <v>31</v>
      </c>
    </row>
    <row r="975" spans="1:6" x14ac:dyDescent="0.3">
      <c r="A975" s="20">
        <v>45789</v>
      </c>
      <c r="B975">
        <v>17</v>
      </c>
      <c r="C975" t="s">
        <v>243</v>
      </c>
      <c r="D975">
        <v>7663</v>
      </c>
      <c r="E975">
        <v>771</v>
      </c>
      <c r="F975" t="s">
        <v>31</v>
      </c>
    </row>
    <row r="976" spans="1:6" x14ac:dyDescent="0.3">
      <c r="A976" s="20">
        <v>45789</v>
      </c>
      <c r="B976">
        <v>17</v>
      </c>
      <c r="C976" t="s">
        <v>232</v>
      </c>
      <c r="D976">
        <v>1746</v>
      </c>
      <c r="E976">
        <v>170</v>
      </c>
      <c r="F976" t="s">
        <v>39</v>
      </c>
    </row>
    <row r="977" spans="1:6" x14ac:dyDescent="0.3">
      <c r="A977" s="20">
        <v>45789</v>
      </c>
      <c r="B977">
        <v>17</v>
      </c>
      <c r="C977" t="s">
        <v>155</v>
      </c>
      <c r="D977">
        <v>42</v>
      </c>
      <c r="E977">
        <v>8</v>
      </c>
      <c r="F977" t="s">
        <v>229</v>
      </c>
    </row>
    <row r="978" spans="1:6" x14ac:dyDescent="0.3">
      <c r="A978" s="20">
        <v>45789</v>
      </c>
      <c r="B978">
        <v>17</v>
      </c>
      <c r="C978" t="s">
        <v>250</v>
      </c>
      <c r="D978">
        <v>136</v>
      </c>
      <c r="E978">
        <v>26</v>
      </c>
      <c r="F978" t="s">
        <v>85</v>
      </c>
    </row>
    <row r="979" spans="1:6" x14ac:dyDescent="0.3">
      <c r="A979" s="20">
        <v>45789</v>
      </c>
      <c r="B979">
        <v>17</v>
      </c>
      <c r="C979" t="s">
        <v>124</v>
      </c>
      <c r="D979">
        <v>72862</v>
      </c>
      <c r="E979">
        <v>3387</v>
      </c>
      <c r="F979" t="s">
        <v>38</v>
      </c>
    </row>
    <row r="980" spans="1:6" x14ac:dyDescent="0.3">
      <c r="A980" s="20">
        <v>45789</v>
      </c>
      <c r="B980">
        <v>17</v>
      </c>
      <c r="C980" t="s">
        <v>165</v>
      </c>
      <c r="D980">
        <v>5</v>
      </c>
      <c r="E980">
        <v>5</v>
      </c>
      <c r="F980" t="s">
        <v>38</v>
      </c>
    </row>
    <row r="981" spans="1:6" x14ac:dyDescent="0.3">
      <c r="A981" s="20">
        <v>45789</v>
      </c>
      <c r="B981">
        <v>17</v>
      </c>
      <c r="C981" t="s">
        <v>251</v>
      </c>
      <c r="D981">
        <v>967</v>
      </c>
      <c r="E981">
        <v>86</v>
      </c>
      <c r="F981" t="s">
        <v>47</v>
      </c>
    </row>
    <row r="982" spans="1:6" x14ac:dyDescent="0.3">
      <c r="A982" s="20">
        <v>45789</v>
      </c>
      <c r="B982">
        <v>17</v>
      </c>
      <c r="C982" t="s">
        <v>251</v>
      </c>
      <c r="D982">
        <v>961</v>
      </c>
      <c r="E982">
        <v>99</v>
      </c>
      <c r="F982" t="s">
        <v>44</v>
      </c>
    </row>
    <row r="983" spans="1:6" x14ac:dyDescent="0.3">
      <c r="A983" s="20">
        <v>45789</v>
      </c>
      <c r="B983">
        <v>18</v>
      </c>
      <c r="C983" t="s">
        <v>73</v>
      </c>
      <c r="D983">
        <v>0</v>
      </c>
      <c r="E983">
        <v>0</v>
      </c>
      <c r="F983" t="s">
        <v>163</v>
      </c>
    </row>
    <row r="984" spans="1:6" x14ac:dyDescent="0.3">
      <c r="A984" s="20">
        <v>45789</v>
      </c>
      <c r="B984">
        <v>18</v>
      </c>
      <c r="C984" t="s">
        <v>73</v>
      </c>
      <c r="D984">
        <v>0</v>
      </c>
      <c r="E984">
        <v>0</v>
      </c>
      <c r="F984" t="s">
        <v>229</v>
      </c>
    </row>
    <row r="985" spans="1:6" x14ac:dyDescent="0.3">
      <c r="A985" s="20">
        <v>45789</v>
      </c>
      <c r="B985">
        <v>18</v>
      </c>
      <c r="C985" t="s">
        <v>249</v>
      </c>
      <c r="D985">
        <v>6792</v>
      </c>
      <c r="E985">
        <v>287</v>
      </c>
      <c r="F985" t="s">
        <v>31</v>
      </c>
    </row>
    <row r="986" spans="1:6" x14ac:dyDescent="0.3">
      <c r="A986" s="20">
        <v>45789</v>
      </c>
      <c r="B986">
        <v>18</v>
      </c>
      <c r="C986" t="s">
        <v>242</v>
      </c>
      <c r="D986">
        <v>53991</v>
      </c>
      <c r="E986">
        <v>4915</v>
      </c>
      <c r="F986" t="s">
        <v>31</v>
      </c>
    </row>
    <row r="987" spans="1:6" x14ac:dyDescent="0.3">
      <c r="A987" s="20">
        <v>45789</v>
      </c>
      <c r="B987">
        <v>18</v>
      </c>
      <c r="C987" t="s">
        <v>244</v>
      </c>
      <c r="D987">
        <v>28514</v>
      </c>
      <c r="E987">
        <v>2122</v>
      </c>
      <c r="F987" t="s">
        <v>31</v>
      </c>
    </row>
    <row r="988" spans="1:6" x14ac:dyDescent="0.3">
      <c r="A988" s="20">
        <v>45789</v>
      </c>
      <c r="B988">
        <v>18</v>
      </c>
      <c r="C988" t="s">
        <v>246</v>
      </c>
      <c r="D988">
        <v>44919</v>
      </c>
      <c r="E988">
        <v>5305</v>
      </c>
      <c r="F988" t="s">
        <v>31</v>
      </c>
    </row>
    <row r="989" spans="1:6" x14ac:dyDescent="0.3">
      <c r="A989" s="20">
        <v>45789</v>
      </c>
      <c r="B989">
        <v>18</v>
      </c>
      <c r="C989" t="s">
        <v>250</v>
      </c>
      <c r="D989">
        <v>1478</v>
      </c>
      <c r="E989">
        <v>156</v>
      </c>
      <c r="F989" t="s">
        <v>164</v>
      </c>
    </row>
    <row r="990" spans="1:6" x14ac:dyDescent="0.3">
      <c r="A990" s="20">
        <v>45789</v>
      </c>
      <c r="B990">
        <v>18</v>
      </c>
      <c r="C990" t="s">
        <v>160</v>
      </c>
      <c r="D990">
        <v>707</v>
      </c>
      <c r="E990">
        <v>100</v>
      </c>
      <c r="F990" t="s">
        <v>47</v>
      </c>
    </row>
    <row r="991" spans="1:6" x14ac:dyDescent="0.3">
      <c r="A991" s="20">
        <v>45789</v>
      </c>
      <c r="B991">
        <v>18</v>
      </c>
      <c r="C991" t="s">
        <v>160</v>
      </c>
      <c r="D991">
        <v>782</v>
      </c>
      <c r="E991">
        <v>167</v>
      </c>
      <c r="F991" t="s">
        <v>39</v>
      </c>
    </row>
    <row r="992" spans="1:6" x14ac:dyDescent="0.3">
      <c r="A992" s="20">
        <v>45789</v>
      </c>
      <c r="B992">
        <v>18</v>
      </c>
      <c r="C992" t="s">
        <v>160</v>
      </c>
      <c r="D992">
        <v>259</v>
      </c>
      <c r="E992">
        <v>68</v>
      </c>
      <c r="F992" t="s">
        <v>44</v>
      </c>
    </row>
    <row r="993" spans="1:6" x14ac:dyDescent="0.3">
      <c r="A993" s="20">
        <v>45789</v>
      </c>
      <c r="B993">
        <v>18</v>
      </c>
      <c r="C993" t="s">
        <v>160</v>
      </c>
      <c r="D993">
        <v>2069</v>
      </c>
      <c r="E993">
        <v>399</v>
      </c>
      <c r="F993" t="s">
        <v>231</v>
      </c>
    </row>
    <row r="994" spans="1:6" x14ac:dyDescent="0.3">
      <c r="A994" s="20">
        <v>45789</v>
      </c>
      <c r="B994">
        <v>18</v>
      </c>
      <c r="C994" t="s">
        <v>160</v>
      </c>
      <c r="D994">
        <v>198</v>
      </c>
      <c r="E994">
        <v>53</v>
      </c>
      <c r="F994" t="s">
        <v>43</v>
      </c>
    </row>
    <row r="995" spans="1:6" x14ac:dyDescent="0.3">
      <c r="A995" s="20">
        <v>45789</v>
      </c>
      <c r="B995">
        <v>18</v>
      </c>
      <c r="C995" t="s">
        <v>126</v>
      </c>
      <c r="D995">
        <v>5</v>
      </c>
      <c r="E995">
        <v>5</v>
      </c>
      <c r="F995" t="s">
        <v>38</v>
      </c>
    </row>
    <row r="996" spans="1:6" x14ac:dyDescent="0.3">
      <c r="A996" s="20">
        <v>45789</v>
      </c>
      <c r="B996">
        <v>18</v>
      </c>
      <c r="C996" t="s">
        <v>76</v>
      </c>
      <c r="D996">
        <v>56586</v>
      </c>
      <c r="E996">
        <v>2273</v>
      </c>
      <c r="F996" t="s">
        <v>38</v>
      </c>
    </row>
    <row r="997" spans="1:6" x14ac:dyDescent="0.3">
      <c r="A997" s="20">
        <v>45789</v>
      </c>
      <c r="B997">
        <v>18</v>
      </c>
      <c r="C997" t="s">
        <v>81</v>
      </c>
      <c r="D997">
        <v>80353</v>
      </c>
      <c r="E997">
        <v>3144</v>
      </c>
      <c r="F997" t="s">
        <v>38</v>
      </c>
    </row>
    <row r="998" spans="1:6" x14ac:dyDescent="0.3">
      <c r="A998" s="20">
        <v>45789</v>
      </c>
      <c r="B998">
        <v>18</v>
      </c>
      <c r="C998" t="s">
        <v>235</v>
      </c>
      <c r="D998">
        <v>508</v>
      </c>
      <c r="E998">
        <v>76</v>
      </c>
      <c r="F998" t="s">
        <v>161</v>
      </c>
    </row>
    <row r="999" spans="1:6" x14ac:dyDescent="0.3">
      <c r="A999" s="20">
        <v>45789</v>
      </c>
      <c r="B999">
        <v>19</v>
      </c>
      <c r="C999" t="s">
        <v>73</v>
      </c>
      <c r="D999">
        <v>0</v>
      </c>
      <c r="E999">
        <v>0</v>
      </c>
      <c r="F999" t="s">
        <v>75</v>
      </c>
    </row>
    <row r="1000" spans="1:6" x14ac:dyDescent="0.3">
      <c r="A1000" s="20">
        <v>45789</v>
      </c>
      <c r="B1000">
        <v>19</v>
      </c>
      <c r="C1000" t="s">
        <v>241</v>
      </c>
      <c r="D1000">
        <v>3699</v>
      </c>
      <c r="E1000">
        <v>264</v>
      </c>
      <c r="F1000" t="s">
        <v>31</v>
      </c>
    </row>
    <row r="1001" spans="1:6" x14ac:dyDescent="0.3">
      <c r="A1001" s="20">
        <v>45789</v>
      </c>
      <c r="B1001">
        <v>19</v>
      </c>
      <c r="C1001" t="s">
        <v>48</v>
      </c>
      <c r="D1001">
        <v>0</v>
      </c>
      <c r="E1001">
        <v>0</v>
      </c>
      <c r="F1001" t="s">
        <v>259</v>
      </c>
    </row>
    <row r="1002" spans="1:6" x14ac:dyDescent="0.3">
      <c r="A1002" s="20">
        <v>45789</v>
      </c>
      <c r="B1002">
        <v>19</v>
      </c>
      <c r="C1002" t="s">
        <v>238</v>
      </c>
      <c r="D1002">
        <v>3030</v>
      </c>
      <c r="E1002">
        <v>364</v>
      </c>
      <c r="F1002" t="s">
        <v>44</v>
      </c>
    </row>
    <row r="1003" spans="1:6" x14ac:dyDescent="0.3">
      <c r="A1003" s="20">
        <v>45789</v>
      </c>
      <c r="B1003">
        <v>19</v>
      </c>
      <c r="C1003" t="s">
        <v>160</v>
      </c>
      <c r="D1003">
        <v>1</v>
      </c>
      <c r="E1003">
        <v>0</v>
      </c>
      <c r="F1003" t="s">
        <v>68</v>
      </c>
    </row>
    <row r="1004" spans="1:6" x14ac:dyDescent="0.3">
      <c r="A1004" s="20">
        <v>45789</v>
      </c>
      <c r="B1004">
        <v>19</v>
      </c>
      <c r="C1004" t="s">
        <v>160</v>
      </c>
      <c r="D1004">
        <v>45</v>
      </c>
      <c r="E1004">
        <v>6</v>
      </c>
      <c r="F1004" t="s">
        <v>32</v>
      </c>
    </row>
    <row r="1005" spans="1:6" x14ac:dyDescent="0.3">
      <c r="A1005" s="20">
        <v>45789</v>
      </c>
      <c r="B1005">
        <v>19</v>
      </c>
      <c r="C1005" t="s">
        <v>160</v>
      </c>
      <c r="D1005">
        <v>34</v>
      </c>
      <c r="E1005">
        <v>7</v>
      </c>
      <c r="F1005" t="s">
        <v>138</v>
      </c>
    </row>
    <row r="1006" spans="1:6" x14ac:dyDescent="0.3">
      <c r="A1006" s="20">
        <v>45789</v>
      </c>
      <c r="B1006">
        <v>19</v>
      </c>
      <c r="C1006" t="s">
        <v>160</v>
      </c>
      <c r="D1006">
        <v>21</v>
      </c>
      <c r="E1006">
        <v>1</v>
      </c>
      <c r="F1006" t="s">
        <v>161</v>
      </c>
    </row>
    <row r="1007" spans="1:6" x14ac:dyDescent="0.3">
      <c r="A1007" s="20">
        <v>45789</v>
      </c>
      <c r="B1007">
        <v>19</v>
      </c>
      <c r="C1007" t="s">
        <v>160</v>
      </c>
      <c r="D1007">
        <v>44</v>
      </c>
      <c r="E1007">
        <v>10</v>
      </c>
      <c r="F1007" t="s">
        <v>72</v>
      </c>
    </row>
    <row r="1008" spans="1:6" x14ac:dyDescent="0.3">
      <c r="A1008" s="20">
        <v>45789</v>
      </c>
      <c r="B1008">
        <v>19</v>
      </c>
      <c r="C1008" t="s">
        <v>55</v>
      </c>
      <c r="D1008">
        <v>79102</v>
      </c>
      <c r="E1008">
        <v>2714</v>
      </c>
      <c r="F1008" t="s">
        <v>38</v>
      </c>
    </row>
    <row r="1009" spans="1:6" x14ac:dyDescent="0.3">
      <c r="A1009" s="20">
        <v>45789</v>
      </c>
      <c r="B1009">
        <v>20</v>
      </c>
      <c r="C1009" t="s">
        <v>73</v>
      </c>
      <c r="D1009">
        <v>0</v>
      </c>
      <c r="E1009">
        <v>0</v>
      </c>
      <c r="F1009" t="s">
        <v>234</v>
      </c>
    </row>
    <row r="1010" spans="1:6" x14ac:dyDescent="0.3">
      <c r="A1010" s="20">
        <v>45789</v>
      </c>
      <c r="B1010">
        <v>20</v>
      </c>
      <c r="C1010" t="s">
        <v>73</v>
      </c>
      <c r="D1010">
        <v>0</v>
      </c>
      <c r="E1010">
        <v>0</v>
      </c>
      <c r="F1010" t="s">
        <v>45</v>
      </c>
    </row>
    <row r="1011" spans="1:6" x14ac:dyDescent="0.3">
      <c r="A1011" s="20">
        <v>45789</v>
      </c>
      <c r="B1011">
        <v>20</v>
      </c>
      <c r="C1011" t="s">
        <v>156</v>
      </c>
      <c r="D1011">
        <v>2920</v>
      </c>
      <c r="E1011">
        <v>470</v>
      </c>
      <c r="F1011" t="s">
        <v>43</v>
      </c>
    </row>
    <row r="1012" spans="1:6" x14ac:dyDescent="0.3">
      <c r="A1012" s="20">
        <v>45789</v>
      </c>
      <c r="B1012">
        <v>20</v>
      </c>
      <c r="C1012" t="s">
        <v>157</v>
      </c>
      <c r="D1012">
        <v>1256</v>
      </c>
      <c r="E1012">
        <v>326</v>
      </c>
      <c r="F1012" t="s">
        <v>31</v>
      </c>
    </row>
    <row r="1013" spans="1:6" x14ac:dyDescent="0.3">
      <c r="A1013" s="20">
        <v>45789</v>
      </c>
      <c r="B1013">
        <v>20</v>
      </c>
      <c r="C1013" t="s">
        <v>41</v>
      </c>
      <c r="D1013">
        <v>99</v>
      </c>
      <c r="E1013">
        <v>23</v>
      </c>
      <c r="F1013" t="s">
        <v>31</v>
      </c>
    </row>
    <row r="1014" spans="1:6" x14ac:dyDescent="0.3">
      <c r="A1014" s="20">
        <v>45789</v>
      </c>
      <c r="B1014">
        <v>20</v>
      </c>
      <c r="C1014" t="s">
        <v>54</v>
      </c>
      <c r="D1014">
        <v>44</v>
      </c>
      <c r="E1014">
        <v>0</v>
      </c>
      <c r="F1014" t="s">
        <v>31</v>
      </c>
    </row>
    <row r="1015" spans="1:6" x14ac:dyDescent="0.3">
      <c r="A1015" s="20">
        <v>45789</v>
      </c>
      <c r="B1015">
        <v>20</v>
      </c>
      <c r="C1015" t="s">
        <v>245</v>
      </c>
      <c r="D1015">
        <v>25751</v>
      </c>
      <c r="E1015">
        <v>2286</v>
      </c>
      <c r="F1015" t="s">
        <v>31</v>
      </c>
    </row>
    <row r="1016" spans="1:6" x14ac:dyDescent="0.3">
      <c r="A1016" s="20">
        <v>45789</v>
      </c>
      <c r="B1016">
        <v>20</v>
      </c>
      <c r="C1016" t="s">
        <v>232</v>
      </c>
      <c r="D1016">
        <v>636</v>
      </c>
      <c r="E1016">
        <v>47</v>
      </c>
      <c r="F1016" t="s">
        <v>39</v>
      </c>
    </row>
    <row r="1017" spans="1:6" x14ac:dyDescent="0.3">
      <c r="A1017" s="20">
        <v>45789</v>
      </c>
      <c r="B1017">
        <v>21</v>
      </c>
      <c r="C1017" t="s">
        <v>249</v>
      </c>
      <c r="D1017">
        <v>2</v>
      </c>
      <c r="E1017">
        <v>0</v>
      </c>
      <c r="F1017" t="s">
        <v>31</v>
      </c>
    </row>
    <row r="1018" spans="1:6" x14ac:dyDescent="0.3">
      <c r="A1018" s="20">
        <v>45789</v>
      </c>
      <c r="B1018">
        <v>21</v>
      </c>
      <c r="C1018" t="s">
        <v>160</v>
      </c>
      <c r="D1018">
        <v>1</v>
      </c>
      <c r="E1018">
        <v>0</v>
      </c>
      <c r="F1018" t="s">
        <v>47</v>
      </c>
    </row>
    <row r="1019" spans="1:6" x14ac:dyDescent="0.3">
      <c r="A1019" s="20">
        <v>45789</v>
      </c>
      <c r="B1019">
        <v>8</v>
      </c>
      <c r="C1019" t="s">
        <v>156</v>
      </c>
      <c r="D1019">
        <v>2141</v>
      </c>
      <c r="E1019">
        <v>523</v>
      </c>
      <c r="F1019" t="s">
        <v>72</v>
      </c>
    </row>
    <row r="1020" spans="1:6" x14ac:dyDescent="0.3">
      <c r="A1020" s="20">
        <v>45789</v>
      </c>
      <c r="B1020">
        <v>8</v>
      </c>
      <c r="C1020" t="s">
        <v>158</v>
      </c>
      <c r="D1020">
        <v>10362</v>
      </c>
      <c r="E1020">
        <v>615</v>
      </c>
      <c r="F1020" t="s">
        <v>31</v>
      </c>
    </row>
    <row r="1021" spans="1:6" x14ac:dyDescent="0.3">
      <c r="A1021" s="20">
        <v>45789</v>
      </c>
      <c r="B1021">
        <v>8</v>
      </c>
      <c r="C1021" t="s">
        <v>48</v>
      </c>
      <c r="D1021">
        <v>64315</v>
      </c>
      <c r="E1021">
        <v>5179</v>
      </c>
      <c r="F1021" t="s">
        <v>31</v>
      </c>
    </row>
    <row r="1022" spans="1:6" x14ac:dyDescent="0.3">
      <c r="A1022" s="20">
        <v>45789</v>
      </c>
      <c r="B1022">
        <v>8</v>
      </c>
      <c r="C1022" t="s">
        <v>41</v>
      </c>
      <c r="D1022">
        <v>4871</v>
      </c>
      <c r="E1022">
        <v>409</v>
      </c>
      <c r="F1022" t="s">
        <v>31</v>
      </c>
    </row>
    <row r="1023" spans="1:6" x14ac:dyDescent="0.3">
      <c r="A1023" s="20">
        <v>45789</v>
      </c>
      <c r="B1023">
        <v>8</v>
      </c>
      <c r="C1023" t="s">
        <v>54</v>
      </c>
      <c r="D1023">
        <v>377</v>
      </c>
      <c r="E1023">
        <v>122</v>
      </c>
      <c r="F1023" t="s">
        <v>31</v>
      </c>
    </row>
    <row r="1024" spans="1:6" x14ac:dyDescent="0.3">
      <c r="A1024" s="20">
        <v>45789</v>
      </c>
      <c r="B1024">
        <v>8</v>
      </c>
      <c r="C1024" t="s">
        <v>49</v>
      </c>
      <c r="D1024">
        <v>842</v>
      </c>
      <c r="E1024">
        <v>125</v>
      </c>
      <c r="F1024" t="s">
        <v>42</v>
      </c>
    </row>
    <row r="1025" spans="1:6" x14ac:dyDescent="0.3">
      <c r="A1025" s="20">
        <v>45789</v>
      </c>
      <c r="B1025">
        <v>8</v>
      </c>
      <c r="C1025" t="s">
        <v>245</v>
      </c>
      <c r="D1025">
        <v>66275</v>
      </c>
      <c r="E1025">
        <v>9589</v>
      </c>
      <c r="F1025" t="s">
        <v>31</v>
      </c>
    </row>
    <row r="1026" spans="1:6" x14ac:dyDescent="0.3">
      <c r="A1026" s="20">
        <v>45789</v>
      </c>
      <c r="B1026">
        <v>8</v>
      </c>
      <c r="C1026" t="s">
        <v>232</v>
      </c>
      <c r="D1026">
        <v>4075</v>
      </c>
      <c r="E1026">
        <v>372</v>
      </c>
      <c r="F1026" t="s">
        <v>39</v>
      </c>
    </row>
    <row r="1027" spans="1:6" x14ac:dyDescent="0.3">
      <c r="A1027" s="20">
        <v>45789</v>
      </c>
      <c r="B1027">
        <v>8</v>
      </c>
      <c r="C1027" t="s">
        <v>162</v>
      </c>
      <c r="D1027">
        <v>6336</v>
      </c>
      <c r="E1027">
        <v>987</v>
      </c>
      <c r="F1027" t="s">
        <v>47</v>
      </c>
    </row>
    <row r="1028" spans="1:6" x14ac:dyDescent="0.3">
      <c r="A1028" s="20">
        <v>45789</v>
      </c>
      <c r="B1028">
        <v>8</v>
      </c>
      <c r="C1028" t="s">
        <v>162</v>
      </c>
      <c r="D1028">
        <v>13295</v>
      </c>
      <c r="E1028">
        <v>1610</v>
      </c>
      <c r="F1028" t="s">
        <v>44</v>
      </c>
    </row>
    <row r="1029" spans="1:6" x14ac:dyDescent="0.3">
      <c r="A1029" s="20">
        <v>45789</v>
      </c>
      <c r="B1029">
        <v>8</v>
      </c>
      <c r="C1029" t="s">
        <v>37</v>
      </c>
      <c r="D1029">
        <v>3184</v>
      </c>
      <c r="E1029">
        <v>540</v>
      </c>
      <c r="F1029" t="s">
        <v>38</v>
      </c>
    </row>
    <row r="1030" spans="1:6" x14ac:dyDescent="0.3">
      <c r="A1030" s="20">
        <v>45789</v>
      </c>
      <c r="B1030">
        <v>9</v>
      </c>
      <c r="C1030" t="s">
        <v>73</v>
      </c>
      <c r="D1030">
        <v>0</v>
      </c>
      <c r="E1030">
        <v>0</v>
      </c>
      <c r="F1030" t="s">
        <v>229</v>
      </c>
    </row>
    <row r="1031" spans="1:6" x14ac:dyDescent="0.3">
      <c r="A1031" s="20">
        <v>45789</v>
      </c>
      <c r="B1031">
        <v>9</v>
      </c>
      <c r="C1031" t="s">
        <v>228</v>
      </c>
      <c r="D1031">
        <v>10203</v>
      </c>
      <c r="E1031">
        <v>1851</v>
      </c>
      <c r="F1031" t="s">
        <v>45</v>
      </c>
    </row>
    <row r="1032" spans="1:6" x14ac:dyDescent="0.3">
      <c r="A1032" s="20">
        <v>45789</v>
      </c>
      <c r="B1032">
        <v>9</v>
      </c>
      <c r="C1032" t="s">
        <v>249</v>
      </c>
      <c r="D1032">
        <v>12941</v>
      </c>
      <c r="E1032">
        <v>672</v>
      </c>
      <c r="F1032" t="s">
        <v>31</v>
      </c>
    </row>
    <row r="1033" spans="1:6" x14ac:dyDescent="0.3">
      <c r="A1033" s="20">
        <v>45789</v>
      </c>
      <c r="B1033">
        <v>9</v>
      </c>
      <c r="C1033" t="s">
        <v>242</v>
      </c>
      <c r="D1033">
        <v>26378</v>
      </c>
      <c r="E1033">
        <v>3269</v>
      </c>
      <c r="F1033" t="s">
        <v>31</v>
      </c>
    </row>
    <row r="1034" spans="1:6" x14ac:dyDescent="0.3">
      <c r="A1034" s="20">
        <v>45789</v>
      </c>
      <c r="B1034">
        <v>9</v>
      </c>
      <c r="C1034" t="s">
        <v>35</v>
      </c>
      <c r="D1034">
        <v>6075</v>
      </c>
      <c r="E1034">
        <v>439</v>
      </c>
      <c r="F1034" t="s">
        <v>31</v>
      </c>
    </row>
    <row r="1035" spans="1:6" x14ac:dyDescent="0.3">
      <c r="A1035" s="20">
        <v>45789</v>
      </c>
      <c r="B1035">
        <v>9</v>
      </c>
      <c r="C1035" t="s">
        <v>246</v>
      </c>
      <c r="D1035">
        <v>42542</v>
      </c>
      <c r="E1035">
        <v>8618</v>
      </c>
      <c r="F1035" t="s">
        <v>31</v>
      </c>
    </row>
    <row r="1036" spans="1:6" x14ac:dyDescent="0.3">
      <c r="A1036" s="20">
        <v>45789</v>
      </c>
      <c r="B1036">
        <v>9</v>
      </c>
      <c r="C1036" t="s">
        <v>71</v>
      </c>
      <c r="D1036">
        <v>9082</v>
      </c>
      <c r="E1036">
        <v>2834</v>
      </c>
      <c r="F1036" t="s">
        <v>32</v>
      </c>
    </row>
    <row r="1037" spans="1:6" x14ac:dyDescent="0.3">
      <c r="A1037" s="20">
        <v>45789</v>
      </c>
      <c r="B1037">
        <v>9</v>
      </c>
      <c r="C1037" t="s">
        <v>250</v>
      </c>
      <c r="D1037">
        <v>4845</v>
      </c>
      <c r="E1037">
        <v>423</v>
      </c>
      <c r="F1037" t="s">
        <v>164</v>
      </c>
    </row>
    <row r="1038" spans="1:6" x14ac:dyDescent="0.3">
      <c r="A1038" s="20">
        <v>45789</v>
      </c>
      <c r="B1038">
        <v>9</v>
      </c>
      <c r="C1038" t="s">
        <v>160</v>
      </c>
      <c r="D1038">
        <v>690</v>
      </c>
      <c r="E1038">
        <v>129</v>
      </c>
      <c r="F1038" t="s">
        <v>47</v>
      </c>
    </row>
    <row r="1039" spans="1:6" x14ac:dyDescent="0.3">
      <c r="A1039" s="20">
        <v>45789</v>
      </c>
      <c r="B1039">
        <v>9</v>
      </c>
      <c r="C1039" t="s">
        <v>160</v>
      </c>
      <c r="D1039">
        <v>213</v>
      </c>
      <c r="E1039">
        <v>60</v>
      </c>
      <c r="F1039" t="s">
        <v>44</v>
      </c>
    </row>
    <row r="1040" spans="1:6" x14ac:dyDescent="0.3">
      <c r="A1040" s="20">
        <v>45789</v>
      </c>
      <c r="B1040">
        <v>9</v>
      </c>
      <c r="C1040" t="s">
        <v>160</v>
      </c>
      <c r="D1040">
        <v>21210</v>
      </c>
      <c r="E1040">
        <v>856</v>
      </c>
      <c r="F1040" t="s">
        <v>234</v>
      </c>
    </row>
    <row r="1041" spans="1:6" x14ac:dyDescent="0.3">
      <c r="A1041" s="20">
        <v>45789</v>
      </c>
      <c r="B1041">
        <v>9</v>
      </c>
      <c r="C1041" t="s">
        <v>160</v>
      </c>
      <c r="D1041">
        <v>363</v>
      </c>
      <c r="E1041">
        <v>79</v>
      </c>
      <c r="F1041" t="s">
        <v>45</v>
      </c>
    </row>
    <row r="1042" spans="1:6" x14ac:dyDescent="0.3">
      <c r="A1042" s="20">
        <v>45789</v>
      </c>
      <c r="B1042">
        <v>9</v>
      </c>
      <c r="C1042" t="s">
        <v>160</v>
      </c>
      <c r="D1042">
        <v>158</v>
      </c>
      <c r="E1042">
        <v>37</v>
      </c>
      <c r="F1042" t="s">
        <v>43</v>
      </c>
    </row>
    <row r="1043" spans="1:6" x14ac:dyDescent="0.3">
      <c r="A1043" s="20">
        <v>45789</v>
      </c>
      <c r="B1043">
        <v>9</v>
      </c>
      <c r="C1043" t="s">
        <v>125</v>
      </c>
      <c r="D1043">
        <v>107341</v>
      </c>
      <c r="E1043">
        <v>7382</v>
      </c>
      <c r="F1043" t="s">
        <v>38</v>
      </c>
    </row>
    <row r="1044" spans="1:6" x14ac:dyDescent="0.3">
      <c r="A1044" s="20">
        <v>45789</v>
      </c>
      <c r="B1044">
        <v>9</v>
      </c>
      <c r="C1044" t="s">
        <v>235</v>
      </c>
      <c r="D1044">
        <v>1110</v>
      </c>
      <c r="E1044">
        <v>252</v>
      </c>
      <c r="F1044" t="s">
        <v>161</v>
      </c>
    </row>
    <row r="1045" spans="1:6" x14ac:dyDescent="0.3">
      <c r="A1045" s="20">
        <v>45789</v>
      </c>
      <c r="B1045">
        <v>10</v>
      </c>
      <c r="C1045" t="s">
        <v>73</v>
      </c>
      <c r="D1045">
        <v>0</v>
      </c>
      <c r="E1045">
        <v>0</v>
      </c>
      <c r="F1045" t="s">
        <v>38</v>
      </c>
    </row>
    <row r="1046" spans="1:6" x14ac:dyDescent="0.3">
      <c r="A1046" s="20">
        <v>45789</v>
      </c>
      <c r="B1046">
        <v>10</v>
      </c>
      <c r="C1046" t="s">
        <v>73</v>
      </c>
      <c r="D1046">
        <v>0</v>
      </c>
      <c r="E1046">
        <v>0</v>
      </c>
      <c r="F1046" t="s">
        <v>75</v>
      </c>
    </row>
    <row r="1047" spans="1:6" x14ac:dyDescent="0.3">
      <c r="A1047" s="20">
        <v>45789</v>
      </c>
      <c r="B1047">
        <v>10</v>
      </c>
      <c r="C1047" t="s">
        <v>48</v>
      </c>
      <c r="D1047">
        <v>0</v>
      </c>
      <c r="E1047">
        <v>0</v>
      </c>
      <c r="F1047" t="s">
        <v>259</v>
      </c>
    </row>
    <row r="1048" spans="1:6" x14ac:dyDescent="0.3">
      <c r="A1048" s="20">
        <v>45789</v>
      </c>
      <c r="B1048">
        <v>10</v>
      </c>
      <c r="C1048" t="s">
        <v>232</v>
      </c>
      <c r="D1048">
        <v>353</v>
      </c>
      <c r="E1048">
        <v>37</v>
      </c>
      <c r="F1048" t="s">
        <v>68</v>
      </c>
    </row>
    <row r="1049" spans="1:6" x14ac:dyDescent="0.3">
      <c r="A1049" s="20">
        <v>45789</v>
      </c>
      <c r="B1049">
        <v>10</v>
      </c>
      <c r="C1049" t="s">
        <v>238</v>
      </c>
      <c r="D1049">
        <v>2308</v>
      </c>
      <c r="E1049">
        <v>340</v>
      </c>
      <c r="F1049" t="s">
        <v>44</v>
      </c>
    </row>
    <row r="1050" spans="1:6" x14ac:dyDescent="0.3">
      <c r="A1050" s="20">
        <v>45789</v>
      </c>
      <c r="B1050">
        <v>10</v>
      </c>
      <c r="C1050" t="s">
        <v>238</v>
      </c>
      <c r="D1050">
        <v>5815</v>
      </c>
      <c r="E1050">
        <v>801</v>
      </c>
      <c r="F1050" t="s">
        <v>229</v>
      </c>
    </row>
    <row r="1051" spans="1:6" x14ac:dyDescent="0.3">
      <c r="A1051" s="20">
        <v>45789</v>
      </c>
      <c r="B1051">
        <v>10</v>
      </c>
      <c r="C1051" t="s">
        <v>160</v>
      </c>
      <c r="D1051">
        <v>2</v>
      </c>
      <c r="E1051">
        <v>0</v>
      </c>
      <c r="F1051" t="s">
        <v>68</v>
      </c>
    </row>
    <row r="1052" spans="1:6" x14ac:dyDescent="0.3">
      <c r="A1052" s="20">
        <v>45789</v>
      </c>
      <c r="B1052">
        <v>10</v>
      </c>
      <c r="C1052" t="s">
        <v>160</v>
      </c>
      <c r="D1052">
        <v>167</v>
      </c>
      <c r="E1052">
        <v>52</v>
      </c>
      <c r="F1052" t="s">
        <v>161</v>
      </c>
    </row>
    <row r="1053" spans="1:6" x14ac:dyDescent="0.3">
      <c r="A1053" s="20">
        <v>45789</v>
      </c>
      <c r="B1053">
        <v>10</v>
      </c>
      <c r="C1053" t="s">
        <v>160</v>
      </c>
      <c r="D1053">
        <v>37</v>
      </c>
      <c r="E1053">
        <v>8</v>
      </c>
      <c r="F1053" t="s">
        <v>72</v>
      </c>
    </row>
    <row r="1054" spans="1:6" x14ac:dyDescent="0.3">
      <c r="A1054" s="20">
        <v>45789</v>
      </c>
      <c r="B1054">
        <v>10</v>
      </c>
      <c r="C1054" t="s">
        <v>51</v>
      </c>
      <c r="D1054">
        <v>70968</v>
      </c>
      <c r="E1054">
        <v>3375</v>
      </c>
      <c r="F1054" t="s">
        <v>38</v>
      </c>
    </row>
    <row r="1055" spans="1:6" x14ac:dyDescent="0.3">
      <c r="A1055" s="20">
        <v>45789</v>
      </c>
      <c r="B1055">
        <v>11</v>
      </c>
      <c r="C1055" t="s">
        <v>156</v>
      </c>
      <c r="D1055">
        <v>2561</v>
      </c>
      <c r="E1055">
        <v>484</v>
      </c>
      <c r="F1055" t="s">
        <v>72</v>
      </c>
    </row>
    <row r="1056" spans="1:6" x14ac:dyDescent="0.3">
      <c r="A1056" s="20">
        <v>45789</v>
      </c>
      <c r="B1056">
        <v>11</v>
      </c>
      <c r="C1056" t="s">
        <v>67</v>
      </c>
      <c r="D1056">
        <v>17126</v>
      </c>
      <c r="E1056">
        <v>923</v>
      </c>
      <c r="F1056" t="s">
        <v>31</v>
      </c>
    </row>
    <row r="1057" spans="1:6" x14ac:dyDescent="0.3">
      <c r="A1057" s="20">
        <v>45789</v>
      </c>
      <c r="B1057">
        <v>11</v>
      </c>
      <c r="C1057" t="s">
        <v>158</v>
      </c>
      <c r="D1057">
        <v>10993</v>
      </c>
      <c r="E1057">
        <v>730</v>
      </c>
      <c r="F1057" t="s">
        <v>31</v>
      </c>
    </row>
    <row r="1058" spans="1:6" x14ac:dyDescent="0.3">
      <c r="A1058" s="20">
        <v>45789</v>
      </c>
      <c r="B1058">
        <v>11</v>
      </c>
      <c r="C1058" t="s">
        <v>48</v>
      </c>
      <c r="D1058">
        <v>58001</v>
      </c>
      <c r="E1058">
        <v>4992</v>
      </c>
      <c r="F1058" t="s">
        <v>31</v>
      </c>
    </row>
    <row r="1059" spans="1:6" x14ac:dyDescent="0.3">
      <c r="A1059" s="20">
        <v>45789</v>
      </c>
      <c r="B1059">
        <v>11</v>
      </c>
      <c r="C1059" t="s">
        <v>41</v>
      </c>
      <c r="D1059">
        <v>2487</v>
      </c>
      <c r="E1059">
        <v>216</v>
      </c>
      <c r="F1059" t="s">
        <v>31</v>
      </c>
    </row>
    <row r="1060" spans="1:6" x14ac:dyDescent="0.3">
      <c r="A1060" s="20">
        <v>45789</v>
      </c>
      <c r="B1060">
        <v>11</v>
      </c>
      <c r="C1060" t="s">
        <v>232</v>
      </c>
      <c r="D1060">
        <v>2287</v>
      </c>
      <c r="E1060">
        <v>219</v>
      </c>
      <c r="F1060" t="s">
        <v>39</v>
      </c>
    </row>
    <row r="1061" spans="1:6" x14ac:dyDescent="0.3">
      <c r="A1061" s="20">
        <v>45789</v>
      </c>
      <c r="B1061">
        <v>11</v>
      </c>
      <c r="C1061" t="s">
        <v>255</v>
      </c>
      <c r="D1061">
        <v>9127</v>
      </c>
      <c r="E1061">
        <v>1781</v>
      </c>
      <c r="F1061" t="s">
        <v>74</v>
      </c>
    </row>
    <row r="1062" spans="1:6" x14ac:dyDescent="0.3">
      <c r="A1062" s="20">
        <v>45789</v>
      </c>
      <c r="B1062">
        <v>11</v>
      </c>
      <c r="C1062" t="s">
        <v>162</v>
      </c>
      <c r="D1062">
        <v>10229</v>
      </c>
      <c r="E1062">
        <v>1715</v>
      </c>
      <c r="F1062" t="s">
        <v>47</v>
      </c>
    </row>
    <row r="1063" spans="1:6" x14ac:dyDescent="0.3">
      <c r="A1063" s="20">
        <v>45789</v>
      </c>
      <c r="B1063">
        <v>11</v>
      </c>
      <c r="C1063" t="s">
        <v>162</v>
      </c>
      <c r="D1063">
        <v>12340</v>
      </c>
      <c r="E1063">
        <v>1319</v>
      </c>
      <c r="F1063" t="s">
        <v>44</v>
      </c>
    </row>
    <row r="1064" spans="1:6" x14ac:dyDescent="0.3">
      <c r="A1064" s="20">
        <v>45789</v>
      </c>
      <c r="B1064">
        <v>11</v>
      </c>
      <c r="C1064" t="s">
        <v>235</v>
      </c>
      <c r="D1064">
        <v>10107</v>
      </c>
      <c r="E1064">
        <v>1311</v>
      </c>
      <c r="F1064" t="s">
        <v>234</v>
      </c>
    </row>
    <row r="1065" spans="1:6" x14ac:dyDescent="0.3">
      <c r="A1065" s="20">
        <v>45789</v>
      </c>
      <c r="B1065">
        <v>12</v>
      </c>
      <c r="C1065" t="s">
        <v>73</v>
      </c>
      <c r="D1065">
        <v>0</v>
      </c>
      <c r="E1065">
        <v>0</v>
      </c>
      <c r="F1065" t="s">
        <v>39</v>
      </c>
    </row>
    <row r="1066" spans="1:6" x14ac:dyDescent="0.3">
      <c r="A1066" s="20">
        <v>45789</v>
      </c>
      <c r="B1066">
        <v>12</v>
      </c>
      <c r="C1066" t="s">
        <v>73</v>
      </c>
      <c r="D1066">
        <v>0</v>
      </c>
      <c r="E1066">
        <v>0</v>
      </c>
      <c r="F1066" t="s">
        <v>229</v>
      </c>
    </row>
    <row r="1067" spans="1:6" x14ac:dyDescent="0.3">
      <c r="A1067" s="20">
        <v>45789</v>
      </c>
      <c r="B1067">
        <v>12</v>
      </c>
      <c r="C1067" t="s">
        <v>73</v>
      </c>
      <c r="D1067">
        <v>0</v>
      </c>
      <c r="E1067">
        <v>0</v>
      </c>
      <c r="F1067" t="s">
        <v>46</v>
      </c>
    </row>
    <row r="1068" spans="1:6" x14ac:dyDescent="0.3">
      <c r="A1068" s="20">
        <v>45789</v>
      </c>
      <c r="B1068">
        <v>12</v>
      </c>
      <c r="C1068" t="s">
        <v>228</v>
      </c>
      <c r="D1068">
        <v>13533</v>
      </c>
      <c r="E1068">
        <v>2295</v>
      </c>
      <c r="F1068" t="s">
        <v>45</v>
      </c>
    </row>
    <row r="1069" spans="1:6" x14ac:dyDescent="0.3">
      <c r="A1069" s="20">
        <v>45789</v>
      </c>
      <c r="B1069">
        <v>12</v>
      </c>
      <c r="C1069" t="s">
        <v>249</v>
      </c>
      <c r="D1069">
        <v>13523</v>
      </c>
      <c r="E1069">
        <v>580</v>
      </c>
      <c r="F1069" t="s">
        <v>31</v>
      </c>
    </row>
    <row r="1070" spans="1:6" x14ac:dyDescent="0.3">
      <c r="A1070" s="20">
        <v>45789</v>
      </c>
      <c r="B1070">
        <v>12</v>
      </c>
      <c r="C1070" t="s">
        <v>52</v>
      </c>
      <c r="D1070">
        <v>35402</v>
      </c>
      <c r="E1070">
        <v>1556</v>
      </c>
      <c r="F1070" t="s">
        <v>31</v>
      </c>
    </row>
    <row r="1071" spans="1:6" x14ac:dyDescent="0.3">
      <c r="A1071" s="20">
        <v>45789</v>
      </c>
      <c r="B1071">
        <v>12</v>
      </c>
      <c r="C1071" t="s">
        <v>242</v>
      </c>
      <c r="D1071">
        <v>63047</v>
      </c>
      <c r="E1071">
        <v>7365</v>
      </c>
      <c r="F1071" t="s">
        <v>31</v>
      </c>
    </row>
    <row r="1072" spans="1:6" x14ac:dyDescent="0.3">
      <c r="A1072" s="20">
        <v>45789</v>
      </c>
      <c r="B1072">
        <v>12</v>
      </c>
      <c r="C1072" t="s">
        <v>236</v>
      </c>
      <c r="D1072">
        <v>819</v>
      </c>
      <c r="E1072">
        <v>147</v>
      </c>
      <c r="F1072" t="s">
        <v>42</v>
      </c>
    </row>
    <row r="1073" spans="1:6" x14ac:dyDescent="0.3">
      <c r="A1073" s="20">
        <v>45789</v>
      </c>
      <c r="B1073">
        <v>12</v>
      </c>
      <c r="C1073" t="s">
        <v>35</v>
      </c>
      <c r="D1073">
        <v>5051</v>
      </c>
      <c r="E1073">
        <v>419</v>
      </c>
      <c r="F1073" t="s">
        <v>31</v>
      </c>
    </row>
    <row r="1074" spans="1:6" x14ac:dyDescent="0.3">
      <c r="A1074" s="20">
        <v>45789</v>
      </c>
      <c r="B1074">
        <v>12</v>
      </c>
      <c r="C1074" t="s">
        <v>36</v>
      </c>
      <c r="D1074">
        <v>600</v>
      </c>
      <c r="E1074">
        <v>146</v>
      </c>
      <c r="F1074" t="s">
        <v>31</v>
      </c>
    </row>
    <row r="1075" spans="1:6" x14ac:dyDescent="0.3">
      <c r="A1075" s="20">
        <v>45789</v>
      </c>
      <c r="B1075">
        <v>12</v>
      </c>
      <c r="C1075" t="s">
        <v>71</v>
      </c>
      <c r="D1075">
        <v>8983</v>
      </c>
      <c r="E1075">
        <v>2807</v>
      </c>
      <c r="F1075" t="s">
        <v>32</v>
      </c>
    </row>
    <row r="1076" spans="1:6" x14ac:dyDescent="0.3">
      <c r="A1076" s="20">
        <v>45789</v>
      </c>
      <c r="B1076">
        <v>12</v>
      </c>
      <c r="C1076" t="s">
        <v>71</v>
      </c>
      <c r="D1076">
        <v>22972</v>
      </c>
      <c r="E1076">
        <v>2813</v>
      </c>
      <c r="F1076" t="s">
        <v>164</v>
      </c>
    </row>
    <row r="1077" spans="1:6" x14ac:dyDescent="0.3">
      <c r="A1077" s="20">
        <v>45789</v>
      </c>
      <c r="B1077">
        <v>12</v>
      </c>
      <c r="C1077" t="s">
        <v>262</v>
      </c>
      <c r="D1077">
        <v>18125</v>
      </c>
      <c r="E1077">
        <v>394</v>
      </c>
      <c r="F1077" t="s">
        <v>86</v>
      </c>
    </row>
    <row r="1078" spans="1:6" x14ac:dyDescent="0.3">
      <c r="A1078" s="20">
        <v>45789</v>
      </c>
      <c r="B1078">
        <v>12</v>
      </c>
      <c r="C1078" t="s">
        <v>250</v>
      </c>
      <c r="D1078">
        <v>10101</v>
      </c>
      <c r="E1078">
        <v>1458</v>
      </c>
      <c r="F1078" t="s">
        <v>164</v>
      </c>
    </row>
    <row r="1079" spans="1:6" x14ac:dyDescent="0.3">
      <c r="A1079" s="20">
        <v>45789</v>
      </c>
      <c r="B1079">
        <v>12</v>
      </c>
      <c r="C1079" t="s">
        <v>160</v>
      </c>
      <c r="D1079">
        <v>806</v>
      </c>
      <c r="E1079">
        <v>184</v>
      </c>
      <c r="F1079" t="s">
        <v>47</v>
      </c>
    </row>
    <row r="1080" spans="1:6" x14ac:dyDescent="0.3">
      <c r="A1080" s="20">
        <v>45789</v>
      </c>
      <c r="B1080">
        <v>12</v>
      </c>
      <c r="C1080" t="s">
        <v>160</v>
      </c>
      <c r="D1080">
        <v>279</v>
      </c>
      <c r="E1080">
        <v>71</v>
      </c>
      <c r="F1080" t="s">
        <v>44</v>
      </c>
    </row>
    <row r="1081" spans="1:6" x14ac:dyDescent="0.3">
      <c r="A1081" s="20">
        <v>45789</v>
      </c>
      <c r="B1081">
        <v>12</v>
      </c>
      <c r="C1081" t="s">
        <v>160</v>
      </c>
      <c r="D1081">
        <v>3206</v>
      </c>
      <c r="E1081">
        <v>263</v>
      </c>
      <c r="F1081" t="s">
        <v>234</v>
      </c>
    </row>
    <row r="1082" spans="1:6" x14ac:dyDescent="0.3">
      <c r="A1082" s="20">
        <v>45789</v>
      </c>
      <c r="B1082">
        <v>12</v>
      </c>
      <c r="C1082" t="s">
        <v>160</v>
      </c>
      <c r="D1082">
        <v>315</v>
      </c>
      <c r="E1082">
        <v>74</v>
      </c>
      <c r="F1082" t="s">
        <v>45</v>
      </c>
    </row>
    <row r="1083" spans="1:6" x14ac:dyDescent="0.3">
      <c r="A1083" s="20">
        <v>45789</v>
      </c>
      <c r="B1083">
        <v>12</v>
      </c>
      <c r="C1083" t="s">
        <v>125</v>
      </c>
      <c r="D1083">
        <v>113341</v>
      </c>
      <c r="E1083">
        <v>6583</v>
      </c>
      <c r="F1083" t="s">
        <v>38</v>
      </c>
    </row>
    <row r="1084" spans="1:6" x14ac:dyDescent="0.3">
      <c r="A1084" s="20">
        <v>45789</v>
      </c>
      <c r="B1084">
        <v>12</v>
      </c>
      <c r="C1084" t="s">
        <v>253</v>
      </c>
      <c r="D1084">
        <v>1061</v>
      </c>
      <c r="E1084">
        <v>229</v>
      </c>
      <c r="F1084" t="s">
        <v>47</v>
      </c>
    </row>
    <row r="1085" spans="1:6" x14ac:dyDescent="0.3">
      <c r="A1085" s="20">
        <v>45789</v>
      </c>
      <c r="B1085">
        <v>12</v>
      </c>
      <c r="C1085" t="s">
        <v>235</v>
      </c>
      <c r="D1085">
        <v>962</v>
      </c>
      <c r="E1085">
        <v>209</v>
      </c>
      <c r="F1085" t="s">
        <v>161</v>
      </c>
    </row>
    <row r="1086" spans="1:6" x14ac:dyDescent="0.3">
      <c r="A1086" s="20">
        <v>45789</v>
      </c>
      <c r="B1086">
        <v>13</v>
      </c>
      <c r="C1086" t="s">
        <v>73</v>
      </c>
      <c r="D1086">
        <v>0</v>
      </c>
      <c r="E1086">
        <v>0</v>
      </c>
      <c r="F1086" t="s">
        <v>74</v>
      </c>
    </row>
    <row r="1087" spans="1:6" x14ac:dyDescent="0.3">
      <c r="A1087" s="20">
        <v>45789</v>
      </c>
      <c r="B1087">
        <v>13</v>
      </c>
      <c r="C1087" t="s">
        <v>73</v>
      </c>
      <c r="D1087">
        <v>0</v>
      </c>
      <c r="E1087">
        <v>0</v>
      </c>
      <c r="F1087" t="s">
        <v>38</v>
      </c>
    </row>
    <row r="1088" spans="1:6" x14ac:dyDescent="0.3">
      <c r="A1088" s="20">
        <v>45789</v>
      </c>
      <c r="B1088">
        <v>13</v>
      </c>
      <c r="C1088" t="s">
        <v>73</v>
      </c>
      <c r="D1088">
        <v>0</v>
      </c>
      <c r="E1088">
        <v>0</v>
      </c>
      <c r="F1088" t="s">
        <v>75</v>
      </c>
    </row>
    <row r="1089" spans="1:6" x14ac:dyDescent="0.3">
      <c r="A1089" s="20">
        <v>45789</v>
      </c>
      <c r="B1089">
        <v>13</v>
      </c>
      <c r="C1089" t="s">
        <v>153</v>
      </c>
      <c r="D1089">
        <v>5080</v>
      </c>
      <c r="E1089">
        <v>213</v>
      </c>
      <c r="F1089" t="s">
        <v>248</v>
      </c>
    </row>
    <row r="1090" spans="1:6" x14ac:dyDescent="0.3">
      <c r="A1090" s="20">
        <v>45789</v>
      </c>
      <c r="B1090">
        <v>13</v>
      </c>
      <c r="C1090" t="s">
        <v>48</v>
      </c>
      <c r="D1090">
        <v>0</v>
      </c>
      <c r="E1090">
        <v>0</v>
      </c>
      <c r="F1090" t="s">
        <v>259</v>
      </c>
    </row>
    <row r="1091" spans="1:6" x14ac:dyDescent="0.3">
      <c r="A1091" s="20">
        <v>45789</v>
      </c>
      <c r="B1091">
        <v>13</v>
      </c>
      <c r="C1091" t="s">
        <v>243</v>
      </c>
      <c r="D1091">
        <v>182</v>
      </c>
      <c r="E1091">
        <v>14</v>
      </c>
      <c r="F1091" t="s">
        <v>42</v>
      </c>
    </row>
    <row r="1092" spans="1:6" x14ac:dyDescent="0.3">
      <c r="A1092" s="20">
        <v>45789</v>
      </c>
      <c r="B1092">
        <v>13</v>
      </c>
      <c r="C1092" t="s">
        <v>238</v>
      </c>
      <c r="D1092">
        <v>5435</v>
      </c>
      <c r="E1092">
        <v>721</v>
      </c>
      <c r="F1092" t="s">
        <v>229</v>
      </c>
    </row>
    <row r="1093" spans="1:6" x14ac:dyDescent="0.3">
      <c r="A1093" s="20">
        <v>45789</v>
      </c>
      <c r="B1093">
        <v>13</v>
      </c>
      <c r="C1093" t="s">
        <v>250</v>
      </c>
      <c r="D1093">
        <v>1049</v>
      </c>
      <c r="E1093">
        <v>109</v>
      </c>
      <c r="F1093" t="s">
        <v>86</v>
      </c>
    </row>
    <row r="1094" spans="1:6" x14ac:dyDescent="0.3">
      <c r="A1094" s="20">
        <v>45789</v>
      </c>
      <c r="B1094">
        <v>13</v>
      </c>
      <c r="C1094" t="s">
        <v>250</v>
      </c>
      <c r="D1094">
        <v>1049</v>
      </c>
      <c r="E1094">
        <v>102</v>
      </c>
      <c r="F1094" t="s">
        <v>75</v>
      </c>
    </row>
    <row r="1095" spans="1:6" x14ac:dyDescent="0.3">
      <c r="A1095" s="20">
        <v>45789</v>
      </c>
      <c r="B1095">
        <v>13</v>
      </c>
      <c r="C1095" t="s">
        <v>160</v>
      </c>
      <c r="D1095">
        <v>18</v>
      </c>
      <c r="E1095">
        <v>8</v>
      </c>
      <c r="F1095" t="s">
        <v>72</v>
      </c>
    </row>
    <row r="1096" spans="1:6" x14ac:dyDescent="0.3">
      <c r="A1096" s="20">
        <v>45789</v>
      </c>
      <c r="B1096">
        <v>13</v>
      </c>
      <c r="C1096" t="s">
        <v>51</v>
      </c>
      <c r="D1096">
        <v>70925</v>
      </c>
      <c r="E1096">
        <v>3064</v>
      </c>
      <c r="F1096" t="s">
        <v>38</v>
      </c>
    </row>
    <row r="1097" spans="1:6" x14ac:dyDescent="0.3">
      <c r="A1097" s="20">
        <v>45789</v>
      </c>
      <c r="B1097">
        <v>13</v>
      </c>
      <c r="C1097" t="s">
        <v>240</v>
      </c>
      <c r="D1097">
        <v>19211</v>
      </c>
      <c r="E1097">
        <v>587</v>
      </c>
      <c r="F1097" t="s">
        <v>38</v>
      </c>
    </row>
    <row r="1098" spans="1:6" x14ac:dyDescent="0.3">
      <c r="A1098" s="20">
        <v>45789</v>
      </c>
      <c r="B1098">
        <v>14</v>
      </c>
      <c r="C1098" t="s">
        <v>156</v>
      </c>
      <c r="D1098">
        <v>1571</v>
      </c>
      <c r="E1098">
        <v>337</v>
      </c>
      <c r="F1098" t="s">
        <v>72</v>
      </c>
    </row>
    <row r="1099" spans="1:6" x14ac:dyDescent="0.3">
      <c r="A1099" s="20">
        <v>45789</v>
      </c>
      <c r="B1099">
        <v>14</v>
      </c>
      <c r="C1099" t="s">
        <v>67</v>
      </c>
      <c r="D1099">
        <v>11556</v>
      </c>
      <c r="E1099">
        <v>592</v>
      </c>
      <c r="F1099" t="s">
        <v>31</v>
      </c>
    </row>
    <row r="1100" spans="1:6" x14ac:dyDescent="0.3">
      <c r="A1100" s="20">
        <v>45789</v>
      </c>
      <c r="B1100">
        <v>14</v>
      </c>
      <c r="C1100" t="s">
        <v>158</v>
      </c>
      <c r="D1100">
        <v>11407</v>
      </c>
      <c r="E1100">
        <v>651</v>
      </c>
      <c r="F1100" t="s">
        <v>31</v>
      </c>
    </row>
    <row r="1101" spans="1:6" x14ac:dyDescent="0.3">
      <c r="A1101" s="20">
        <v>45789</v>
      </c>
      <c r="B1101">
        <v>14</v>
      </c>
      <c r="C1101" t="s">
        <v>52</v>
      </c>
      <c r="D1101">
        <v>25</v>
      </c>
      <c r="E1101">
        <v>25</v>
      </c>
      <c r="F1101" t="s">
        <v>259</v>
      </c>
    </row>
    <row r="1102" spans="1:6" x14ac:dyDescent="0.3">
      <c r="A1102" s="20">
        <v>45789</v>
      </c>
      <c r="B1102">
        <v>14</v>
      </c>
      <c r="C1102" t="s">
        <v>239</v>
      </c>
      <c r="D1102">
        <v>80108</v>
      </c>
      <c r="E1102">
        <v>6677</v>
      </c>
      <c r="F1102" t="s">
        <v>31</v>
      </c>
    </row>
    <row r="1103" spans="1:6" x14ac:dyDescent="0.3">
      <c r="A1103" s="20">
        <v>45789</v>
      </c>
      <c r="B1103">
        <v>14</v>
      </c>
      <c r="C1103" t="s">
        <v>232</v>
      </c>
      <c r="D1103">
        <v>3743</v>
      </c>
      <c r="E1103">
        <v>328</v>
      </c>
      <c r="F1103" t="s">
        <v>39</v>
      </c>
    </row>
    <row r="1104" spans="1:6" x14ac:dyDescent="0.3">
      <c r="A1104" s="20">
        <v>45789</v>
      </c>
      <c r="B1104">
        <v>14</v>
      </c>
      <c r="C1104" t="s">
        <v>255</v>
      </c>
      <c r="D1104">
        <v>13750</v>
      </c>
      <c r="E1104">
        <v>1875</v>
      </c>
      <c r="F1104" t="s">
        <v>39</v>
      </c>
    </row>
    <row r="1105" spans="1:6" x14ac:dyDescent="0.3">
      <c r="A1105" s="20">
        <v>45789</v>
      </c>
      <c r="B1105">
        <v>14</v>
      </c>
      <c r="C1105" t="s">
        <v>255</v>
      </c>
      <c r="D1105">
        <v>9030</v>
      </c>
      <c r="E1105">
        <v>1566</v>
      </c>
      <c r="F1105" t="s">
        <v>74</v>
      </c>
    </row>
    <row r="1106" spans="1:6" x14ac:dyDescent="0.3">
      <c r="A1106" s="20">
        <v>45789</v>
      </c>
      <c r="B1106">
        <v>14</v>
      </c>
      <c r="C1106" t="s">
        <v>162</v>
      </c>
      <c r="D1106">
        <v>11717</v>
      </c>
      <c r="E1106">
        <v>1070</v>
      </c>
      <c r="F1106" t="s">
        <v>44</v>
      </c>
    </row>
    <row r="1107" spans="1:6" x14ac:dyDescent="0.3">
      <c r="A1107" s="20">
        <v>45789</v>
      </c>
      <c r="B1107">
        <v>14</v>
      </c>
      <c r="C1107" t="s">
        <v>37</v>
      </c>
      <c r="D1107">
        <v>1932</v>
      </c>
      <c r="E1107">
        <v>289</v>
      </c>
      <c r="F1107" t="s">
        <v>38</v>
      </c>
    </row>
    <row r="1108" spans="1:6" x14ac:dyDescent="0.3">
      <c r="A1108" s="20">
        <v>45789</v>
      </c>
      <c r="B1108">
        <v>14</v>
      </c>
      <c r="C1108" t="s">
        <v>235</v>
      </c>
      <c r="D1108">
        <v>8867</v>
      </c>
      <c r="E1108">
        <v>1076</v>
      </c>
      <c r="F1108" t="s">
        <v>234</v>
      </c>
    </row>
    <row r="1109" spans="1:6" x14ac:dyDescent="0.3">
      <c r="A1109" s="20">
        <v>45789</v>
      </c>
      <c r="B1109">
        <v>15</v>
      </c>
      <c r="C1109" t="s">
        <v>73</v>
      </c>
      <c r="D1109">
        <v>0</v>
      </c>
      <c r="E1109">
        <v>0</v>
      </c>
      <c r="F1109" t="s">
        <v>39</v>
      </c>
    </row>
    <row r="1110" spans="1:6" x14ac:dyDescent="0.3">
      <c r="A1110" s="20">
        <v>45789</v>
      </c>
      <c r="B1110">
        <v>15</v>
      </c>
      <c r="C1110" t="s">
        <v>73</v>
      </c>
      <c r="D1110">
        <v>0</v>
      </c>
      <c r="E1110">
        <v>0</v>
      </c>
      <c r="F1110" t="s">
        <v>229</v>
      </c>
    </row>
    <row r="1111" spans="1:6" x14ac:dyDescent="0.3">
      <c r="A1111" s="20">
        <v>45789</v>
      </c>
      <c r="B1111">
        <v>15</v>
      </c>
      <c r="C1111" t="s">
        <v>73</v>
      </c>
      <c r="D1111">
        <v>0</v>
      </c>
      <c r="E1111">
        <v>0</v>
      </c>
      <c r="F1111" t="s">
        <v>46</v>
      </c>
    </row>
    <row r="1112" spans="1:6" x14ac:dyDescent="0.3">
      <c r="A1112" s="20">
        <v>45789</v>
      </c>
      <c r="B1112">
        <v>15</v>
      </c>
      <c r="C1112" t="s">
        <v>228</v>
      </c>
      <c r="D1112">
        <v>14049</v>
      </c>
      <c r="E1112">
        <v>2145</v>
      </c>
      <c r="F1112" t="s">
        <v>45</v>
      </c>
    </row>
    <row r="1113" spans="1:6" x14ac:dyDescent="0.3">
      <c r="A1113" s="20">
        <v>45789</v>
      </c>
      <c r="B1113">
        <v>15</v>
      </c>
      <c r="C1113" t="s">
        <v>228</v>
      </c>
      <c r="D1113">
        <v>774</v>
      </c>
      <c r="E1113">
        <v>97</v>
      </c>
      <c r="F1113" t="s">
        <v>43</v>
      </c>
    </row>
    <row r="1114" spans="1:6" x14ac:dyDescent="0.3">
      <c r="A1114" s="20">
        <v>45789</v>
      </c>
      <c r="B1114">
        <v>15</v>
      </c>
      <c r="C1114" t="s">
        <v>52</v>
      </c>
      <c r="D1114">
        <v>36921</v>
      </c>
      <c r="E1114">
        <v>1535</v>
      </c>
      <c r="F1114" t="s">
        <v>31</v>
      </c>
    </row>
    <row r="1115" spans="1:6" x14ac:dyDescent="0.3">
      <c r="A1115" s="20">
        <v>45789</v>
      </c>
      <c r="B1115">
        <v>15</v>
      </c>
      <c r="C1115" t="s">
        <v>236</v>
      </c>
      <c r="D1115">
        <v>714</v>
      </c>
      <c r="E1115">
        <v>165</v>
      </c>
      <c r="F1115" t="s">
        <v>42</v>
      </c>
    </row>
    <row r="1116" spans="1:6" x14ac:dyDescent="0.3">
      <c r="A1116" s="20">
        <v>45789</v>
      </c>
      <c r="B1116">
        <v>15</v>
      </c>
      <c r="C1116" t="s">
        <v>35</v>
      </c>
      <c r="D1116">
        <v>4553</v>
      </c>
      <c r="E1116">
        <v>256</v>
      </c>
      <c r="F1116" t="s">
        <v>31</v>
      </c>
    </row>
    <row r="1117" spans="1:6" x14ac:dyDescent="0.3">
      <c r="A1117" s="20">
        <v>45789</v>
      </c>
      <c r="B1117">
        <v>15</v>
      </c>
      <c r="C1117" t="s">
        <v>36</v>
      </c>
      <c r="D1117">
        <v>404</v>
      </c>
      <c r="E1117">
        <v>98</v>
      </c>
      <c r="F1117" t="s">
        <v>31</v>
      </c>
    </row>
    <row r="1118" spans="1:6" x14ac:dyDescent="0.3">
      <c r="A1118" s="20">
        <v>45789</v>
      </c>
      <c r="B1118">
        <v>15</v>
      </c>
      <c r="C1118" t="s">
        <v>71</v>
      </c>
      <c r="D1118">
        <v>5809</v>
      </c>
      <c r="E1118">
        <v>2398</v>
      </c>
      <c r="F1118" t="s">
        <v>32</v>
      </c>
    </row>
    <row r="1119" spans="1:6" x14ac:dyDescent="0.3">
      <c r="A1119" s="20">
        <v>45789</v>
      </c>
      <c r="B1119">
        <v>15</v>
      </c>
      <c r="C1119" t="s">
        <v>71</v>
      </c>
      <c r="D1119">
        <v>6477</v>
      </c>
      <c r="E1119">
        <v>665</v>
      </c>
      <c r="F1119" t="s">
        <v>229</v>
      </c>
    </row>
    <row r="1120" spans="1:6" x14ac:dyDescent="0.3">
      <c r="A1120" s="20">
        <v>45789</v>
      </c>
      <c r="B1120">
        <v>15</v>
      </c>
      <c r="C1120" t="s">
        <v>71</v>
      </c>
      <c r="D1120">
        <v>16495</v>
      </c>
      <c r="E1120">
        <v>1883</v>
      </c>
      <c r="F1120" t="s">
        <v>164</v>
      </c>
    </row>
    <row r="1121" spans="1:6" x14ac:dyDescent="0.3">
      <c r="A1121" s="20">
        <v>45789</v>
      </c>
      <c r="B1121">
        <v>15</v>
      </c>
      <c r="C1121" t="s">
        <v>233</v>
      </c>
      <c r="D1121">
        <v>3134</v>
      </c>
      <c r="E1121">
        <v>458</v>
      </c>
      <c r="F1121" t="s">
        <v>85</v>
      </c>
    </row>
    <row r="1122" spans="1:6" x14ac:dyDescent="0.3">
      <c r="A1122" s="20">
        <v>45789</v>
      </c>
      <c r="B1122">
        <v>15</v>
      </c>
      <c r="C1122" t="s">
        <v>262</v>
      </c>
      <c r="D1122">
        <v>19745</v>
      </c>
      <c r="E1122">
        <v>385</v>
      </c>
      <c r="F1122" t="s">
        <v>86</v>
      </c>
    </row>
    <row r="1123" spans="1:6" x14ac:dyDescent="0.3">
      <c r="A1123" s="20">
        <v>45789</v>
      </c>
      <c r="B1123">
        <v>15</v>
      </c>
      <c r="C1123" t="s">
        <v>160</v>
      </c>
      <c r="D1123">
        <v>223</v>
      </c>
      <c r="E1123">
        <v>54</v>
      </c>
      <c r="F1123" t="s">
        <v>44</v>
      </c>
    </row>
    <row r="1124" spans="1:6" x14ac:dyDescent="0.3">
      <c r="A1124" s="20">
        <v>45789</v>
      </c>
      <c r="B1124">
        <v>15</v>
      </c>
      <c r="C1124" t="s">
        <v>160</v>
      </c>
      <c r="D1124">
        <v>15515</v>
      </c>
      <c r="E1124">
        <v>1791</v>
      </c>
      <c r="F1124" t="s">
        <v>234</v>
      </c>
    </row>
    <row r="1125" spans="1:6" x14ac:dyDescent="0.3">
      <c r="A1125" s="20">
        <v>45789</v>
      </c>
      <c r="B1125">
        <v>15</v>
      </c>
      <c r="C1125" t="s">
        <v>160</v>
      </c>
      <c r="D1125">
        <v>367</v>
      </c>
      <c r="E1125">
        <v>77</v>
      </c>
      <c r="F1125" t="s">
        <v>45</v>
      </c>
    </row>
    <row r="1126" spans="1:6" x14ac:dyDescent="0.3">
      <c r="A1126" s="20">
        <v>45789</v>
      </c>
      <c r="B1126">
        <v>15</v>
      </c>
      <c r="C1126" t="s">
        <v>125</v>
      </c>
      <c r="D1126">
        <v>110689</v>
      </c>
      <c r="E1126">
        <v>5971</v>
      </c>
      <c r="F1126" t="s">
        <v>38</v>
      </c>
    </row>
    <row r="1127" spans="1:6" x14ac:dyDescent="0.3">
      <c r="A1127" s="20">
        <v>45789</v>
      </c>
      <c r="B1127">
        <v>15</v>
      </c>
      <c r="C1127" t="s">
        <v>253</v>
      </c>
      <c r="D1127">
        <v>1000</v>
      </c>
      <c r="E1127">
        <v>243</v>
      </c>
      <c r="F1127" t="s">
        <v>47</v>
      </c>
    </row>
    <row r="1128" spans="1:6" x14ac:dyDescent="0.3">
      <c r="A1128" s="20">
        <v>45789</v>
      </c>
      <c r="B1128">
        <v>15</v>
      </c>
      <c r="C1128" t="s">
        <v>253</v>
      </c>
      <c r="D1128">
        <v>765</v>
      </c>
      <c r="E1128">
        <v>174</v>
      </c>
      <c r="F1128" t="s">
        <v>44</v>
      </c>
    </row>
    <row r="1129" spans="1:6" x14ac:dyDescent="0.3">
      <c r="A1129" s="20">
        <v>45789</v>
      </c>
      <c r="B1129">
        <v>15</v>
      </c>
      <c r="C1129" t="s">
        <v>235</v>
      </c>
      <c r="D1129">
        <v>790</v>
      </c>
      <c r="E1129">
        <v>164</v>
      </c>
      <c r="F1129" t="s">
        <v>161</v>
      </c>
    </row>
    <row r="1130" spans="1:6" x14ac:dyDescent="0.3">
      <c r="A1130" s="20">
        <v>45789</v>
      </c>
      <c r="B1130">
        <v>16</v>
      </c>
      <c r="C1130" t="s">
        <v>73</v>
      </c>
      <c r="D1130">
        <v>10</v>
      </c>
      <c r="E1130">
        <v>10</v>
      </c>
      <c r="F1130" t="s">
        <v>31</v>
      </c>
    </row>
    <row r="1131" spans="1:6" x14ac:dyDescent="0.3">
      <c r="A1131" s="20">
        <v>45789</v>
      </c>
      <c r="B1131">
        <v>16</v>
      </c>
      <c r="C1131" t="s">
        <v>73</v>
      </c>
      <c r="D1131">
        <v>0</v>
      </c>
      <c r="E1131">
        <v>0</v>
      </c>
      <c r="F1131" t="s">
        <v>74</v>
      </c>
    </row>
    <row r="1132" spans="1:6" x14ac:dyDescent="0.3">
      <c r="A1132" s="20">
        <v>45789</v>
      </c>
      <c r="B1132">
        <v>16</v>
      </c>
      <c r="C1132" t="s">
        <v>73</v>
      </c>
      <c r="D1132">
        <v>0</v>
      </c>
      <c r="E1132">
        <v>0</v>
      </c>
      <c r="F1132" t="s">
        <v>38</v>
      </c>
    </row>
    <row r="1133" spans="1:6" x14ac:dyDescent="0.3">
      <c r="A1133" s="20">
        <v>45789</v>
      </c>
      <c r="B1133">
        <v>16</v>
      </c>
      <c r="C1133" t="s">
        <v>73</v>
      </c>
      <c r="D1133">
        <v>0</v>
      </c>
      <c r="E1133">
        <v>0</v>
      </c>
      <c r="F1133" t="s">
        <v>75</v>
      </c>
    </row>
    <row r="1134" spans="1:6" x14ac:dyDescent="0.3">
      <c r="A1134" s="20">
        <v>45789</v>
      </c>
      <c r="B1134">
        <v>16</v>
      </c>
      <c r="C1134" t="s">
        <v>153</v>
      </c>
      <c r="D1134">
        <v>4279</v>
      </c>
      <c r="E1134">
        <v>189</v>
      </c>
      <c r="F1134" t="s">
        <v>248</v>
      </c>
    </row>
    <row r="1135" spans="1:6" x14ac:dyDescent="0.3">
      <c r="A1135" s="20">
        <v>45789</v>
      </c>
      <c r="B1135">
        <v>16</v>
      </c>
      <c r="C1135" t="s">
        <v>243</v>
      </c>
      <c r="D1135">
        <v>279</v>
      </c>
      <c r="E1135">
        <v>18</v>
      </c>
      <c r="F1135" t="s">
        <v>42</v>
      </c>
    </row>
    <row r="1136" spans="1:6" x14ac:dyDescent="0.3">
      <c r="A1136" s="20">
        <v>45789</v>
      </c>
      <c r="B1136">
        <v>16</v>
      </c>
      <c r="C1136" t="s">
        <v>152</v>
      </c>
      <c r="D1136">
        <v>3047</v>
      </c>
      <c r="E1136">
        <v>309</v>
      </c>
      <c r="F1136" t="s">
        <v>138</v>
      </c>
    </row>
    <row r="1137" spans="1:6" x14ac:dyDescent="0.3">
      <c r="A1137" s="20">
        <v>45789</v>
      </c>
      <c r="B1137">
        <v>16</v>
      </c>
      <c r="C1137" t="s">
        <v>233</v>
      </c>
      <c r="D1137">
        <v>14697</v>
      </c>
      <c r="E1137">
        <v>2293</v>
      </c>
      <c r="F1137" t="s">
        <v>34</v>
      </c>
    </row>
    <row r="1138" spans="1:6" x14ac:dyDescent="0.3">
      <c r="A1138" s="20">
        <v>45789</v>
      </c>
      <c r="B1138">
        <v>16</v>
      </c>
      <c r="C1138" t="s">
        <v>238</v>
      </c>
      <c r="D1138">
        <v>5008</v>
      </c>
      <c r="E1138">
        <v>671</v>
      </c>
      <c r="F1138" t="s">
        <v>229</v>
      </c>
    </row>
    <row r="1139" spans="1:6" x14ac:dyDescent="0.3">
      <c r="A1139" s="20">
        <v>45789</v>
      </c>
      <c r="B1139">
        <v>16</v>
      </c>
      <c r="C1139" t="s">
        <v>250</v>
      </c>
      <c r="D1139">
        <v>799</v>
      </c>
      <c r="E1139">
        <v>102</v>
      </c>
      <c r="F1139" t="s">
        <v>86</v>
      </c>
    </row>
    <row r="1140" spans="1:6" x14ac:dyDescent="0.3">
      <c r="A1140" s="20">
        <v>45789</v>
      </c>
      <c r="B1140">
        <v>16</v>
      </c>
      <c r="C1140" t="s">
        <v>250</v>
      </c>
      <c r="D1140">
        <v>960</v>
      </c>
      <c r="E1140">
        <v>103</v>
      </c>
      <c r="F1140" t="s">
        <v>75</v>
      </c>
    </row>
    <row r="1141" spans="1:6" x14ac:dyDescent="0.3">
      <c r="A1141" s="20">
        <v>45789</v>
      </c>
      <c r="B1141">
        <v>16</v>
      </c>
      <c r="C1141" t="s">
        <v>160</v>
      </c>
      <c r="D1141">
        <v>3</v>
      </c>
      <c r="E1141">
        <v>0</v>
      </c>
      <c r="F1141" t="s">
        <v>72</v>
      </c>
    </row>
    <row r="1142" spans="1:6" x14ac:dyDescent="0.3">
      <c r="A1142" s="20">
        <v>45789</v>
      </c>
      <c r="B1142">
        <v>16</v>
      </c>
      <c r="C1142" t="s">
        <v>51</v>
      </c>
      <c r="D1142">
        <v>54806</v>
      </c>
      <c r="E1142">
        <v>1676</v>
      </c>
      <c r="F1142" t="s">
        <v>38</v>
      </c>
    </row>
    <row r="1143" spans="1:6" x14ac:dyDescent="0.3">
      <c r="A1143" s="20">
        <v>45789</v>
      </c>
      <c r="B1143">
        <v>16</v>
      </c>
      <c r="C1143" t="s">
        <v>240</v>
      </c>
      <c r="D1143">
        <v>18752</v>
      </c>
      <c r="E1143">
        <v>543</v>
      </c>
      <c r="F1143" t="s">
        <v>38</v>
      </c>
    </row>
    <row r="1144" spans="1:6" x14ac:dyDescent="0.3">
      <c r="A1144" s="20">
        <v>45789</v>
      </c>
      <c r="B1144">
        <v>17</v>
      </c>
      <c r="C1144" t="s">
        <v>156</v>
      </c>
      <c r="D1144">
        <v>1803</v>
      </c>
      <c r="E1144">
        <v>300</v>
      </c>
      <c r="F1144" t="s">
        <v>72</v>
      </c>
    </row>
    <row r="1145" spans="1:6" x14ac:dyDescent="0.3">
      <c r="A1145" s="20">
        <v>45789</v>
      </c>
      <c r="B1145">
        <v>17</v>
      </c>
      <c r="C1145" t="s">
        <v>67</v>
      </c>
      <c r="D1145">
        <v>9214</v>
      </c>
      <c r="E1145">
        <v>396</v>
      </c>
      <c r="F1145" t="s">
        <v>31</v>
      </c>
    </row>
    <row r="1146" spans="1:6" x14ac:dyDescent="0.3">
      <c r="A1146" s="20">
        <v>45789</v>
      </c>
      <c r="B1146">
        <v>17</v>
      </c>
      <c r="C1146" t="s">
        <v>52</v>
      </c>
      <c r="D1146">
        <v>27</v>
      </c>
      <c r="E1146">
        <v>27</v>
      </c>
      <c r="F1146" t="s">
        <v>259</v>
      </c>
    </row>
    <row r="1147" spans="1:6" x14ac:dyDescent="0.3">
      <c r="A1147" s="20">
        <v>45789</v>
      </c>
      <c r="B1147">
        <v>17</v>
      </c>
      <c r="C1147" t="s">
        <v>239</v>
      </c>
      <c r="D1147">
        <v>87096</v>
      </c>
      <c r="E1147">
        <v>7511</v>
      </c>
      <c r="F1147" t="s">
        <v>31</v>
      </c>
    </row>
    <row r="1148" spans="1:6" x14ac:dyDescent="0.3">
      <c r="A1148" s="20">
        <v>45789</v>
      </c>
      <c r="B1148">
        <v>17</v>
      </c>
      <c r="C1148" t="s">
        <v>238</v>
      </c>
      <c r="D1148">
        <v>9201</v>
      </c>
      <c r="E1148">
        <v>885</v>
      </c>
      <c r="F1148" t="s">
        <v>32</v>
      </c>
    </row>
    <row r="1149" spans="1:6" x14ac:dyDescent="0.3">
      <c r="A1149" s="20">
        <v>45789</v>
      </c>
      <c r="B1149">
        <v>17</v>
      </c>
      <c r="C1149" t="s">
        <v>255</v>
      </c>
      <c r="D1149">
        <v>12264</v>
      </c>
      <c r="E1149">
        <v>1769</v>
      </c>
      <c r="F1149" t="s">
        <v>39</v>
      </c>
    </row>
    <row r="1150" spans="1:6" x14ac:dyDescent="0.3">
      <c r="A1150" s="20">
        <v>45789</v>
      </c>
      <c r="B1150">
        <v>17</v>
      </c>
      <c r="C1150" t="s">
        <v>255</v>
      </c>
      <c r="D1150">
        <v>9062</v>
      </c>
      <c r="E1150">
        <v>1606</v>
      </c>
      <c r="F1150" t="s">
        <v>74</v>
      </c>
    </row>
    <row r="1151" spans="1:6" x14ac:dyDescent="0.3">
      <c r="A1151" s="20">
        <v>45789</v>
      </c>
      <c r="B1151">
        <v>17</v>
      </c>
      <c r="C1151" t="s">
        <v>155</v>
      </c>
      <c r="D1151">
        <v>3</v>
      </c>
      <c r="E1151">
        <v>0</v>
      </c>
      <c r="F1151" t="s">
        <v>32</v>
      </c>
    </row>
    <row r="1152" spans="1:6" x14ac:dyDescent="0.3">
      <c r="A1152" s="20">
        <v>45789</v>
      </c>
      <c r="B1152">
        <v>17</v>
      </c>
      <c r="C1152" t="s">
        <v>250</v>
      </c>
      <c r="D1152">
        <v>6998</v>
      </c>
      <c r="E1152">
        <v>1161</v>
      </c>
      <c r="F1152" t="s">
        <v>252</v>
      </c>
    </row>
    <row r="1153" spans="1:6" x14ac:dyDescent="0.3">
      <c r="A1153" s="20">
        <v>45789</v>
      </c>
      <c r="B1153">
        <v>17</v>
      </c>
      <c r="C1153" t="s">
        <v>235</v>
      </c>
      <c r="D1153">
        <v>7754</v>
      </c>
      <c r="E1153">
        <v>805</v>
      </c>
      <c r="F1153" t="s">
        <v>234</v>
      </c>
    </row>
    <row r="1154" spans="1:6" x14ac:dyDescent="0.3">
      <c r="A1154" s="20">
        <v>45789</v>
      </c>
      <c r="B1154">
        <v>18</v>
      </c>
      <c r="C1154" t="s">
        <v>73</v>
      </c>
      <c r="D1154">
        <v>0</v>
      </c>
      <c r="E1154">
        <v>0</v>
      </c>
      <c r="F1154" t="s">
        <v>39</v>
      </c>
    </row>
    <row r="1155" spans="1:6" x14ac:dyDescent="0.3">
      <c r="A1155" s="20">
        <v>45789</v>
      </c>
      <c r="B1155">
        <v>18</v>
      </c>
      <c r="C1155" t="s">
        <v>73</v>
      </c>
      <c r="D1155">
        <v>0</v>
      </c>
      <c r="E1155">
        <v>0</v>
      </c>
      <c r="F1155" t="s">
        <v>231</v>
      </c>
    </row>
    <row r="1156" spans="1:6" x14ac:dyDescent="0.3">
      <c r="A1156" s="20">
        <v>45789</v>
      </c>
      <c r="B1156">
        <v>18</v>
      </c>
      <c r="C1156" t="s">
        <v>73</v>
      </c>
      <c r="D1156">
        <v>0</v>
      </c>
      <c r="E1156">
        <v>0</v>
      </c>
      <c r="F1156" t="s">
        <v>46</v>
      </c>
    </row>
    <row r="1157" spans="1:6" x14ac:dyDescent="0.3">
      <c r="A1157" s="20">
        <v>45789</v>
      </c>
      <c r="B1157">
        <v>18</v>
      </c>
      <c r="C1157" t="s">
        <v>228</v>
      </c>
      <c r="D1157">
        <v>12011</v>
      </c>
      <c r="E1157">
        <v>1802</v>
      </c>
      <c r="F1157" t="s">
        <v>45</v>
      </c>
    </row>
    <row r="1158" spans="1:6" x14ac:dyDescent="0.3">
      <c r="A1158" s="20">
        <v>45789</v>
      </c>
      <c r="B1158">
        <v>18</v>
      </c>
      <c r="C1158" t="s">
        <v>228</v>
      </c>
      <c r="D1158">
        <v>416</v>
      </c>
      <c r="E1158">
        <v>43</v>
      </c>
      <c r="F1158" t="s">
        <v>43</v>
      </c>
    </row>
    <row r="1159" spans="1:6" x14ac:dyDescent="0.3">
      <c r="A1159" s="20">
        <v>45789</v>
      </c>
      <c r="B1159">
        <v>18</v>
      </c>
      <c r="C1159" t="s">
        <v>230</v>
      </c>
      <c r="D1159">
        <v>32561</v>
      </c>
      <c r="E1159">
        <v>3186</v>
      </c>
      <c r="F1159" t="s">
        <v>31</v>
      </c>
    </row>
    <row r="1160" spans="1:6" x14ac:dyDescent="0.3">
      <c r="A1160" s="20">
        <v>45789</v>
      </c>
      <c r="B1160">
        <v>18</v>
      </c>
      <c r="C1160" t="s">
        <v>52</v>
      </c>
      <c r="D1160">
        <v>47108</v>
      </c>
      <c r="E1160">
        <v>1941</v>
      </c>
      <c r="F1160" t="s">
        <v>31</v>
      </c>
    </row>
    <row r="1161" spans="1:6" x14ac:dyDescent="0.3">
      <c r="A1161" s="20">
        <v>45789</v>
      </c>
      <c r="B1161">
        <v>18</v>
      </c>
      <c r="C1161" t="s">
        <v>35</v>
      </c>
      <c r="D1161">
        <v>2294</v>
      </c>
      <c r="E1161">
        <v>135</v>
      </c>
      <c r="F1161" t="s">
        <v>31</v>
      </c>
    </row>
    <row r="1162" spans="1:6" x14ac:dyDescent="0.3">
      <c r="A1162" s="20">
        <v>45789</v>
      </c>
      <c r="B1162">
        <v>18</v>
      </c>
      <c r="C1162" t="s">
        <v>53</v>
      </c>
      <c r="D1162">
        <v>1001</v>
      </c>
      <c r="E1162">
        <v>49</v>
      </c>
      <c r="F1162" t="s">
        <v>31</v>
      </c>
    </row>
    <row r="1163" spans="1:6" x14ac:dyDescent="0.3">
      <c r="A1163" s="20">
        <v>45789</v>
      </c>
      <c r="B1163">
        <v>18</v>
      </c>
      <c r="C1163" t="s">
        <v>36</v>
      </c>
      <c r="D1163">
        <v>28</v>
      </c>
      <c r="E1163">
        <v>1</v>
      </c>
      <c r="F1163" t="s">
        <v>31</v>
      </c>
    </row>
    <row r="1164" spans="1:6" x14ac:dyDescent="0.3">
      <c r="A1164" s="20">
        <v>45789</v>
      </c>
      <c r="B1164">
        <v>18</v>
      </c>
      <c r="C1164" t="s">
        <v>71</v>
      </c>
      <c r="D1164">
        <v>3258</v>
      </c>
      <c r="E1164">
        <v>387</v>
      </c>
      <c r="F1164" t="s">
        <v>32</v>
      </c>
    </row>
    <row r="1165" spans="1:6" x14ac:dyDescent="0.3">
      <c r="A1165" s="20">
        <v>45789</v>
      </c>
      <c r="B1165">
        <v>18</v>
      </c>
      <c r="C1165" t="s">
        <v>71</v>
      </c>
      <c r="D1165">
        <v>11238</v>
      </c>
      <c r="E1165">
        <v>1556</v>
      </c>
      <c r="F1165" t="s">
        <v>164</v>
      </c>
    </row>
    <row r="1166" spans="1:6" x14ac:dyDescent="0.3">
      <c r="A1166" s="20">
        <v>45789</v>
      </c>
      <c r="B1166">
        <v>18</v>
      </c>
      <c r="C1166" t="s">
        <v>233</v>
      </c>
      <c r="D1166">
        <v>2429</v>
      </c>
      <c r="E1166">
        <v>443</v>
      </c>
      <c r="F1166" t="s">
        <v>85</v>
      </c>
    </row>
    <row r="1167" spans="1:6" x14ac:dyDescent="0.3">
      <c r="A1167" s="20">
        <v>45789</v>
      </c>
      <c r="B1167">
        <v>18</v>
      </c>
      <c r="C1167" t="s">
        <v>160</v>
      </c>
      <c r="D1167">
        <v>4049</v>
      </c>
      <c r="E1167">
        <v>710</v>
      </c>
      <c r="F1167" t="s">
        <v>229</v>
      </c>
    </row>
    <row r="1168" spans="1:6" x14ac:dyDescent="0.3">
      <c r="A1168" s="20">
        <v>45789</v>
      </c>
      <c r="B1168">
        <v>18</v>
      </c>
      <c r="C1168" t="s">
        <v>160</v>
      </c>
      <c r="D1168">
        <v>100</v>
      </c>
      <c r="E1168">
        <v>28</v>
      </c>
      <c r="F1168" t="s">
        <v>234</v>
      </c>
    </row>
    <row r="1169" spans="1:6" x14ac:dyDescent="0.3">
      <c r="A1169" s="20">
        <v>45789</v>
      </c>
      <c r="B1169">
        <v>18</v>
      </c>
      <c r="C1169" t="s">
        <v>125</v>
      </c>
      <c r="D1169">
        <v>111553</v>
      </c>
      <c r="E1169">
        <v>5067</v>
      </c>
      <c r="F1169" t="s">
        <v>38</v>
      </c>
    </row>
    <row r="1170" spans="1:6" x14ac:dyDescent="0.3">
      <c r="A1170" s="20">
        <v>45789</v>
      </c>
      <c r="B1170">
        <v>18</v>
      </c>
      <c r="C1170" t="s">
        <v>40</v>
      </c>
      <c r="D1170">
        <v>106020</v>
      </c>
      <c r="E1170">
        <v>5011</v>
      </c>
      <c r="F1170" t="s">
        <v>38</v>
      </c>
    </row>
    <row r="1171" spans="1:6" x14ac:dyDescent="0.3">
      <c r="A1171" s="20">
        <v>45789</v>
      </c>
      <c r="B1171">
        <v>18</v>
      </c>
      <c r="C1171" t="s">
        <v>253</v>
      </c>
      <c r="D1171">
        <v>1006</v>
      </c>
      <c r="E1171">
        <v>276</v>
      </c>
      <c r="F1171" t="s">
        <v>47</v>
      </c>
    </row>
    <row r="1172" spans="1:6" x14ac:dyDescent="0.3">
      <c r="A1172" s="20">
        <v>45789</v>
      </c>
      <c r="B1172">
        <v>18</v>
      </c>
      <c r="C1172" t="s">
        <v>258</v>
      </c>
      <c r="D1172">
        <v>6508</v>
      </c>
      <c r="E1172">
        <v>752</v>
      </c>
      <c r="F1172" t="s">
        <v>229</v>
      </c>
    </row>
    <row r="1173" spans="1:6" x14ac:dyDescent="0.3">
      <c r="A1173" s="20">
        <v>45789</v>
      </c>
      <c r="B1173">
        <v>19</v>
      </c>
      <c r="C1173" t="s">
        <v>73</v>
      </c>
      <c r="D1173">
        <v>14</v>
      </c>
      <c r="E1173">
        <v>14</v>
      </c>
      <c r="F1173" t="s">
        <v>31</v>
      </c>
    </row>
    <row r="1174" spans="1:6" x14ac:dyDescent="0.3">
      <c r="A1174" s="20">
        <v>45789</v>
      </c>
      <c r="B1174">
        <v>19</v>
      </c>
      <c r="C1174" t="s">
        <v>73</v>
      </c>
      <c r="D1174">
        <v>0</v>
      </c>
      <c r="E1174">
        <v>0</v>
      </c>
      <c r="F1174" t="s">
        <v>74</v>
      </c>
    </row>
    <row r="1175" spans="1:6" x14ac:dyDescent="0.3">
      <c r="A1175" s="20">
        <v>45789</v>
      </c>
      <c r="B1175">
        <v>19</v>
      </c>
      <c r="C1175" t="s">
        <v>73</v>
      </c>
      <c r="D1175">
        <v>0</v>
      </c>
      <c r="E1175">
        <v>0</v>
      </c>
      <c r="F1175" t="s">
        <v>38</v>
      </c>
    </row>
    <row r="1176" spans="1:6" x14ac:dyDescent="0.3">
      <c r="A1176" s="20">
        <v>45789</v>
      </c>
      <c r="B1176">
        <v>19</v>
      </c>
      <c r="C1176" t="s">
        <v>153</v>
      </c>
      <c r="D1176">
        <v>11</v>
      </c>
      <c r="E1176">
        <v>0</v>
      </c>
      <c r="F1176" t="s">
        <v>248</v>
      </c>
    </row>
    <row r="1177" spans="1:6" x14ac:dyDescent="0.3">
      <c r="A1177" s="20">
        <v>45789</v>
      </c>
      <c r="B1177">
        <v>19</v>
      </c>
      <c r="C1177" t="s">
        <v>156</v>
      </c>
      <c r="D1177">
        <v>6594</v>
      </c>
      <c r="E1177">
        <v>330</v>
      </c>
      <c r="F1177" t="s">
        <v>229</v>
      </c>
    </row>
    <row r="1178" spans="1:6" x14ac:dyDescent="0.3">
      <c r="A1178" s="20">
        <v>45789</v>
      </c>
      <c r="B1178">
        <v>19</v>
      </c>
      <c r="C1178" t="s">
        <v>50</v>
      </c>
      <c r="D1178">
        <v>198</v>
      </c>
      <c r="E1178">
        <v>44</v>
      </c>
      <c r="F1178" t="s">
        <v>31</v>
      </c>
    </row>
    <row r="1179" spans="1:6" x14ac:dyDescent="0.3">
      <c r="A1179" s="20">
        <v>45789</v>
      </c>
      <c r="B1179">
        <v>19</v>
      </c>
      <c r="C1179" t="s">
        <v>152</v>
      </c>
      <c r="D1179">
        <v>1151</v>
      </c>
      <c r="E1179">
        <v>179</v>
      </c>
      <c r="F1179" t="s">
        <v>138</v>
      </c>
    </row>
    <row r="1180" spans="1:6" x14ac:dyDescent="0.3">
      <c r="A1180" s="20">
        <v>45789</v>
      </c>
      <c r="B1180">
        <v>19</v>
      </c>
      <c r="C1180" t="s">
        <v>232</v>
      </c>
      <c r="D1180">
        <v>1380</v>
      </c>
      <c r="E1180">
        <v>104</v>
      </c>
      <c r="F1180" t="s">
        <v>74</v>
      </c>
    </row>
    <row r="1181" spans="1:6" x14ac:dyDescent="0.3">
      <c r="A1181" s="20">
        <v>45789</v>
      </c>
      <c r="B1181">
        <v>19</v>
      </c>
      <c r="C1181" t="s">
        <v>232</v>
      </c>
      <c r="D1181">
        <v>17937</v>
      </c>
      <c r="E1181">
        <v>2723</v>
      </c>
      <c r="F1181" t="s">
        <v>229</v>
      </c>
    </row>
    <row r="1182" spans="1:6" x14ac:dyDescent="0.3">
      <c r="A1182" s="20">
        <v>45789</v>
      </c>
      <c r="B1182">
        <v>19</v>
      </c>
      <c r="C1182" t="s">
        <v>233</v>
      </c>
      <c r="D1182">
        <v>7691</v>
      </c>
      <c r="E1182">
        <v>1229</v>
      </c>
      <c r="F1182" t="s">
        <v>34</v>
      </c>
    </row>
    <row r="1183" spans="1:6" x14ac:dyDescent="0.3">
      <c r="A1183" s="20">
        <v>45789</v>
      </c>
      <c r="B1183">
        <v>19</v>
      </c>
      <c r="C1183" t="s">
        <v>238</v>
      </c>
      <c r="D1183">
        <v>6213</v>
      </c>
      <c r="E1183">
        <v>727</v>
      </c>
      <c r="F1183" t="s">
        <v>229</v>
      </c>
    </row>
    <row r="1184" spans="1:6" x14ac:dyDescent="0.3">
      <c r="A1184" s="20">
        <v>45789</v>
      </c>
      <c r="B1184">
        <v>19</v>
      </c>
      <c r="C1184" t="s">
        <v>250</v>
      </c>
      <c r="D1184">
        <v>11</v>
      </c>
      <c r="E1184">
        <v>1</v>
      </c>
      <c r="F1184" t="s">
        <v>74</v>
      </c>
    </row>
    <row r="1185" spans="1:6" x14ac:dyDescent="0.3">
      <c r="A1185" s="20">
        <v>45789</v>
      </c>
      <c r="B1185">
        <v>19</v>
      </c>
      <c r="C1185" t="s">
        <v>250</v>
      </c>
      <c r="D1185">
        <v>221</v>
      </c>
      <c r="E1185">
        <v>49</v>
      </c>
      <c r="F1185" t="s">
        <v>75</v>
      </c>
    </row>
    <row r="1186" spans="1:6" x14ac:dyDescent="0.3">
      <c r="A1186" s="20">
        <v>45789</v>
      </c>
      <c r="B1186">
        <v>19</v>
      </c>
      <c r="C1186" t="s">
        <v>250</v>
      </c>
      <c r="D1186">
        <v>4</v>
      </c>
      <c r="E1186">
        <v>2</v>
      </c>
      <c r="F1186" t="s">
        <v>257</v>
      </c>
    </row>
    <row r="1187" spans="1:6" x14ac:dyDescent="0.3">
      <c r="A1187" s="20">
        <v>45789</v>
      </c>
      <c r="B1187">
        <v>20</v>
      </c>
      <c r="C1187" t="s">
        <v>73</v>
      </c>
      <c r="D1187">
        <v>0</v>
      </c>
      <c r="E1187">
        <v>0</v>
      </c>
      <c r="F1187" t="s">
        <v>43</v>
      </c>
    </row>
    <row r="1188" spans="1:6" x14ac:dyDescent="0.3">
      <c r="A1188" s="20">
        <v>45789</v>
      </c>
      <c r="B1188">
        <v>20</v>
      </c>
      <c r="C1188" t="s">
        <v>67</v>
      </c>
      <c r="D1188">
        <v>21227</v>
      </c>
      <c r="E1188">
        <v>386</v>
      </c>
      <c r="F1188" t="s">
        <v>31</v>
      </c>
    </row>
    <row r="1189" spans="1:6" x14ac:dyDescent="0.3">
      <c r="A1189" s="20">
        <v>45789</v>
      </c>
      <c r="B1189">
        <v>20</v>
      </c>
      <c r="C1189" t="s">
        <v>52</v>
      </c>
      <c r="D1189">
        <v>15</v>
      </c>
      <c r="E1189">
        <v>15</v>
      </c>
      <c r="F1189" t="s">
        <v>259</v>
      </c>
    </row>
    <row r="1190" spans="1:6" x14ac:dyDescent="0.3">
      <c r="A1190" s="20">
        <v>45789</v>
      </c>
      <c r="B1190">
        <v>20</v>
      </c>
      <c r="C1190" t="s">
        <v>239</v>
      </c>
      <c r="D1190">
        <v>27096</v>
      </c>
      <c r="E1190">
        <v>1300</v>
      </c>
      <c r="F1190" t="s">
        <v>31</v>
      </c>
    </row>
    <row r="1191" spans="1:6" x14ac:dyDescent="0.3">
      <c r="A1191" s="20">
        <v>45789</v>
      </c>
      <c r="B1191">
        <v>20</v>
      </c>
      <c r="C1191" t="s">
        <v>238</v>
      </c>
      <c r="D1191">
        <v>1741</v>
      </c>
      <c r="E1191">
        <v>94</v>
      </c>
      <c r="F1191" t="s">
        <v>32</v>
      </c>
    </row>
    <row r="1192" spans="1:6" x14ac:dyDescent="0.3">
      <c r="A1192" s="20">
        <v>45789</v>
      </c>
      <c r="B1192">
        <v>20</v>
      </c>
      <c r="C1192" t="s">
        <v>255</v>
      </c>
      <c r="D1192">
        <v>3318</v>
      </c>
      <c r="E1192">
        <v>380</v>
      </c>
      <c r="F1192" t="s">
        <v>39</v>
      </c>
    </row>
    <row r="1193" spans="1:6" x14ac:dyDescent="0.3">
      <c r="A1193" s="20">
        <v>45789</v>
      </c>
      <c r="B1193">
        <v>20</v>
      </c>
      <c r="C1193" t="s">
        <v>255</v>
      </c>
      <c r="D1193">
        <v>4147</v>
      </c>
      <c r="E1193">
        <v>571</v>
      </c>
      <c r="F1193" t="s">
        <v>74</v>
      </c>
    </row>
    <row r="1194" spans="1:6" x14ac:dyDescent="0.3">
      <c r="A1194" s="20">
        <v>45789</v>
      </c>
      <c r="B1194">
        <v>20</v>
      </c>
      <c r="C1194" t="s">
        <v>250</v>
      </c>
      <c r="D1194">
        <v>46</v>
      </c>
      <c r="E1194">
        <v>5</v>
      </c>
      <c r="F1194" t="s">
        <v>85</v>
      </c>
    </row>
    <row r="1195" spans="1:6" x14ac:dyDescent="0.3">
      <c r="A1195" s="20">
        <v>45789</v>
      </c>
      <c r="B1195">
        <v>20</v>
      </c>
      <c r="C1195" t="s">
        <v>250</v>
      </c>
      <c r="D1195">
        <v>1173</v>
      </c>
      <c r="E1195">
        <v>214</v>
      </c>
      <c r="F1195" t="s">
        <v>252</v>
      </c>
    </row>
    <row r="1196" spans="1:6" x14ac:dyDescent="0.3">
      <c r="A1196" s="20">
        <v>45789</v>
      </c>
      <c r="B1196">
        <v>20</v>
      </c>
      <c r="C1196" t="s">
        <v>165</v>
      </c>
      <c r="D1196">
        <v>2</v>
      </c>
      <c r="E1196">
        <v>2</v>
      </c>
      <c r="F1196" t="s">
        <v>38</v>
      </c>
    </row>
    <row r="1197" spans="1:6" x14ac:dyDescent="0.3">
      <c r="A1197" s="20">
        <v>45789</v>
      </c>
      <c r="B1197">
        <v>20</v>
      </c>
      <c r="C1197" t="s">
        <v>235</v>
      </c>
      <c r="D1197">
        <v>803</v>
      </c>
      <c r="E1197">
        <v>57</v>
      </c>
      <c r="F1197" t="s">
        <v>229</v>
      </c>
    </row>
    <row r="1198" spans="1:6" x14ac:dyDescent="0.3">
      <c r="A1198" s="20">
        <v>45789</v>
      </c>
      <c r="B1198">
        <v>20</v>
      </c>
      <c r="C1198" t="s">
        <v>235</v>
      </c>
      <c r="D1198">
        <v>4814</v>
      </c>
      <c r="E1198">
        <v>385</v>
      </c>
      <c r="F1198" t="s">
        <v>234</v>
      </c>
    </row>
    <row r="1199" spans="1:6" x14ac:dyDescent="0.3">
      <c r="A1199" s="20">
        <v>45789</v>
      </c>
      <c r="B1199">
        <v>21</v>
      </c>
      <c r="C1199" t="s">
        <v>66</v>
      </c>
      <c r="D1199">
        <v>29</v>
      </c>
      <c r="E1199">
        <v>1</v>
      </c>
      <c r="F1199" t="s">
        <v>31</v>
      </c>
    </row>
    <row r="1200" spans="1:6" x14ac:dyDescent="0.3">
      <c r="A1200" s="20">
        <v>45789</v>
      </c>
      <c r="B1200">
        <v>21</v>
      </c>
      <c r="C1200" t="s">
        <v>253</v>
      </c>
      <c r="D1200">
        <v>1</v>
      </c>
      <c r="E1200">
        <v>0</v>
      </c>
      <c r="F1200" t="s">
        <v>47</v>
      </c>
    </row>
    <row r="1201" spans="1:6" x14ac:dyDescent="0.3">
      <c r="A1201" s="20">
        <v>45789</v>
      </c>
      <c r="B1201">
        <v>8</v>
      </c>
      <c r="C1201" t="s">
        <v>73</v>
      </c>
      <c r="D1201">
        <v>0</v>
      </c>
      <c r="E1201">
        <v>0</v>
      </c>
      <c r="F1201" t="s">
        <v>72</v>
      </c>
    </row>
    <row r="1202" spans="1:6" x14ac:dyDescent="0.3">
      <c r="A1202" s="20">
        <v>45789</v>
      </c>
      <c r="B1202">
        <v>8</v>
      </c>
      <c r="C1202" t="s">
        <v>73</v>
      </c>
      <c r="D1202">
        <v>0</v>
      </c>
      <c r="E1202">
        <v>0</v>
      </c>
      <c r="F1202" t="s">
        <v>43</v>
      </c>
    </row>
    <row r="1203" spans="1:6" x14ac:dyDescent="0.3">
      <c r="A1203" s="20">
        <v>45789</v>
      </c>
      <c r="B1203">
        <v>8</v>
      </c>
      <c r="C1203" t="s">
        <v>156</v>
      </c>
      <c r="D1203">
        <v>5378</v>
      </c>
      <c r="E1203">
        <v>643</v>
      </c>
      <c r="F1203" t="s">
        <v>229</v>
      </c>
    </row>
    <row r="1204" spans="1:6" x14ac:dyDescent="0.3">
      <c r="A1204" s="20">
        <v>45789</v>
      </c>
      <c r="B1204">
        <v>8</v>
      </c>
      <c r="C1204" t="s">
        <v>67</v>
      </c>
      <c r="D1204">
        <v>13577</v>
      </c>
      <c r="E1204">
        <v>607</v>
      </c>
      <c r="F1204" t="s">
        <v>31</v>
      </c>
    </row>
    <row r="1205" spans="1:6" x14ac:dyDescent="0.3">
      <c r="A1205" s="20">
        <v>45789</v>
      </c>
      <c r="B1205">
        <v>8</v>
      </c>
      <c r="C1205" t="s">
        <v>158</v>
      </c>
      <c r="D1205">
        <v>5117</v>
      </c>
      <c r="E1205">
        <v>123</v>
      </c>
      <c r="F1205" t="s">
        <v>42</v>
      </c>
    </row>
    <row r="1206" spans="1:6" x14ac:dyDescent="0.3">
      <c r="A1206" s="20">
        <v>45789</v>
      </c>
      <c r="B1206">
        <v>8</v>
      </c>
      <c r="C1206" t="s">
        <v>48</v>
      </c>
      <c r="D1206">
        <v>0</v>
      </c>
      <c r="E1206">
        <v>0</v>
      </c>
      <c r="F1206" t="s">
        <v>259</v>
      </c>
    </row>
    <row r="1207" spans="1:6" x14ac:dyDescent="0.3">
      <c r="A1207" s="20">
        <v>45789</v>
      </c>
      <c r="B1207">
        <v>8</v>
      </c>
      <c r="C1207" t="s">
        <v>247</v>
      </c>
      <c r="D1207">
        <v>6759</v>
      </c>
      <c r="E1207">
        <v>1032</v>
      </c>
      <c r="F1207" t="s">
        <v>31</v>
      </c>
    </row>
    <row r="1208" spans="1:6" x14ac:dyDescent="0.3">
      <c r="A1208" s="20">
        <v>45789</v>
      </c>
      <c r="B1208">
        <v>8</v>
      </c>
      <c r="C1208" t="s">
        <v>254</v>
      </c>
      <c r="D1208">
        <v>14426</v>
      </c>
      <c r="E1208">
        <v>2210</v>
      </c>
      <c r="F1208" t="s">
        <v>31</v>
      </c>
    </row>
    <row r="1209" spans="1:6" x14ac:dyDescent="0.3">
      <c r="A1209" s="20">
        <v>45789</v>
      </c>
      <c r="B1209">
        <v>8</v>
      </c>
      <c r="C1209" t="s">
        <v>71</v>
      </c>
      <c r="D1209">
        <v>8448</v>
      </c>
      <c r="E1209">
        <v>2718</v>
      </c>
      <c r="F1209" t="s">
        <v>32</v>
      </c>
    </row>
    <row r="1210" spans="1:6" x14ac:dyDescent="0.3">
      <c r="A1210" s="20">
        <v>45789</v>
      </c>
      <c r="B1210">
        <v>8</v>
      </c>
      <c r="C1210" t="s">
        <v>71</v>
      </c>
      <c r="D1210">
        <v>17689</v>
      </c>
      <c r="E1210">
        <v>2282</v>
      </c>
      <c r="F1210" t="s">
        <v>164</v>
      </c>
    </row>
    <row r="1211" spans="1:6" x14ac:dyDescent="0.3">
      <c r="A1211" s="20">
        <v>45789</v>
      </c>
      <c r="B1211">
        <v>8</v>
      </c>
      <c r="C1211" t="s">
        <v>238</v>
      </c>
      <c r="D1211">
        <v>5245</v>
      </c>
      <c r="E1211">
        <v>442</v>
      </c>
      <c r="F1211" t="s">
        <v>47</v>
      </c>
    </row>
    <row r="1212" spans="1:6" x14ac:dyDescent="0.3">
      <c r="A1212" s="20">
        <v>45789</v>
      </c>
      <c r="B1212">
        <v>8</v>
      </c>
      <c r="C1212" t="s">
        <v>255</v>
      </c>
      <c r="D1212">
        <v>7469</v>
      </c>
      <c r="E1212">
        <v>1151</v>
      </c>
      <c r="F1212" t="s">
        <v>74</v>
      </c>
    </row>
    <row r="1213" spans="1:6" x14ac:dyDescent="0.3">
      <c r="A1213" s="20">
        <v>45789</v>
      </c>
      <c r="B1213">
        <v>8</v>
      </c>
      <c r="C1213" t="s">
        <v>155</v>
      </c>
      <c r="D1213">
        <v>87</v>
      </c>
      <c r="E1213">
        <v>43</v>
      </c>
      <c r="F1213" t="s">
        <v>32</v>
      </c>
    </row>
    <row r="1214" spans="1:6" x14ac:dyDescent="0.3">
      <c r="A1214" s="20">
        <v>45789</v>
      </c>
      <c r="B1214">
        <v>8</v>
      </c>
      <c r="C1214" t="s">
        <v>250</v>
      </c>
      <c r="D1214">
        <v>116</v>
      </c>
      <c r="E1214">
        <v>3</v>
      </c>
      <c r="F1214" t="s">
        <v>74</v>
      </c>
    </row>
    <row r="1215" spans="1:6" x14ac:dyDescent="0.3">
      <c r="A1215" s="20">
        <v>45789</v>
      </c>
      <c r="B1215">
        <v>8</v>
      </c>
      <c r="C1215" t="s">
        <v>160</v>
      </c>
      <c r="D1215">
        <v>0</v>
      </c>
      <c r="E1215">
        <v>0</v>
      </c>
      <c r="F1215" t="s">
        <v>68</v>
      </c>
    </row>
    <row r="1216" spans="1:6" x14ac:dyDescent="0.3">
      <c r="A1216" s="20">
        <v>45789</v>
      </c>
      <c r="B1216">
        <v>8</v>
      </c>
      <c r="C1216" t="s">
        <v>160</v>
      </c>
      <c r="D1216">
        <v>8</v>
      </c>
      <c r="E1216">
        <v>1</v>
      </c>
      <c r="F1216" t="s">
        <v>138</v>
      </c>
    </row>
    <row r="1217" spans="1:6" x14ac:dyDescent="0.3">
      <c r="A1217" s="20">
        <v>45789</v>
      </c>
      <c r="B1217">
        <v>8</v>
      </c>
      <c r="C1217" t="s">
        <v>160</v>
      </c>
      <c r="D1217">
        <v>179</v>
      </c>
      <c r="E1217">
        <v>57</v>
      </c>
      <c r="F1217" t="s">
        <v>161</v>
      </c>
    </row>
    <row r="1218" spans="1:6" x14ac:dyDescent="0.3">
      <c r="A1218" s="20">
        <v>45789</v>
      </c>
      <c r="B1218">
        <v>8</v>
      </c>
      <c r="C1218" t="s">
        <v>55</v>
      </c>
      <c r="D1218">
        <v>84348</v>
      </c>
      <c r="E1218">
        <v>4552</v>
      </c>
      <c r="F1218" t="s">
        <v>38</v>
      </c>
    </row>
    <row r="1219" spans="1:6" x14ac:dyDescent="0.3">
      <c r="A1219" s="20">
        <v>45789</v>
      </c>
      <c r="B1219">
        <v>8</v>
      </c>
      <c r="C1219" t="s">
        <v>235</v>
      </c>
      <c r="D1219">
        <v>2641</v>
      </c>
      <c r="E1219">
        <v>219</v>
      </c>
      <c r="F1219" t="s">
        <v>229</v>
      </c>
    </row>
    <row r="1220" spans="1:6" x14ac:dyDescent="0.3">
      <c r="A1220" s="20">
        <v>45789</v>
      </c>
      <c r="B1220">
        <v>9</v>
      </c>
      <c r="C1220" t="s">
        <v>73</v>
      </c>
      <c r="D1220">
        <v>0</v>
      </c>
      <c r="E1220">
        <v>0</v>
      </c>
    </row>
    <row r="1221" spans="1:6" x14ac:dyDescent="0.3">
      <c r="A1221" s="20">
        <v>45789</v>
      </c>
      <c r="B1221">
        <v>9</v>
      </c>
      <c r="C1221" t="s">
        <v>73</v>
      </c>
      <c r="D1221">
        <v>0</v>
      </c>
      <c r="E1221">
        <v>0</v>
      </c>
      <c r="F1221" t="s">
        <v>234</v>
      </c>
    </row>
    <row r="1222" spans="1:6" x14ac:dyDescent="0.3">
      <c r="A1222" s="20">
        <v>45789</v>
      </c>
      <c r="B1222">
        <v>9</v>
      </c>
      <c r="C1222" t="s">
        <v>73</v>
      </c>
      <c r="D1222">
        <v>0</v>
      </c>
      <c r="E1222">
        <v>0</v>
      </c>
      <c r="F1222" t="s">
        <v>45</v>
      </c>
    </row>
    <row r="1223" spans="1:6" x14ac:dyDescent="0.3">
      <c r="A1223" s="20">
        <v>45789</v>
      </c>
      <c r="B1223">
        <v>9</v>
      </c>
      <c r="C1223" t="s">
        <v>228</v>
      </c>
      <c r="D1223">
        <v>243</v>
      </c>
      <c r="E1223">
        <v>42</v>
      </c>
      <c r="F1223" t="s">
        <v>72</v>
      </c>
    </row>
    <row r="1224" spans="1:6" x14ac:dyDescent="0.3">
      <c r="A1224" s="20">
        <v>45789</v>
      </c>
      <c r="B1224">
        <v>9</v>
      </c>
      <c r="C1224" t="s">
        <v>66</v>
      </c>
      <c r="D1224">
        <v>18477</v>
      </c>
      <c r="E1224">
        <v>2013</v>
      </c>
      <c r="F1224" t="s">
        <v>31</v>
      </c>
    </row>
    <row r="1225" spans="1:6" x14ac:dyDescent="0.3">
      <c r="A1225" s="20">
        <v>45789</v>
      </c>
      <c r="B1225">
        <v>9</v>
      </c>
      <c r="C1225" t="s">
        <v>53</v>
      </c>
      <c r="D1225">
        <v>2470</v>
      </c>
      <c r="E1225">
        <v>140</v>
      </c>
      <c r="F1225" t="s">
        <v>31</v>
      </c>
    </row>
    <row r="1226" spans="1:6" x14ac:dyDescent="0.3">
      <c r="A1226" s="20">
        <v>45789</v>
      </c>
      <c r="B1226">
        <v>9</v>
      </c>
      <c r="C1226" t="s">
        <v>49</v>
      </c>
      <c r="D1226">
        <v>6677</v>
      </c>
      <c r="E1226">
        <v>262</v>
      </c>
      <c r="F1226" t="s">
        <v>31</v>
      </c>
    </row>
    <row r="1227" spans="1:6" x14ac:dyDescent="0.3">
      <c r="A1227" s="20">
        <v>45789</v>
      </c>
      <c r="B1227">
        <v>9</v>
      </c>
      <c r="C1227" t="s">
        <v>49</v>
      </c>
      <c r="D1227">
        <v>14078</v>
      </c>
      <c r="E1227">
        <v>1199</v>
      </c>
      <c r="F1227" t="s">
        <v>42</v>
      </c>
    </row>
    <row r="1228" spans="1:6" x14ac:dyDescent="0.3">
      <c r="A1228" s="20">
        <v>45789</v>
      </c>
      <c r="B1228">
        <v>9</v>
      </c>
      <c r="C1228" t="s">
        <v>36</v>
      </c>
      <c r="D1228">
        <v>526</v>
      </c>
      <c r="E1228">
        <v>134</v>
      </c>
      <c r="F1228" t="s">
        <v>31</v>
      </c>
    </row>
    <row r="1229" spans="1:6" x14ac:dyDescent="0.3">
      <c r="A1229" s="20">
        <v>45789</v>
      </c>
      <c r="B1229">
        <v>9</v>
      </c>
      <c r="C1229" t="s">
        <v>245</v>
      </c>
      <c r="D1229">
        <v>60866</v>
      </c>
      <c r="E1229">
        <v>9376</v>
      </c>
      <c r="F1229" t="s">
        <v>31</v>
      </c>
    </row>
    <row r="1230" spans="1:6" x14ac:dyDescent="0.3">
      <c r="A1230" s="20">
        <v>45789</v>
      </c>
      <c r="B1230">
        <v>9</v>
      </c>
      <c r="C1230" t="s">
        <v>243</v>
      </c>
      <c r="D1230">
        <v>8046</v>
      </c>
      <c r="E1230">
        <v>780</v>
      </c>
      <c r="F1230" t="s">
        <v>31</v>
      </c>
    </row>
    <row r="1231" spans="1:6" x14ac:dyDescent="0.3">
      <c r="A1231" s="20">
        <v>45789</v>
      </c>
      <c r="B1231">
        <v>9</v>
      </c>
      <c r="C1231" t="s">
        <v>243</v>
      </c>
      <c r="D1231">
        <v>225</v>
      </c>
      <c r="E1231">
        <v>23</v>
      </c>
      <c r="F1231" t="s">
        <v>42</v>
      </c>
    </row>
    <row r="1232" spans="1:6" x14ac:dyDescent="0.3">
      <c r="A1232" s="20">
        <v>45789</v>
      </c>
      <c r="B1232">
        <v>9</v>
      </c>
      <c r="C1232" t="s">
        <v>232</v>
      </c>
      <c r="D1232">
        <v>2776</v>
      </c>
      <c r="E1232">
        <v>237</v>
      </c>
      <c r="F1232" t="s">
        <v>39</v>
      </c>
    </row>
    <row r="1233" spans="1:6" x14ac:dyDescent="0.3">
      <c r="A1233" s="20">
        <v>45789</v>
      </c>
      <c r="B1233">
        <v>9</v>
      </c>
      <c r="C1233" t="s">
        <v>262</v>
      </c>
      <c r="D1233">
        <v>20962</v>
      </c>
      <c r="E1233">
        <v>573</v>
      </c>
      <c r="F1233" t="s">
        <v>86</v>
      </c>
    </row>
    <row r="1234" spans="1:6" x14ac:dyDescent="0.3">
      <c r="A1234" s="20">
        <v>45789</v>
      </c>
      <c r="B1234">
        <v>9</v>
      </c>
      <c r="C1234" t="s">
        <v>250</v>
      </c>
      <c r="D1234">
        <v>26</v>
      </c>
      <c r="E1234">
        <v>5</v>
      </c>
      <c r="F1234" t="s">
        <v>85</v>
      </c>
    </row>
    <row r="1235" spans="1:6" x14ac:dyDescent="0.3">
      <c r="A1235" s="20">
        <v>45789</v>
      </c>
      <c r="B1235">
        <v>9</v>
      </c>
      <c r="C1235" t="s">
        <v>250</v>
      </c>
      <c r="D1235">
        <v>843</v>
      </c>
      <c r="E1235">
        <v>128</v>
      </c>
      <c r="F1235" t="s">
        <v>75</v>
      </c>
    </row>
    <row r="1236" spans="1:6" x14ac:dyDescent="0.3">
      <c r="A1236" s="20">
        <v>45789</v>
      </c>
      <c r="B1236">
        <v>9</v>
      </c>
      <c r="C1236" t="s">
        <v>124</v>
      </c>
      <c r="D1236">
        <v>85928</v>
      </c>
      <c r="E1236">
        <v>4975</v>
      </c>
      <c r="F1236" t="s">
        <v>38</v>
      </c>
    </row>
    <row r="1237" spans="1:6" x14ac:dyDescent="0.3">
      <c r="A1237" s="20">
        <v>45789</v>
      </c>
      <c r="B1237">
        <v>9</v>
      </c>
      <c r="C1237" t="s">
        <v>165</v>
      </c>
      <c r="D1237">
        <v>13</v>
      </c>
      <c r="E1237">
        <v>13</v>
      </c>
      <c r="F1237" t="s">
        <v>38</v>
      </c>
    </row>
    <row r="1238" spans="1:6" x14ac:dyDescent="0.3">
      <c r="A1238" s="20">
        <v>45789</v>
      </c>
      <c r="B1238">
        <v>9</v>
      </c>
      <c r="C1238" t="s">
        <v>251</v>
      </c>
      <c r="D1238">
        <v>3855</v>
      </c>
      <c r="E1238">
        <v>669</v>
      </c>
      <c r="F1238" t="s">
        <v>44</v>
      </c>
    </row>
    <row r="1239" spans="1:6" x14ac:dyDescent="0.3">
      <c r="A1239" s="20">
        <v>45789</v>
      </c>
      <c r="B1239">
        <v>9</v>
      </c>
      <c r="C1239" t="s">
        <v>258</v>
      </c>
      <c r="D1239">
        <v>7491</v>
      </c>
      <c r="E1239">
        <v>1009</v>
      </c>
      <c r="F1239" t="s">
        <v>229</v>
      </c>
    </row>
    <row r="1240" spans="1:6" x14ac:dyDescent="0.3">
      <c r="A1240" s="20">
        <v>45789</v>
      </c>
      <c r="B1240">
        <v>10</v>
      </c>
      <c r="C1240" t="s">
        <v>73</v>
      </c>
      <c r="D1240">
        <v>0</v>
      </c>
      <c r="E1240">
        <v>0</v>
      </c>
      <c r="F1240" t="s">
        <v>163</v>
      </c>
    </row>
    <row r="1241" spans="1:6" x14ac:dyDescent="0.3">
      <c r="A1241" s="20">
        <v>45789</v>
      </c>
      <c r="B1241">
        <v>10</v>
      </c>
      <c r="C1241" t="s">
        <v>73</v>
      </c>
      <c r="D1241">
        <v>0</v>
      </c>
      <c r="E1241">
        <v>0</v>
      </c>
      <c r="F1241" t="s">
        <v>229</v>
      </c>
    </row>
    <row r="1242" spans="1:6" x14ac:dyDescent="0.3">
      <c r="A1242" s="20">
        <v>45789</v>
      </c>
      <c r="B1242">
        <v>10</v>
      </c>
      <c r="C1242" t="s">
        <v>156</v>
      </c>
      <c r="D1242">
        <v>65</v>
      </c>
      <c r="E1242">
        <v>4</v>
      </c>
      <c r="F1242" t="s">
        <v>33</v>
      </c>
    </row>
    <row r="1243" spans="1:6" x14ac:dyDescent="0.3">
      <c r="A1243" s="20">
        <v>45789</v>
      </c>
      <c r="B1243">
        <v>10</v>
      </c>
      <c r="C1243" t="s">
        <v>158</v>
      </c>
      <c r="D1243">
        <v>10558</v>
      </c>
      <c r="E1243">
        <v>712</v>
      </c>
      <c r="F1243" t="s">
        <v>31</v>
      </c>
    </row>
    <row r="1244" spans="1:6" x14ac:dyDescent="0.3">
      <c r="A1244" s="20">
        <v>45789</v>
      </c>
      <c r="B1244">
        <v>10</v>
      </c>
      <c r="C1244" t="s">
        <v>242</v>
      </c>
      <c r="D1244">
        <v>62423</v>
      </c>
      <c r="E1244">
        <v>8206</v>
      </c>
      <c r="F1244" t="s">
        <v>31</v>
      </c>
    </row>
    <row r="1245" spans="1:6" x14ac:dyDescent="0.3">
      <c r="A1245" s="20">
        <v>45789</v>
      </c>
      <c r="B1245">
        <v>10</v>
      </c>
      <c r="C1245" t="s">
        <v>239</v>
      </c>
      <c r="D1245">
        <v>85268</v>
      </c>
      <c r="E1245">
        <v>6068</v>
      </c>
      <c r="F1245" t="s">
        <v>31</v>
      </c>
    </row>
    <row r="1246" spans="1:6" x14ac:dyDescent="0.3">
      <c r="A1246" s="20">
        <v>45789</v>
      </c>
      <c r="B1246">
        <v>10</v>
      </c>
      <c r="C1246" t="s">
        <v>244</v>
      </c>
      <c r="D1246">
        <v>54866</v>
      </c>
      <c r="E1246">
        <v>5084</v>
      </c>
      <c r="F1246" t="s">
        <v>31</v>
      </c>
    </row>
    <row r="1247" spans="1:6" x14ac:dyDescent="0.3">
      <c r="A1247" s="20">
        <v>45789</v>
      </c>
      <c r="B1247">
        <v>10</v>
      </c>
      <c r="C1247" t="s">
        <v>50</v>
      </c>
      <c r="D1247">
        <v>494</v>
      </c>
      <c r="E1247">
        <v>124</v>
      </c>
      <c r="F1247" t="s">
        <v>31</v>
      </c>
    </row>
    <row r="1248" spans="1:6" x14ac:dyDescent="0.3">
      <c r="A1248" s="20">
        <v>45789</v>
      </c>
      <c r="B1248">
        <v>10</v>
      </c>
      <c r="C1248" t="s">
        <v>246</v>
      </c>
      <c r="D1248">
        <v>40145</v>
      </c>
      <c r="E1248">
        <v>6869</v>
      </c>
      <c r="F1248" t="s">
        <v>31</v>
      </c>
    </row>
    <row r="1249" spans="1:6" x14ac:dyDescent="0.3">
      <c r="A1249" s="20">
        <v>45789</v>
      </c>
      <c r="B1249">
        <v>10</v>
      </c>
      <c r="C1249" t="s">
        <v>71</v>
      </c>
      <c r="D1249">
        <v>7202</v>
      </c>
      <c r="E1249">
        <v>879</v>
      </c>
      <c r="F1249" t="s">
        <v>229</v>
      </c>
    </row>
    <row r="1250" spans="1:6" x14ac:dyDescent="0.3">
      <c r="A1250" s="20">
        <v>45789</v>
      </c>
      <c r="B1250">
        <v>10</v>
      </c>
      <c r="C1250" t="s">
        <v>233</v>
      </c>
      <c r="D1250">
        <v>16204</v>
      </c>
      <c r="E1250">
        <v>2296</v>
      </c>
      <c r="F1250" t="s">
        <v>34</v>
      </c>
    </row>
    <row r="1251" spans="1:6" x14ac:dyDescent="0.3">
      <c r="A1251" s="20">
        <v>45789</v>
      </c>
      <c r="B1251">
        <v>10</v>
      </c>
      <c r="C1251" t="s">
        <v>233</v>
      </c>
      <c r="D1251">
        <v>7696</v>
      </c>
      <c r="E1251">
        <v>716</v>
      </c>
      <c r="F1251" t="s">
        <v>39</v>
      </c>
    </row>
    <row r="1252" spans="1:6" x14ac:dyDescent="0.3">
      <c r="A1252" s="20">
        <v>45789</v>
      </c>
      <c r="B1252">
        <v>10</v>
      </c>
      <c r="C1252" t="s">
        <v>250</v>
      </c>
      <c r="D1252">
        <v>8646</v>
      </c>
      <c r="E1252">
        <v>911</v>
      </c>
      <c r="F1252" t="s">
        <v>164</v>
      </c>
    </row>
    <row r="1253" spans="1:6" x14ac:dyDescent="0.3">
      <c r="A1253" s="20">
        <v>45789</v>
      </c>
      <c r="B1253">
        <v>10</v>
      </c>
      <c r="C1253" t="s">
        <v>160</v>
      </c>
      <c r="D1253">
        <v>1219</v>
      </c>
      <c r="E1253">
        <v>225</v>
      </c>
      <c r="F1253" t="s">
        <v>39</v>
      </c>
    </row>
    <row r="1254" spans="1:6" x14ac:dyDescent="0.3">
      <c r="A1254" s="20">
        <v>45789</v>
      </c>
      <c r="B1254">
        <v>10</v>
      </c>
      <c r="C1254" t="s">
        <v>160</v>
      </c>
      <c r="D1254">
        <v>207</v>
      </c>
      <c r="E1254">
        <v>51</v>
      </c>
      <c r="F1254" t="s">
        <v>44</v>
      </c>
    </row>
    <row r="1255" spans="1:6" x14ac:dyDescent="0.3">
      <c r="A1255" s="20">
        <v>45789</v>
      </c>
      <c r="B1255">
        <v>10</v>
      </c>
      <c r="C1255" t="s">
        <v>160</v>
      </c>
      <c r="D1255">
        <v>5416</v>
      </c>
      <c r="E1255">
        <v>921</v>
      </c>
      <c r="F1255" t="s">
        <v>231</v>
      </c>
    </row>
    <row r="1256" spans="1:6" x14ac:dyDescent="0.3">
      <c r="A1256" s="20">
        <v>45789</v>
      </c>
      <c r="B1256">
        <v>10</v>
      </c>
      <c r="C1256" t="s">
        <v>40</v>
      </c>
      <c r="D1256">
        <v>103504</v>
      </c>
      <c r="E1256">
        <v>6135</v>
      </c>
      <c r="F1256" t="s">
        <v>38</v>
      </c>
    </row>
    <row r="1257" spans="1:6" x14ac:dyDescent="0.3">
      <c r="A1257" s="20">
        <v>45789</v>
      </c>
      <c r="B1257">
        <v>10</v>
      </c>
      <c r="C1257" t="s">
        <v>76</v>
      </c>
      <c r="D1257">
        <v>94630</v>
      </c>
      <c r="E1257">
        <v>4762</v>
      </c>
      <c r="F1257" t="s">
        <v>38</v>
      </c>
    </row>
    <row r="1258" spans="1:6" x14ac:dyDescent="0.3">
      <c r="A1258" s="20">
        <v>45789</v>
      </c>
      <c r="B1258">
        <v>10</v>
      </c>
      <c r="C1258" t="s">
        <v>235</v>
      </c>
      <c r="D1258">
        <v>12059</v>
      </c>
      <c r="E1258">
        <v>1534</v>
      </c>
      <c r="F1258" t="s">
        <v>234</v>
      </c>
    </row>
    <row r="1259" spans="1:6" x14ac:dyDescent="0.3">
      <c r="A1259" s="20">
        <v>45789</v>
      </c>
      <c r="B1259">
        <v>11</v>
      </c>
      <c r="C1259" t="s">
        <v>73</v>
      </c>
      <c r="D1259">
        <v>0</v>
      </c>
      <c r="E1259">
        <v>0</v>
      </c>
      <c r="F1259" t="s">
        <v>46</v>
      </c>
    </row>
    <row r="1260" spans="1:6" x14ac:dyDescent="0.3">
      <c r="A1260" s="20">
        <v>45789</v>
      </c>
      <c r="B1260">
        <v>11</v>
      </c>
      <c r="C1260" t="s">
        <v>73</v>
      </c>
      <c r="D1260">
        <v>0</v>
      </c>
      <c r="E1260">
        <v>0</v>
      </c>
      <c r="F1260" t="s">
        <v>43</v>
      </c>
    </row>
    <row r="1261" spans="1:6" x14ac:dyDescent="0.3">
      <c r="A1261" s="20">
        <v>45789</v>
      </c>
      <c r="B1261">
        <v>11</v>
      </c>
      <c r="C1261" t="s">
        <v>156</v>
      </c>
      <c r="D1261">
        <v>9463</v>
      </c>
      <c r="E1261">
        <v>1765</v>
      </c>
      <c r="F1261" t="s">
        <v>45</v>
      </c>
    </row>
    <row r="1262" spans="1:6" x14ac:dyDescent="0.3">
      <c r="A1262" s="20">
        <v>45789</v>
      </c>
      <c r="B1262">
        <v>11</v>
      </c>
      <c r="C1262" t="s">
        <v>228</v>
      </c>
      <c r="D1262">
        <v>709</v>
      </c>
      <c r="E1262">
        <v>89</v>
      </c>
      <c r="F1262" t="s">
        <v>43</v>
      </c>
    </row>
    <row r="1263" spans="1:6" x14ac:dyDescent="0.3">
      <c r="A1263" s="20">
        <v>45789</v>
      </c>
      <c r="B1263">
        <v>11</v>
      </c>
      <c r="C1263" t="s">
        <v>67</v>
      </c>
      <c r="D1263">
        <v>5034</v>
      </c>
      <c r="E1263">
        <v>221</v>
      </c>
      <c r="F1263" t="s">
        <v>42</v>
      </c>
    </row>
    <row r="1264" spans="1:6" x14ac:dyDescent="0.3">
      <c r="A1264" s="20">
        <v>45789</v>
      </c>
      <c r="B1264">
        <v>11</v>
      </c>
      <c r="C1264" t="s">
        <v>158</v>
      </c>
      <c r="D1264">
        <v>24729</v>
      </c>
      <c r="E1264">
        <v>614</v>
      </c>
      <c r="F1264" t="s">
        <v>42</v>
      </c>
    </row>
    <row r="1265" spans="1:6" x14ac:dyDescent="0.3">
      <c r="A1265" s="20">
        <v>45789</v>
      </c>
      <c r="B1265">
        <v>11</v>
      </c>
      <c r="C1265" t="s">
        <v>48</v>
      </c>
      <c r="D1265">
        <v>0</v>
      </c>
      <c r="E1265">
        <v>0</v>
      </c>
      <c r="F1265" t="s">
        <v>259</v>
      </c>
    </row>
    <row r="1266" spans="1:6" x14ac:dyDescent="0.3">
      <c r="A1266" s="20">
        <v>45789</v>
      </c>
      <c r="B1266">
        <v>11</v>
      </c>
      <c r="C1266" t="s">
        <v>139</v>
      </c>
      <c r="D1266">
        <v>32243</v>
      </c>
      <c r="E1266">
        <v>1015</v>
      </c>
      <c r="F1266" t="s">
        <v>46</v>
      </c>
    </row>
    <row r="1267" spans="1:6" x14ac:dyDescent="0.3">
      <c r="A1267" s="20">
        <v>45789</v>
      </c>
      <c r="B1267">
        <v>11</v>
      </c>
      <c r="C1267" t="s">
        <v>254</v>
      </c>
      <c r="D1267">
        <v>15714</v>
      </c>
      <c r="E1267">
        <v>1710</v>
      </c>
      <c r="F1267" t="s">
        <v>31</v>
      </c>
    </row>
    <row r="1268" spans="1:6" x14ac:dyDescent="0.3">
      <c r="A1268" s="20">
        <v>45789</v>
      </c>
      <c r="B1268">
        <v>11</v>
      </c>
      <c r="C1268" t="s">
        <v>71</v>
      </c>
      <c r="D1268">
        <v>8666</v>
      </c>
      <c r="E1268">
        <v>2683</v>
      </c>
      <c r="F1268" t="s">
        <v>32</v>
      </c>
    </row>
    <row r="1269" spans="1:6" x14ac:dyDescent="0.3">
      <c r="A1269" s="20">
        <v>45789</v>
      </c>
      <c r="B1269">
        <v>11</v>
      </c>
      <c r="C1269" t="s">
        <v>71</v>
      </c>
      <c r="D1269">
        <v>27043</v>
      </c>
      <c r="E1269">
        <v>2968</v>
      </c>
      <c r="F1269" t="s">
        <v>164</v>
      </c>
    </row>
    <row r="1270" spans="1:6" x14ac:dyDescent="0.3">
      <c r="A1270" s="20">
        <v>45789</v>
      </c>
      <c r="B1270">
        <v>11</v>
      </c>
      <c r="C1270" t="s">
        <v>233</v>
      </c>
      <c r="D1270">
        <v>2330</v>
      </c>
      <c r="E1270">
        <v>350</v>
      </c>
      <c r="F1270" t="s">
        <v>85</v>
      </c>
    </row>
    <row r="1271" spans="1:6" x14ac:dyDescent="0.3">
      <c r="A1271" s="20">
        <v>45789</v>
      </c>
      <c r="B1271">
        <v>11</v>
      </c>
      <c r="C1271" t="s">
        <v>155</v>
      </c>
      <c r="D1271">
        <v>82</v>
      </c>
      <c r="E1271">
        <v>43</v>
      </c>
      <c r="F1271" t="s">
        <v>32</v>
      </c>
    </row>
    <row r="1272" spans="1:6" x14ac:dyDescent="0.3">
      <c r="A1272" s="20">
        <v>45789</v>
      </c>
      <c r="B1272">
        <v>11</v>
      </c>
      <c r="C1272" t="s">
        <v>160</v>
      </c>
      <c r="D1272">
        <v>5</v>
      </c>
      <c r="E1272">
        <v>0</v>
      </c>
      <c r="F1272" t="s">
        <v>68</v>
      </c>
    </row>
    <row r="1273" spans="1:6" x14ac:dyDescent="0.3">
      <c r="A1273" s="20">
        <v>45789</v>
      </c>
      <c r="B1273">
        <v>11</v>
      </c>
      <c r="C1273" t="s">
        <v>160</v>
      </c>
      <c r="D1273">
        <v>7</v>
      </c>
      <c r="E1273">
        <v>3</v>
      </c>
      <c r="F1273" t="s">
        <v>138</v>
      </c>
    </row>
    <row r="1274" spans="1:6" x14ac:dyDescent="0.3">
      <c r="A1274" s="20">
        <v>45789</v>
      </c>
      <c r="B1274">
        <v>11</v>
      </c>
      <c r="C1274" t="s">
        <v>160</v>
      </c>
      <c r="D1274">
        <v>165</v>
      </c>
      <c r="E1274">
        <v>47</v>
      </c>
      <c r="F1274" t="s">
        <v>161</v>
      </c>
    </row>
    <row r="1275" spans="1:6" x14ac:dyDescent="0.3">
      <c r="A1275" s="20">
        <v>45789</v>
      </c>
      <c r="B1275">
        <v>11</v>
      </c>
      <c r="C1275" t="s">
        <v>160</v>
      </c>
      <c r="D1275">
        <v>9</v>
      </c>
      <c r="E1275">
        <v>0</v>
      </c>
      <c r="F1275" t="s">
        <v>72</v>
      </c>
    </row>
    <row r="1276" spans="1:6" x14ac:dyDescent="0.3">
      <c r="A1276" s="20">
        <v>45789</v>
      </c>
      <c r="B1276">
        <v>11</v>
      </c>
      <c r="C1276" t="s">
        <v>55</v>
      </c>
      <c r="D1276">
        <v>85665</v>
      </c>
      <c r="E1276">
        <v>5036</v>
      </c>
      <c r="F1276" t="s">
        <v>38</v>
      </c>
    </row>
    <row r="1277" spans="1:6" x14ac:dyDescent="0.3">
      <c r="A1277" s="20">
        <v>45789</v>
      </c>
      <c r="B1277">
        <v>11</v>
      </c>
      <c r="C1277" t="s">
        <v>253</v>
      </c>
      <c r="D1277">
        <v>1074</v>
      </c>
      <c r="E1277">
        <v>254</v>
      </c>
      <c r="F1277" t="s">
        <v>47</v>
      </c>
    </row>
    <row r="1278" spans="1:6" x14ac:dyDescent="0.3">
      <c r="A1278" s="20">
        <v>45789</v>
      </c>
      <c r="B1278">
        <v>11</v>
      </c>
      <c r="C1278" t="s">
        <v>235</v>
      </c>
      <c r="D1278">
        <v>2182</v>
      </c>
      <c r="E1278">
        <v>250</v>
      </c>
      <c r="F1278" t="s">
        <v>229</v>
      </c>
    </row>
    <row r="1279" spans="1:6" x14ac:dyDescent="0.3">
      <c r="A1279" s="20">
        <v>45789</v>
      </c>
      <c r="B1279">
        <v>12</v>
      </c>
      <c r="C1279" t="s">
        <v>73</v>
      </c>
      <c r="D1279">
        <v>0</v>
      </c>
      <c r="E1279">
        <v>0</v>
      </c>
    </row>
    <row r="1280" spans="1:6" x14ac:dyDescent="0.3">
      <c r="A1280" s="20">
        <v>45789</v>
      </c>
      <c r="B1280">
        <v>12</v>
      </c>
      <c r="C1280" t="s">
        <v>73</v>
      </c>
      <c r="D1280">
        <v>0</v>
      </c>
      <c r="E1280">
        <v>0</v>
      </c>
      <c r="F1280" t="s">
        <v>234</v>
      </c>
    </row>
    <row r="1281" spans="1:6" x14ac:dyDescent="0.3">
      <c r="A1281" s="20">
        <v>45789</v>
      </c>
      <c r="B1281">
        <v>12</v>
      </c>
      <c r="C1281" t="s">
        <v>73</v>
      </c>
      <c r="D1281">
        <v>0</v>
      </c>
      <c r="E1281">
        <v>0</v>
      </c>
      <c r="F1281" t="s">
        <v>45</v>
      </c>
    </row>
    <row r="1282" spans="1:6" x14ac:dyDescent="0.3">
      <c r="A1282" s="20">
        <v>45789</v>
      </c>
      <c r="B1282">
        <v>12</v>
      </c>
      <c r="C1282" t="s">
        <v>228</v>
      </c>
      <c r="D1282">
        <v>183</v>
      </c>
      <c r="E1282">
        <v>20</v>
      </c>
      <c r="F1282" t="s">
        <v>72</v>
      </c>
    </row>
    <row r="1283" spans="1:6" x14ac:dyDescent="0.3">
      <c r="A1283" s="20">
        <v>45789</v>
      </c>
      <c r="B1283">
        <v>12</v>
      </c>
      <c r="C1283" t="s">
        <v>66</v>
      </c>
      <c r="D1283">
        <v>18868</v>
      </c>
      <c r="E1283">
        <v>1856</v>
      </c>
      <c r="F1283" t="s">
        <v>31</v>
      </c>
    </row>
    <row r="1284" spans="1:6" x14ac:dyDescent="0.3">
      <c r="A1284" s="20">
        <v>45789</v>
      </c>
      <c r="B1284">
        <v>12</v>
      </c>
      <c r="C1284" t="s">
        <v>53</v>
      </c>
      <c r="D1284">
        <v>2210</v>
      </c>
      <c r="E1284">
        <v>88</v>
      </c>
      <c r="F1284" t="s">
        <v>31</v>
      </c>
    </row>
    <row r="1285" spans="1:6" x14ac:dyDescent="0.3">
      <c r="A1285" s="20">
        <v>45789</v>
      </c>
      <c r="B1285">
        <v>12</v>
      </c>
      <c r="C1285" t="s">
        <v>49</v>
      </c>
      <c r="D1285">
        <v>16876</v>
      </c>
      <c r="E1285">
        <v>1356</v>
      </c>
      <c r="F1285" t="s">
        <v>42</v>
      </c>
    </row>
    <row r="1286" spans="1:6" x14ac:dyDescent="0.3">
      <c r="A1286" s="20">
        <v>45789</v>
      </c>
      <c r="B1286">
        <v>12</v>
      </c>
      <c r="C1286" t="s">
        <v>245</v>
      </c>
      <c r="D1286">
        <v>74716</v>
      </c>
      <c r="E1286">
        <v>9647</v>
      </c>
      <c r="F1286" t="s">
        <v>31</v>
      </c>
    </row>
    <row r="1287" spans="1:6" x14ac:dyDescent="0.3">
      <c r="A1287" s="20">
        <v>45789</v>
      </c>
      <c r="B1287">
        <v>12</v>
      </c>
      <c r="C1287" t="s">
        <v>243</v>
      </c>
      <c r="D1287">
        <v>10712</v>
      </c>
      <c r="E1287">
        <v>1008</v>
      </c>
      <c r="F1287" t="s">
        <v>31</v>
      </c>
    </row>
    <row r="1288" spans="1:6" x14ac:dyDescent="0.3">
      <c r="A1288" s="20">
        <v>45789</v>
      </c>
      <c r="B1288">
        <v>12</v>
      </c>
      <c r="C1288" t="s">
        <v>243</v>
      </c>
      <c r="D1288">
        <v>283</v>
      </c>
      <c r="E1288">
        <v>30</v>
      </c>
      <c r="F1288" t="s">
        <v>42</v>
      </c>
    </row>
    <row r="1289" spans="1:6" x14ac:dyDescent="0.3">
      <c r="A1289" s="20">
        <v>45789</v>
      </c>
      <c r="B1289">
        <v>12</v>
      </c>
      <c r="C1289" t="s">
        <v>232</v>
      </c>
      <c r="D1289">
        <v>1561</v>
      </c>
      <c r="E1289">
        <v>132</v>
      </c>
      <c r="F1289" t="s">
        <v>39</v>
      </c>
    </row>
    <row r="1290" spans="1:6" x14ac:dyDescent="0.3">
      <c r="A1290" s="20">
        <v>45789</v>
      </c>
      <c r="B1290">
        <v>12</v>
      </c>
      <c r="C1290" t="s">
        <v>250</v>
      </c>
      <c r="D1290">
        <v>35</v>
      </c>
      <c r="E1290">
        <v>4</v>
      </c>
      <c r="F1290" t="s">
        <v>85</v>
      </c>
    </row>
    <row r="1291" spans="1:6" x14ac:dyDescent="0.3">
      <c r="A1291" s="20">
        <v>45789</v>
      </c>
      <c r="B1291">
        <v>12</v>
      </c>
      <c r="C1291" t="s">
        <v>250</v>
      </c>
      <c r="D1291">
        <v>857</v>
      </c>
      <c r="E1291">
        <v>94</v>
      </c>
      <c r="F1291" t="s">
        <v>75</v>
      </c>
    </row>
    <row r="1292" spans="1:6" x14ac:dyDescent="0.3">
      <c r="A1292" s="20">
        <v>45789</v>
      </c>
      <c r="B1292">
        <v>12</v>
      </c>
      <c r="C1292" t="s">
        <v>251</v>
      </c>
      <c r="D1292">
        <v>2998</v>
      </c>
      <c r="E1292">
        <v>511</v>
      </c>
      <c r="F1292" t="s">
        <v>44</v>
      </c>
    </row>
    <row r="1293" spans="1:6" x14ac:dyDescent="0.3">
      <c r="A1293" s="20">
        <v>45789</v>
      </c>
      <c r="B1293">
        <v>12</v>
      </c>
      <c r="C1293" t="s">
        <v>258</v>
      </c>
      <c r="D1293">
        <v>5759</v>
      </c>
      <c r="E1293">
        <v>1056</v>
      </c>
      <c r="F1293" t="s">
        <v>229</v>
      </c>
    </row>
    <row r="1294" spans="1:6" x14ac:dyDescent="0.3">
      <c r="A1294" s="20">
        <v>45789</v>
      </c>
      <c r="B1294">
        <v>13</v>
      </c>
      <c r="C1294" t="s">
        <v>73</v>
      </c>
      <c r="D1294">
        <v>0</v>
      </c>
      <c r="E1294">
        <v>0</v>
      </c>
      <c r="F1294" t="s">
        <v>163</v>
      </c>
    </row>
    <row r="1295" spans="1:6" x14ac:dyDescent="0.3">
      <c r="A1295" s="20">
        <v>45789</v>
      </c>
      <c r="B1295">
        <v>13</v>
      </c>
      <c r="C1295" t="s">
        <v>73</v>
      </c>
      <c r="D1295">
        <v>0</v>
      </c>
      <c r="E1295">
        <v>0</v>
      </c>
      <c r="F1295" t="s">
        <v>229</v>
      </c>
    </row>
    <row r="1296" spans="1:6" x14ac:dyDescent="0.3">
      <c r="A1296" s="20">
        <v>45789</v>
      </c>
      <c r="B1296">
        <v>13</v>
      </c>
      <c r="C1296" t="s">
        <v>242</v>
      </c>
      <c r="D1296">
        <v>48924</v>
      </c>
      <c r="E1296">
        <v>5673</v>
      </c>
      <c r="F1296" t="s">
        <v>31</v>
      </c>
    </row>
    <row r="1297" spans="1:6" x14ac:dyDescent="0.3">
      <c r="A1297" s="20">
        <v>45789</v>
      </c>
      <c r="B1297">
        <v>13</v>
      </c>
      <c r="C1297" t="s">
        <v>239</v>
      </c>
      <c r="D1297">
        <v>78462</v>
      </c>
      <c r="E1297">
        <v>6716</v>
      </c>
      <c r="F1297" t="s">
        <v>31</v>
      </c>
    </row>
    <row r="1298" spans="1:6" x14ac:dyDescent="0.3">
      <c r="A1298" s="20">
        <v>45789</v>
      </c>
      <c r="B1298">
        <v>13</v>
      </c>
      <c r="C1298" t="s">
        <v>35</v>
      </c>
      <c r="D1298">
        <v>5272</v>
      </c>
      <c r="E1298">
        <v>358</v>
      </c>
      <c r="F1298" t="s">
        <v>31</v>
      </c>
    </row>
    <row r="1299" spans="1:6" x14ac:dyDescent="0.3">
      <c r="A1299" s="20">
        <v>45789</v>
      </c>
      <c r="B1299">
        <v>13</v>
      </c>
      <c r="C1299" t="s">
        <v>35</v>
      </c>
      <c r="D1299">
        <v>67</v>
      </c>
      <c r="E1299">
        <v>11</v>
      </c>
      <c r="F1299" t="s">
        <v>42</v>
      </c>
    </row>
    <row r="1300" spans="1:6" x14ac:dyDescent="0.3">
      <c r="A1300" s="20">
        <v>45789</v>
      </c>
      <c r="B1300">
        <v>13</v>
      </c>
      <c r="C1300" t="s">
        <v>244</v>
      </c>
      <c r="D1300">
        <v>46183</v>
      </c>
      <c r="E1300">
        <v>4510</v>
      </c>
      <c r="F1300" t="s">
        <v>31</v>
      </c>
    </row>
    <row r="1301" spans="1:6" x14ac:dyDescent="0.3">
      <c r="A1301" s="20">
        <v>45789</v>
      </c>
      <c r="B1301">
        <v>13</v>
      </c>
      <c r="C1301" t="s">
        <v>50</v>
      </c>
      <c r="D1301">
        <v>479</v>
      </c>
      <c r="E1301">
        <v>84</v>
      </c>
      <c r="F1301" t="s">
        <v>31</v>
      </c>
    </row>
    <row r="1302" spans="1:6" x14ac:dyDescent="0.3">
      <c r="A1302" s="20">
        <v>45789</v>
      </c>
      <c r="B1302">
        <v>13</v>
      </c>
      <c r="C1302" t="s">
        <v>246</v>
      </c>
      <c r="D1302">
        <v>48634</v>
      </c>
      <c r="E1302">
        <v>6743</v>
      </c>
      <c r="F1302" t="s">
        <v>31</v>
      </c>
    </row>
    <row r="1303" spans="1:6" x14ac:dyDescent="0.3">
      <c r="A1303" s="20">
        <v>45789</v>
      </c>
      <c r="B1303">
        <v>13</v>
      </c>
      <c r="C1303" t="s">
        <v>233</v>
      </c>
      <c r="D1303">
        <v>14329</v>
      </c>
      <c r="E1303">
        <v>2259</v>
      </c>
      <c r="F1303" t="s">
        <v>34</v>
      </c>
    </row>
    <row r="1304" spans="1:6" x14ac:dyDescent="0.3">
      <c r="A1304" s="20">
        <v>45789</v>
      </c>
      <c r="B1304">
        <v>13</v>
      </c>
      <c r="C1304" t="s">
        <v>255</v>
      </c>
      <c r="D1304">
        <v>14210</v>
      </c>
      <c r="E1304">
        <v>1924</v>
      </c>
      <c r="F1304" t="s">
        <v>39</v>
      </c>
    </row>
    <row r="1305" spans="1:6" x14ac:dyDescent="0.3">
      <c r="A1305" s="20">
        <v>45789</v>
      </c>
      <c r="B1305">
        <v>13</v>
      </c>
      <c r="C1305" t="s">
        <v>250</v>
      </c>
      <c r="D1305">
        <v>10756</v>
      </c>
      <c r="E1305">
        <v>1710</v>
      </c>
      <c r="F1305" t="s">
        <v>164</v>
      </c>
    </row>
    <row r="1306" spans="1:6" x14ac:dyDescent="0.3">
      <c r="A1306" s="20">
        <v>45789</v>
      </c>
      <c r="B1306">
        <v>13</v>
      </c>
      <c r="C1306" t="s">
        <v>160</v>
      </c>
      <c r="D1306">
        <v>910</v>
      </c>
      <c r="E1306">
        <v>185</v>
      </c>
      <c r="F1306" t="s">
        <v>39</v>
      </c>
    </row>
    <row r="1307" spans="1:6" x14ac:dyDescent="0.3">
      <c r="A1307" s="20">
        <v>45789</v>
      </c>
      <c r="B1307">
        <v>13</v>
      </c>
      <c r="C1307" t="s">
        <v>160</v>
      </c>
      <c r="D1307">
        <v>180</v>
      </c>
      <c r="E1307">
        <v>46</v>
      </c>
      <c r="F1307" t="s">
        <v>44</v>
      </c>
    </row>
    <row r="1308" spans="1:6" x14ac:dyDescent="0.3">
      <c r="A1308" s="20">
        <v>45789</v>
      </c>
      <c r="B1308">
        <v>13</v>
      </c>
      <c r="C1308" t="s">
        <v>160</v>
      </c>
      <c r="D1308">
        <v>5204</v>
      </c>
      <c r="E1308">
        <v>1071</v>
      </c>
      <c r="F1308" t="s">
        <v>231</v>
      </c>
    </row>
    <row r="1309" spans="1:6" x14ac:dyDescent="0.3">
      <c r="A1309" s="20">
        <v>45789</v>
      </c>
      <c r="B1309">
        <v>13</v>
      </c>
      <c r="C1309" t="s">
        <v>235</v>
      </c>
      <c r="D1309">
        <v>11160</v>
      </c>
      <c r="E1309">
        <v>1420</v>
      </c>
      <c r="F1309" t="s">
        <v>234</v>
      </c>
    </row>
    <row r="1310" spans="1:6" x14ac:dyDescent="0.3">
      <c r="A1310" s="20">
        <v>45789</v>
      </c>
      <c r="B1310">
        <v>14</v>
      </c>
      <c r="C1310" t="s">
        <v>73</v>
      </c>
      <c r="D1310">
        <v>0</v>
      </c>
      <c r="E1310">
        <v>0</v>
      </c>
      <c r="F1310" t="s">
        <v>46</v>
      </c>
    </row>
    <row r="1311" spans="1:6" x14ac:dyDescent="0.3">
      <c r="A1311" s="20">
        <v>45789</v>
      </c>
      <c r="B1311">
        <v>14</v>
      </c>
      <c r="C1311" t="s">
        <v>73</v>
      </c>
      <c r="D1311">
        <v>0</v>
      </c>
      <c r="E1311">
        <v>0</v>
      </c>
      <c r="F1311" t="s">
        <v>38</v>
      </c>
    </row>
    <row r="1312" spans="1:6" x14ac:dyDescent="0.3">
      <c r="A1312" s="20">
        <v>45789</v>
      </c>
      <c r="B1312">
        <v>14</v>
      </c>
      <c r="C1312" t="s">
        <v>73</v>
      </c>
      <c r="D1312">
        <v>0</v>
      </c>
      <c r="E1312">
        <v>0</v>
      </c>
      <c r="F1312" t="s">
        <v>43</v>
      </c>
    </row>
    <row r="1313" spans="1:6" x14ac:dyDescent="0.3">
      <c r="A1313" s="20">
        <v>45789</v>
      </c>
      <c r="B1313">
        <v>14</v>
      </c>
      <c r="C1313" t="s">
        <v>156</v>
      </c>
      <c r="D1313">
        <v>8249</v>
      </c>
      <c r="E1313">
        <v>1683</v>
      </c>
      <c r="F1313" t="s">
        <v>45</v>
      </c>
    </row>
    <row r="1314" spans="1:6" x14ac:dyDescent="0.3">
      <c r="A1314" s="20">
        <v>45789</v>
      </c>
      <c r="B1314">
        <v>14</v>
      </c>
      <c r="C1314" t="s">
        <v>228</v>
      </c>
      <c r="D1314">
        <v>19082</v>
      </c>
      <c r="E1314">
        <v>2742</v>
      </c>
      <c r="F1314" t="s">
        <v>231</v>
      </c>
    </row>
    <row r="1315" spans="1:6" x14ac:dyDescent="0.3">
      <c r="A1315" s="20">
        <v>45789</v>
      </c>
      <c r="B1315">
        <v>14</v>
      </c>
      <c r="C1315" t="s">
        <v>228</v>
      </c>
      <c r="D1315">
        <v>702</v>
      </c>
      <c r="E1315">
        <v>109</v>
      </c>
      <c r="F1315" t="s">
        <v>43</v>
      </c>
    </row>
    <row r="1316" spans="1:6" x14ac:dyDescent="0.3">
      <c r="A1316" s="20">
        <v>45789</v>
      </c>
      <c r="B1316">
        <v>14</v>
      </c>
      <c r="C1316" t="s">
        <v>159</v>
      </c>
      <c r="D1316">
        <v>30877</v>
      </c>
      <c r="E1316">
        <v>1163</v>
      </c>
      <c r="F1316" t="s">
        <v>31</v>
      </c>
    </row>
    <row r="1317" spans="1:6" x14ac:dyDescent="0.3">
      <c r="A1317" s="20">
        <v>45789</v>
      </c>
      <c r="B1317">
        <v>14</v>
      </c>
      <c r="C1317" t="s">
        <v>230</v>
      </c>
      <c r="D1317">
        <v>31836</v>
      </c>
      <c r="E1317">
        <v>3870</v>
      </c>
      <c r="F1317" t="s">
        <v>31</v>
      </c>
    </row>
    <row r="1318" spans="1:6" x14ac:dyDescent="0.3">
      <c r="A1318" s="20">
        <v>45789</v>
      </c>
      <c r="B1318">
        <v>14</v>
      </c>
      <c r="C1318" t="s">
        <v>158</v>
      </c>
      <c r="D1318">
        <v>18206</v>
      </c>
      <c r="E1318">
        <v>447</v>
      </c>
      <c r="F1318" t="s">
        <v>42</v>
      </c>
    </row>
    <row r="1319" spans="1:6" x14ac:dyDescent="0.3">
      <c r="A1319" s="20">
        <v>45789</v>
      </c>
      <c r="B1319">
        <v>14</v>
      </c>
      <c r="C1319" t="s">
        <v>48</v>
      </c>
      <c r="D1319">
        <v>55903</v>
      </c>
      <c r="E1319">
        <v>3467</v>
      </c>
      <c r="F1319" t="s">
        <v>31</v>
      </c>
    </row>
    <row r="1320" spans="1:6" x14ac:dyDescent="0.3">
      <c r="A1320" s="20">
        <v>45789</v>
      </c>
      <c r="B1320">
        <v>14</v>
      </c>
      <c r="C1320" t="s">
        <v>48</v>
      </c>
      <c r="D1320">
        <v>0</v>
      </c>
      <c r="E1320">
        <v>0</v>
      </c>
      <c r="F1320" t="s">
        <v>259</v>
      </c>
    </row>
    <row r="1321" spans="1:6" x14ac:dyDescent="0.3">
      <c r="A1321" s="20">
        <v>45789</v>
      </c>
      <c r="B1321">
        <v>14</v>
      </c>
      <c r="C1321" t="s">
        <v>139</v>
      </c>
      <c r="D1321">
        <v>32761</v>
      </c>
      <c r="E1321">
        <v>1071</v>
      </c>
      <c r="F1321" t="s">
        <v>46</v>
      </c>
    </row>
    <row r="1322" spans="1:6" x14ac:dyDescent="0.3">
      <c r="A1322" s="20">
        <v>45789</v>
      </c>
      <c r="B1322">
        <v>14</v>
      </c>
      <c r="C1322" t="s">
        <v>71</v>
      </c>
      <c r="D1322">
        <v>8772</v>
      </c>
      <c r="E1322">
        <v>2773</v>
      </c>
      <c r="F1322" t="s">
        <v>32</v>
      </c>
    </row>
    <row r="1323" spans="1:6" x14ac:dyDescent="0.3">
      <c r="A1323" s="20">
        <v>45789</v>
      </c>
      <c r="B1323">
        <v>14</v>
      </c>
      <c r="C1323" t="s">
        <v>71</v>
      </c>
      <c r="D1323">
        <v>23097</v>
      </c>
      <c r="E1323">
        <v>2431</v>
      </c>
      <c r="F1323" t="s">
        <v>164</v>
      </c>
    </row>
    <row r="1324" spans="1:6" x14ac:dyDescent="0.3">
      <c r="A1324" s="20">
        <v>45789</v>
      </c>
      <c r="B1324">
        <v>14</v>
      </c>
      <c r="C1324" t="s">
        <v>233</v>
      </c>
      <c r="D1324">
        <v>3409</v>
      </c>
      <c r="E1324">
        <v>460</v>
      </c>
      <c r="F1324" t="s">
        <v>85</v>
      </c>
    </row>
    <row r="1325" spans="1:6" x14ac:dyDescent="0.3">
      <c r="A1325" s="20">
        <v>45789</v>
      </c>
      <c r="B1325">
        <v>14</v>
      </c>
      <c r="C1325" t="s">
        <v>155</v>
      </c>
      <c r="D1325">
        <v>86</v>
      </c>
      <c r="E1325">
        <v>42</v>
      </c>
      <c r="F1325" t="s">
        <v>32</v>
      </c>
    </row>
    <row r="1326" spans="1:6" x14ac:dyDescent="0.3">
      <c r="A1326" s="20">
        <v>45789</v>
      </c>
      <c r="B1326">
        <v>14</v>
      </c>
      <c r="C1326" t="s">
        <v>160</v>
      </c>
      <c r="D1326">
        <v>4</v>
      </c>
      <c r="E1326">
        <v>0</v>
      </c>
      <c r="F1326" t="s">
        <v>68</v>
      </c>
    </row>
    <row r="1327" spans="1:6" x14ac:dyDescent="0.3">
      <c r="A1327" s="20">
        <v>45789</v>
      </c>
      <c r="B1327">
        <v>14</v>
      </c>
      <c r="C1327" t="s">
        <v>160</v>
      </c>
      <c r="D1327">
        <v>55</v>
      </c>
      <c r="E1327">
        <v>13</v>
      </c>
      <c r="F1327" t="s">
        <v>138</v>
      </c>
    </row>
    <row r="1328" spans="1:6" x14ac:dyDescent="0.3">
      <c r="A1328" s="20">
        <v>45789</v>
      </c>
      <c r="B1328">
        <v>14</v>
      </c>
      <c r="C1328" t="s">
        <v>160</v>
      </c>
      <c r="D1328">
        <v>139</v>
      </c>
      <c r="E1328">
        <v>35</v>
      </c>
      <c r="F1328" t="s">
        <v>161</v>
      </c>
    </row>
    <row r="1329" spans="1:6" x14ac:dyDescent="0.3">
      <c r="A1329" s="20">
        <v>45789</v>
      </c>
      <c r="B1329">
        <v>14</v>
      </c>
      <c r="C1329" t="s">
        <v>160</v>
      </c>
      <c r="D1329">
        <v>26</v>
      </c>
      <c r="E1329">
        <v>7</v>
      </c>
      <c r="F1329" t="s">
        <v>72</v>
      </c>
    </row>
    <row r="1330" spans="1:6" x14ac:dyDescent="0.3">
      <c r="A1330" s="20">
        <v>45789</v>
      </c>
      <c r="B1330">
        <v>14</v>
      </c>
      <c r="C1330" t="s">
        <v>160</v>
      </c>
      <c r="D1330">
        <v>1</v>
      </c>
      <c r="E1330">
        <v>1</v>
      </c>
      <c r="F1330" t="s">
        <v>77</v>
      </c>
    </row>
    <row r="1331" spans="1:6" x14ac:dyDescent="0.3">
      <c r="A1331" s="20">
        <v>45789</v>
      </c>
      <c r="B1331">
        <v>14</v>
      </c>
      <c r="C1331" t="s">
        <v>55</v>
      </c>
      <c r="D1331">
        <v>89030</v>
      </c>
      <c r="E1331">
        <v>4289</v>
      </c>
      <c r="F1331" t="s">
        <v>38</v>
      </c>
    </row>
    <row r="1332" spans="1:6" x14ac:dyDescent="0.3">
      <c r="A1332" s="20">
        <v>45789</v>
      </c>
      <c r="B1332">
        <v>14</v>
      </c>
      <c r="C1332" t="s">
        <v>253</v>
      </c>
      <c r="D1332">
        <v>1044</v>
      </c>
      <c r="E1332">
        <v>257</v>
      </c>
      <c r="F1332" t="s">
        <v>47</v>
      </c>
    </row>
    <row r="1333" spans="1:6" x14ac:dyDescent="0.3">
      <c r="A1333" s="20">
        <v>45789</v>
      </c>
      <c r="B1333">
        <v>14</v>
      </c>
      <c r="C1333" t="s">
        <v>235</v>
      </c>
      <c r="D1333">
        <v>1857</v>
      </c>
      <c r="E1333">
        <v>214</v>
      </c>
      <c r="F1333" t="s">
        <v>229</v>
      </c>
    </row>
    <row r="1334" spans="1:6" x14ac:dyDescent="0.3">
      <c r="A1334" s="20">
        <v>45789</v>
      </c>
      <c r="B1334">
        <v>15</v>
      </c>
      <c r="C1334" t="s">
        <v>73</v>
      </c>
      <c r="D1334">
        <v>0</v>
      </c>
      <c r="E1334">
        <v>0</v>
      </c>
      <c r="F1334" t="s">
        <v>234</v>
      </c>
    </row>
    <row r="1335" spans="1:6" x14ac:dyDescent="0.3">
      <c r="A1335" s="20">
        <v>45789</v>
      </c>
      <c r="B1335">
        <v>15</v>
      </c>
      <c r="C1335" t="s">
        <v>73</v>
      </c>
      <c r="D1335">
        <v>0</v>
      </c>
      <c r="E1335">
        <v>0</v>
      </c>
      <c r="F1335" t="s">
        <v>45</v>
      </c>
    </row>
    <row r="1336" spans="1:6" x14ac:dyDescent="0.3">
      <c r="A1336" s="20">
        <v>45789</v>
      </c>
      <c r="B1336">
        <v>15</v>
      </c>
      <c r="C1336" t="s">
        <v>228</v>
      </c>
      <c r="D1336">
        <v>100</v>
      </c>
      <c r="E1336">
        <v>15</v>
      </c>
      <c r="F1336" t="s">
        <v>72</v>
      </c>
    </row>
    <row r="1337" spans="1:6" x14ac:dyDescent="0.3">
      <c r="A1337" s="20">
        <v>45789</v>
      </c>
      <c r="B1337">
        <v>15</v>
      </c>
      <c r="C1337" t="s">
        <v>66</v>
      </c>
      <c r="D1337">
        <v>9995</v>
      </c>
      <c r="E1337">
        <v>861</v>
      </c>
      <c r="F1337" t="s">
        <v>31</v>
      </c>
    </row>
    <row r="1338" spans="1:6" x14ac:dyDescent="0.3">
      <c r="A1338" s="20">
        <v>45789</v>
      </c>
      <c r="B1338">
        <v>15</v>
      </c>
      <c r="C1338" t="s">
        <v>53</v>
      </c>
      <c r="D1338">
        <v>2430</v>
      </c>
      <c r="E1338">
        <v>96</v>
      </c>
      <c r="F1338" t="s">
        <v>31</v>
      </c>
    </row>
    <row r="1339" spans="1:6" x14ac:dyDescent="0.3">
      <c r="A1339" s="20">
        <v>45789</v>
      </c>
      <c r="B1339">
        <v>15</v>
      </c>
      <c r="C1339" t="s">
        <v>243</v>
      </c>
      <c r="D1339">
        <v>11592</v>
      </c>
      <c r="E1339">
        <v>938</v>
      </c>
      <c r="F1339" t="s">
        <v>31</v>
      </c>
    </row>
    <row r="1340" spans="1:6" x14ac:dyDescent="0.3">
      <c r="A1340" s="20">
        <v>45789</v>
      </c>
      <c r="B1340">
        <v>15</v>
      </c>
      <c r="C1340" t="s">
        <v>243</v>
      </c>
      <c r="D1340">
        <v>227</v>
      </c>
      <c r="E1340">
        <v>16</v>
      </c>
      <c r="F1340" t="s">
        <v>42</v>
      </c>
    </row>
    <row r="1341" spans="1:6" x14ac:dyDescent="0.3">
      <c r="A1341" s="20">
        <v>45789</v>
      </c>
      <c r="B1341">
        <v>15</v>
      </c>
      <c r="C1341" t="s">
        <v>152</v>
      </c>
      <c r="D1341">
        <v>9407</v>
      </c>
      <c r="E1341">
        <v>1188</v>
      </c>
      <c r="F1341" t="s">
        <v>252</v>
      </c>
    </row>
    <row r="1342" spans="1:6" x14ac:dyDescent="0.3">
      <c r="A1342" s="20">
        <v>45789</v>
      </c>
      <c r="B1342">
        <v>15</v>
      </c>
      <c r="C1342" t="s">
        <v>232</v>
      </c>
      <c r="D1342">
        <v>2972</v>
      </c>
      <c r="E1342">
        <v>253</v>
      </c>
      <c r="F1342" t="s">
        <v>39</v>
      </c>
    </row>
    <row r="1343" spans="1:6" x14ac:dyDescent="0.3">
      <c r="A1343" s="20">
        <v>45789</v>
      </c>
      <c r="B1343">
        <v>15</v>
      </c>
      <c r="C1343" t="s">
        <v>232</v>
      </c>
      <c r="D1343">
        <v>20140</v>
      </c>
      <c r="E1343">
        <v>2898</v>
      </c>
      <c r="F1343" t="s">
        <v>229</v>
      </c>
    </row>
    <row r="1344" spans="1:6" x14ac:dyDescent="0.3">
      <c r="A1344" s="20">
        <v>45789</v>
      </c>
      <c r="B1344">
        <v>15</v>
      </c>
      <c r="C1344" t="s">
        <v>250</v>
      </c>
      <c r="D1344">
        <v>617</v>
      </c>
      <c r="E1344">
        <v>84</v>
      </c>
      <c r="F1344" t="s">
        <v>75</v>
      </c>
    </row>
    <row r="1345" spans="1:6" x14ac:dyDescent="0.3">
      <c r="A1345" s="20">
        <v>45789</v>
      </c>
      <c r="B1345">
        <v>15</v>
      </c>
      <c r="C1345" t="s">
        <v>251</v>
      </c>
      <c r="D1345">
        <v>7110</v>
      </c>
      <c r="E1345">
        <v>996</v>
      </c>
      <c r="F1345" t="s">
        <v>44</v>
      </c>
    </row>
    <row r="1346" spans="1:6" x14ac:dyDescent="0.3">
      <c r="A1346" s="20">
        <v>45789</v>
      </c>
      <c r="B1346">
        <v>15</v>
      </c>
      <c r="C1346" t="s">
        <v>258</v>
      </c>
      <c r="D1346">
        <v>4723</v>
      </c>
      <c r="E1346">
        <v>588</v>
      </c>
      <c r="F1346" t="s">
        <v>229</v>
      </c>
    </row>
    <row r="1347" spans="1:6" x14ac:dyDescent="0.3">
      <c r="A1347" s="20">
        <v>45789</v>
      </c>
      <c r="B1347">
        <v>16</v>
      </c>
      <c r="C1347" t="s">
        <v>73</v>
      </c>
      <c r="D1347">
        <v>0</v>
      </c>
      <c r="E1347">
        <v>0</v>
      </c>
      <c r="F1347" t="s">
        <v>163</v>
      </c>
    </row>
    <row r="1348" spans="1:6" x14ac:dyDescent="0.3">
      <c r="A1348" s="20">
        <v>45789</v>
      </c>
      <c r="B1348">
        <v>16</v>
      </c>
      <c r="C1348" t="s">
        <v>73</v>
      </c>
      <c r="D1348">
        <v>0</v>
      </c>
      <c r="E1348">
        <v>0</v>
      </c>
      <c r="F1348" t="s">
        <v>229</v>
      </c>
    </row>
    <row r="1349" spans="1:6" x14ac:dyDescent="0.3">
      <c r="A1349" s="20">
        <v>45789</v>
      </c>
      <c r="B1349">
        <v>16</v>
      </c>
      <c r="C1349" t="s">
        <v>242</v>
      </c>
      <c r="D1349">
        <v>54897</v>
      </c>
      <c r="E1349">
        <v>6079</v>
      </c>
      <c r="F1349" t="s">
        <v>31</v>
      </c>
    </row>
    <row r="1350" spans="1:6" x14ac:dyDescent="0.3">
      <c r="A1350" s="20">
        <v>45789</v>
      </c>
      <c r="B1350">
        <v>16</v>
      </c>
      <c r="C1350" t="s">
        <v>239</v>
      </c>
      <c r="D1350">
        <v>84264</v>
      </c>
      <c r="E1350">
        <v>7137</v>
      </c>
      <c r="F1350" t="s">
        <v>31</v>
      </c>
    </row>
    <row r="1351" spans="1:6" x14ac:dyDescent="0.3">
      <c r="A1351" s="20">
        <v>45789</v>
      </c>
      <c r="B1351">
        <v>16</v>
      </c>
      <c r="C1351" t="s">
        <v>236</v>
      </c>
      <c r="D1351">
        <v>46980</v>
      </c>
      <c r="E1351">
        <v>4941</v>
      </c>
      <c r="F1351" t="s">
        <v>31</v>
      </c>
    </row>
    <row r="1352" spans="1:6" x14ac:dyDescent="0.3">
      <c r="A1352" s="20">
        <v>45789</v>
      </c>
      <c r="B1352">
        <v>16</v>
      </c>
      <c r="C1352" t="s">
        <v>236</v>
      </c>
      <c r="D1352">
        <v>810</v>
      </c>
      <c r="E1352">
        <v>148</v>
      </c>
      <c r="F1352" t="s">
        <v>42</v>
      </c>
    </row>
    <row r="1353" spans="1:6" x14ac:dyDescent="0.3">
      <c r="A1353" s="20">
        <v>45789</v>
      </c>
      <c r="B1353">
        <v>16</v>
      </c>
      <c r="C1353" t="s">
        <v>35</v>
      </c>
      <c r="D1353">
        <v>4455</v>
      </c>
      <c r="E1353">
        <v>253</v>
      </c>
      <c r="F1353" t="s">
        <v>31</v>
      </c>
    </row>
    <row r="1354" spans="1:6" x14ac:dyDescent="0.3">
      <c r="A1354" s="20">
        <v>45789</v>
      </c>
      <c r="B1354">
        <v>16</v>
      </c>
      <c r="C1354" t="s">
        <v>35</v>
      </c>
      <c r="D1354">
        <v>129</v>
      </c>
      <c r="E1354">
        <v>15</v>
      </c>
      <c r="F1354" t="s">
        <v>42</v>
      </c>
    </row>
    <row r="1355" spans="1:6" x14ac:dyDescent="0.3">
      <c r="A1355" s="20">
        <v>45789</v>
      </c>
      <c r="B1355">
        <v>16</v>
      </c>
      <c r="C1355" t="s">
        <v>244</v>
      </c>
      <c r="D1355">
        <v>46434</v>
      </c>
      <c r="E1355">
        <v>4389</v>
      </c>
      <c r="F1355" t="s">
        <v>31</v>
      </c>
    </row>
    <row r="1356" spans="1:6" x14ac:dyDescent="0.3">
      <c r="A1356" s="20">
        <v>45789</v>
      </c>
      <c r="B1356">
        <v>16</v>
      </c>
      <c r="C1356" t="s">
        <v>237</v>
      </c>
      <c r="D1356">
        <v>19850</v>
      </c>
      <c r="E1356">
        <v>2029</v>
      </c>
      <c r="F1356" t="s">
        <v>31</v>
      </c>
    </row>
    <row r="1357" spans="1:6" x14ac:dyDescent="0.3">
      <c r="A1357" s="20">
        <v>45789</v>
      </c>
      <c r="B1357">
        <v>16</v>
      </c>
      <c r="C1357" t="s">
        <v>50</v>
      </c>
      <c r="D1357">
        <v>304</v>
      </c>
      <c r="E1357">
        <v>58</v>
      </c>
      <c r="F1357" t="s">
        <v>31</v>
      </c>
    </row>
    <row r="1358" spans="1:6" x14ac:dyDescent="0.3">
      <c r="A1358" s="20">
        <v>45789</v>
      </c>
      <c r="B1358">
        <v>16</v>
      </c>
      <c r="C1358" t="s">
        <v>71</v>
      </c>
      <c r="D1358">
        <v>6374</v>
      </c>
      <c r="E1358">
        <v>733</v>
      </c>
      <c r="F1358" t="s">
        <v>229</v>
      </c>
    </row>
    <row r="1359" spans="1:6" x14ac:dyDescent="0.3">
      <c r="A1359" s="20">
        <v>45789</v>
      </c>
      <c r="B1359">
        <v>16</v>
      </c>
      <c r="C1359" t="s">
        <v>255</v>
      </c>
      <c r="D1359">
        <v>13812</v>
      </c>
      <c r="E1359">
        <v>1923</v>
      </c>
      <c r="F1359" t="s">
        <v>39</v>
      </c>
    </row>
    <row r="1360" spans="1:6" x14ac:dyDescent="0.3">
      <c r="A1360" s="20">
        <v>45789</v>
      </c>
      <c r="B1360">
        <v>16</v>
      </c>
      <c r="C1360" t="s">
        <v>250</v>
      </c>
      <c r="D1360">
        <v>2877</v>
      </c>
      <c r="E1360">
        <v>432</v>
      </c>
      <c r="F1360" t="s">
        <v>164</v>
      </c>
    </row>
    <row r="1361" spans="1:6" x14ac:dyDescent="0.3">
      <c r="A1361" s="20">
        <v>45789</v>
      </c>
      <c r="B1361">
        <v>16</v>
      </c>
      <c r="C1361" t="s">
        <v>160</v>
      </c>
      <c r="D1361">
        <v>221</v>
      </c>
      <c r="E1361">
        <v>52</v>
      </c>
      <c r="F1361" t="s">
        <v>44</v>
      </c>
    </row>
    <row r="1362" spans="1:6" x14ac:dyDescent="0.3">
      <c r="A1362" s="20">
        <v>45789</v>
      </c>
      <c r="B1362">
        <v>16</v>
      </c>
      <c r="C1362" t="s">
        <v>160</v>
      </c>
      <c r="D1362">
        <v>4259</v>
      </c>
      <c r="E1362">
        <v>859</v>
      </c>
      <c r="F1362" t="s">
        <v>231</v>
      </c>
    </row>
    <row r="1363" spans="1:6" x14ac:dyDescent="0.3">
      <c r="A1363" s="20">
        <v>45789</v>
      </c>
      <c r="B1363">
        <v>16</v>
      </c>
      <c r="C1363" t="s">
        <v>235</v>
      </c>
      <c r="D1363">
        <v>8515</v>
      </c>
      <c r="E1363">
        <v>861</v>
      </c>
      <c r="F1363" t="s">
        <v>234</v>
      </c>
    </row>
    <row r="1364" spans="1:6" x14ac:dyDescent="0.3">
      <c r="A1364" s="20">
        <v>45789</v>
      </c>
      <c r="B1364">
        <v>17</v>
      </c>
      <c r="C1364" t="s">
        <v>73</v>
      </c>
      <c r="D1364">
        <v>0</v>
      </c>
      <c r="E1364">
        <v>0</v>
      </c>
      <c r="F1364" t="s">
        <v>74</v>
      </c>
    </row>
    <row r="1365" spans="1:6" x14ac:dyDescent="0.3">
      <c r="A1365" s="20">
        <v>45789</v>
      </c>
      <c r="B1365">
        <v>17</v>
      </c>
      <c r="C1365" t="s">
        <v>73</v>
      </c>
      <c r="D1365">
        <v>0</v>
      </c>
      <c r="E1365">
        <v>0</v>
      </c>
      <c r="F1365" t="s">
        <v>46</v>
      </c>
    </row>
    <row r="1366" spans="1:6" x14ac:dyDescent="0.3">
      <c r="A1366" s="20">
        <v>45789</v>
      </c>
      <c r="B1366">
        <v>17</v>
      </c>
      <c r="C1366" t="s">
        <v>73</v>
      </c>
      <c r="D1366">
        <v>0</v>
      </c>
      <c r="E1366">
        <v>0</v>
      </c>
      <c r="F1366" t="s">
        <v>38</v>
      </c>
    </row>
    <row r="1367" spans="1:6" x14ac:dyDescent="0.3">
      <c r="A1367" s="20">
        <v>45789</v>
      </c>
      <c r="B1367">
        <v>17</v>
      </c>
      <c r="C1367" t="s">
        <v>73</v>
      </c>
      <c r="D1367">
        <v>0</v>
      </c>
      <c r="E1367">
        <v>0</v>
      </c>
      <c r="F1367" t="s">
        <v>43</v>
      </c>
    </row>
    <row r="1368" spans="1:6" x14ac:dyDescent="0.3">
      <c r="A1368" s="20">
        <v>45789</v>
      </c>
      <c r="B1368">
        <v>17</v>
      </c>
      <c r="C1368" t="s">
        <v>156</v>
      </c>
      <c r="D1368">
        <v>10887</v>
      </c>
      <c r="E1368">
        <v>1906</v>
      </c>
      <c r="F1368" t="s">
        <v>45</v>
      </c>
    </row>
    <row r="1369" spans="1:6" x14ac:dyDescent="0.3">
      <c r="A1369" s="20">
        <v>45789</v>
      </c>
      <c r="B1369">
        <v>17</v>
      </c>
      <c r="C1369" t="s">
        <v>228</v>
      </c>
      <c r="D1369">
        <v>23723</v>
      </c>
      <c r="E1369">
        <v>3220</v>
      </c>
      <c r="F1369" t="s">
        <v>231</v>
      </c>
    </row>
    <row r="1370" spans="1:6" x14ac:dyDescent="0.3">
      <c r="A1370" s="20">
        <v>45789</v>
      </c>
      <c r="B1370">
        <v>17</v>
      </c>
      <c r="C1370" t="s">
        <v>228</v>
      </c>
      <c r="D1370">
        <v>638</v>
      </c>
      <c r="E1370">
        <v>92</v>
      </c>
      <c r="F1370" t="s">
        <v>43</v>
      </c>
    </row>
    <row r="1371" spans="1:6" x14ac:dyDescent="0.3">
      <c r="A1371" s="20">
        <v>45789</v>
      </c>
      <c r="B1371">
        <v>17</v>
      </c>
      <c r="C1371" t="s">
        <v>159</v>
      </c>
      <c r="D1371">
        <v>19625</v>
      </c>
      <c r="E1371">
        <v>586</v>
      </c>
      <c r="F1371" t="s">
        <v>31</v>
      </c>
    </row>
    <row r="1372" spans="1:6" x14ac:dyDescent="0.3">
      <c r="A1372" s="20">
        <v>45789</v>
      </c>
      <c r="B1372">
        <v>17</v>
      </c>
      <c r="C1372" t="s">
        <v>230</v>
      </c>
      <c r="D1372">
        <v>30920</v>
      </c>
      <c r="E1372">
        <v>2798</v>
      </c>
      <c r="F1372" t="s">
        <v>31</v>
      </c>
    </row>
    <row r="1373" spans="1:6" x14ac:dyDescent="0.3">
      <c r="A1373" s="20">
        <v>45789</v>
      </c>
      <c r="B1373">
        <v>17</v>
      </c>
      <c r="C1373" t="s">
        <v>48</v>
      </c>
      <c r="D1373">
        <v>58312</v>
      </c>
      <c r="E1373">
        <v>3749</v>
      </c>
      <c r="F1373" t="s">
        <v>31</v>
      </c>
    </row>
    <row r="1374" spans="1:6" x14ac:dyDescent="0.3">
      <c r="A1374" s="20">
        <v>45789</v>
      </c>
      <c r="B1374">
        <v>17</v>
      </c>
      <c r="C1374" t="s">
        <v>48</v>
      </c>
      <c r="D1374">
        <v>0</v>
      </c>
      <c r="E1374">
        <v>0</v>
      </c>
      <c r="F1374" t="s">
        <v>259</v>
      </c>
    </row>
    <row r="1375" spans="1:6" x14ac:dyDescent="0.3">
      <c r="A1375" s="20">
        <v>45789</v>
      </c>
      <c r="B1375">
        <v>17</v>
      </c>
      <c r="C1375" t="s">
        <v>139</v>
      </c>
      <c r="D1375">
        <v>22560</v>
      </c>
      <c r="E1375">
        <v>491</v>
      </c>
      <c r="F1375" t="s">
        <v>46</v>
      </c>
    </row>
    <row r="1376" spans="1:6" x14ac:dyDescent="0.3">
      <c r="A1376" s="20">
        <v>45789</v>
      </c>
      <c r="B1376">
        <v>17</v>
      </c>
      <c r="C1376" t="s">
        <v>71</v>
      </c>
      <c r="D1376">
        <v>14664</v>
      </c>
      <c r="E1376">
        <v>2237</v>
      </c>
      <c r="F1376" t="s">
        <v>164</v>
      </c>
    </row>
    <row r="1377" spans="1:6" x14ac:dyDescent="0.3">
      <c r="A1377" s="20">
        <v>45789</v>
      </c>
      <c r="B1377">
        <v>17</v>
      </c>
      <c r="C1377" t="s">
        <v>233</v>
      </c>
      <c r="D1377">
        <v>2806</v>
      </c>
      <c r="E1377">
        <v>503</v>
      </c>
      <c r="F1377" t="s">
        <v>85</v>
      </c>
    </row>
    <row r="1378" spans="1:6" x14ac:dyDescent="0.3">
      <c r="A1378" s="20">
        <v>45789</v>
      </c>
      <c r="B1378">
        <v>17</v>
      </c>
      <c r="C1378" t="s">
        <v>250</v>
      </c>
      <c r="D1378">
        <v>252</v>
      </c>
      <c r="E1378">
        <v>30</v>
      </c>
      <c r="F1378" t="s">
        <v>86</v>
      </c>
    </row>
    <row r="1379" spans="1:6" x14ac:dyDescent="0.3">
      <c r="A1379" s="20">
        <v>45789</v>
      </c>
      <c r="B1379">
        <v>17</v>
      </c>
      <c r="C1379" t="s">
        <v>160</v>
      </c>
      <c r="D1379">
        <v>26</v>
      </c>
      <c r="E1379">
        <v>7</v>
      </c>
      <c r="F1379" t="s">
        <v>72</v>
      </c>
    </row>
    <row r="1380" spans="1:6" x14ac:dyDescent="0.3">
      <c r="A1380" s="20">
        <v>45789</v>
      </c>
      <c r="B1380">
        <v>17</v>
      </c>
      <c r="C1380" t="s">
        <v>162</v>
      </c>
      <c r="D1380">
        <v>7609</v>
      </c>
      <c r="E1380">
        <v>409</v>
      </c>
      <c r="F1380" t="s">
        <v>44</v>
      </c>
    </row>
    <row r="1381" spans="1:6" x14ac:dyDescent="0.3">
      <c r="A1381" s="20">
        <v>45789</v>
      </c>
      <c r="B1381">
        <v>17</v>
      </c>
      <c r="C1381" t="s">
        <v>240</v>
      </c>
      <c r="D1381">
        <v>18115</v>
      </c>
      <c r="E1381">
        <v>537</v>
      </c>
      <c r="F1381" t="s">
        <v>38</v>
      </c>
    </row>
    <row r="1382" spans="1:6" x14ac:dyDescent="0.3">
      <c r="A1382" s="20">
        <v>45789</v>
      </c>
      <c r="B1382">
        <v>17</v>
      </c>
      <c r="C1382" t="s">
        <v>81</v>
      </c>
      <c r="D1382">
        <v>87786</v>
      </c>
      <c r="E1382">
        <v>3620</v>
      </c>
      <c r="F1382" t="s">
        <v>38</v>
      </c>
    </row>
    <row r="1383" spans="1:6" x14ac:dyDescent="0.3">
      <c r="A1383" s="20">
        <v>45789</v>
      </c>
      <c r="B1383">
        <v>17</v>
      </c>
      <c r="C1383" t="s">
        <v>253</v>
      </c>
      <c r="D1383">
        <v>993</v>
      </c>
      <c r="E1383">
        <v>233</v>
      </c>
      <c r="F1383" t="s">
        <v>47</v>
      </c>
    </row>
    <row r="1384" spans="1:6" x14ac:dyDescent="0.3">
      <c r="A1384" s="20">
        <v>45789</v>
      </c>
      <c r="B1384">
        <v>17</v>
      </c>
      <c r="C1384" t="s">
        <v>235</v>
      </c>
      <c r="D1384">
        <v>2206</v>
      </c>
      <c r="E1384">
        <v>219</v>
      </c>
      <c r="F1384" t="s">
        <v>229</v>
      </c>
    </row>
    <row r="1385" spans="1:6" x14ac:dyDescent="0.3">
      <c r="A1385" s="20">
        <v>45789</v>
      </c>
      <c r="B1385">
        <v>18</v>
      </c>
      <c r="C1385" t="s">
        <v>73</v>
      </c>
      <c r="D1385">
        <v>0</v>
      </c>
      <c r="E1385">
        <v>0</v>
      </c>
      <c r="F1385" t="s">
        <v>234</v>
      </c>
    </row>
    <row r="1386" spans="1:6" x14ac:dyDescent="0.3">
      <c r="A1386" s="20">
        <v>45789</v>
      </c>
      <c r="B1386">
        <v>18</v>
      </c>
      <c r="C1386" t="s">
        <v>241</v>
      </c>
      <c r="D1386">
        <v>3730</v>
      </c>
      <c r="E1386">
        <v>303</v>
      </c>
      <c r="F1386" t="s">
        <v>31</v>
      </c>
    </row>
    <row r="1387" spans="1:6" x14ac:dyDescent="0.3">
      <c r="A1387" s="20">
        <v>45789</v>
      </c>
      <c r="B1387">
        <v>18</v>
      </c>
      <c r="C1387" t="s">
        <v>66</v>
      </c>
      <c r="D1387">
        <v>51155</v>
      </c>
      <c r="E1387">
        <v>2284</v>
      </c>
      <c r="F1387" t="s">
        <v>31</v>
      </c>
    </row>
    <row r="1388" spans="1:6" x14ac:dyDescent="0.3">
      <c r="A1388" s="20">
        <v>45789</v>
      </c>
      <c r="B1388">
        <v>18</v>
      </c>
      <c r="C1388" t="s">
        <v>52</v>
      </c>
      <c r="D1388">
        <v>20</v>
      </c>
      <c r="E1388">
        <v>20</v>
      </c>
      <c r="F1388" t="s">
        <v>259</v>
      </c>
    </row>
    <row r="1389" spans="1:6" x14ac:dyDescent="0.3">
      <c r="A1389" s="20">
        <v>45789</v>
      </c>
      <c r="B1389">
        <v>18</v>
      </c>
      <c r="C1389" t="s">
        <v>152</v>
      </c>
      <c r="D1389">
        <v>4478</v>
      </c>
      <c r="E1389">
        <v>724</v>
      </c>
      <c r="F1389" t="s">
        <v>252</v>
      </c>
    </row>
    <row r="1390" spans="1:6" x14ac:dyDescent="0.3">
      <c r="A1390" s="20">
        <v>45789</v>
      </c>
      <c r="B1390">
        <v>18</v>
      </c>
      <c r="C1390" t="s">
        <v>232</v>
      </c>
      <c r="D1390">
        <v>2841</v>
      </c>
      <c r="E1390">
        <v>233</v>
      </c>
      <c r="F1390" t="s">
        <v>39</v>
      </c>
    </row>
    <row r="1391" spans="1:6" x14ac:dyDescent="0.3">
      <c r="A1391" s="20">
        <v>45789</v>
      </c>
      <c r="B1391">
        <v>18</v>
      </c>
      <c r="C1391" t="s">
        <v>232</v>
      </c>
      <c r="D1391">
        <v>1806</v>
      </c>
      <c r="E1391">
        <v>120</v>
      </c>
      <c r="F1391" t="s">
        <v>74</v>
      </c>
    </row>
    <row r="1392" spans="1:6" x14ac:dyDescent="0.3">
      <c r="A1392" s="20">
        <v>45789</v>
      </c>
      <c r="B1392">
        <v>18</v>
      </c>
      <c r="C1392" t="s">
        <v>232</v>
      </c>
      <c r="D1392">
        <v>18229</v>
      </c>
      <c r="E1392">
        <v>3264</v>
      </c>
      <c r="F1392" t="s">
        <v>229</v>
      </c>
    </row>
    <row r="1393" spans="1:6" x14ac:dyDescent="0.3">
      <c r="A1393" s="20">
        <v>45789</v>
      </c>
      <c r="B1393">
        <v>18</v>
      </c>
      <c r="C1393" t="s">
        <v>238</v>
      </c>
      <c r="D1393">
        <v>2939</v>
      </c>
      <c r="E1393">
        <v>372</v>
      </c>
      <c r="F1393" t="s">
        <v>44</v>
      </c>
    </row>
    <row r="1394" spans="1:6" x14ac:dyDescent="0.3">
      <c r="A1394" s="20">
        <v>45789</v>
      </c>
      <c r="B1394">
        <v>18</v>
      </c>
      <c r="C1394" t="s">
        <v>250</v>
      </c>
      <c r="D1394">
        <v>5767</v>
      </c>
      <c r="E1394">
        <v>1014</v>
      </c>
      <c r="F1394" t="s">
        <v>252</v>
      </c>
    </row>
    <row r="1395" spans="1:6" x14ac:dyDescent="0.3">
      <c r="A1395" s="20">
        <v>45789</v>
      </c>
      <c r="B1395">
        <v>18</v>
      </c>
      <c r="C1395" t="s">
        <v>250</v>
      </c>
      <c r="D1395">
        <v>128</v>
      </c>
      <c r="E1395">
        <v>21</v>
      </c>
      <c r="F1395" t="s">
        <v>75</v>
      </c>
    </row>
    <row r="1396" spans="1:6" x14ac:dyDescent="0.3">
      <c r="A1396" s="20">
        <v>45789</v>
      </c>
      <c r="B1396">
        <v>18</v>
      </c>
      <c r="C1396" t="s">
        <v>160</v>
      </c>
      <c r="D1396">
        <v>207</v>
      </c>
      <c r="E1396">
        <v>50</v>
      </c>
      <c r="F1396" t="s">
        <v>45</v>
      </c>
    </row>
    <row r="1397" spans="1:6" x14ac:dyDescent="0.3">
      <c r="A1397" s="20">
        <v>45789</v>
      </c>
      <c r="B1397">
        <v>18</v>
      </c>
      <c r="C1397" t="s">
        <v>251</v>
      </c>
      <c r="D1397">
        <v>360</v>
      </c>
      <c r="E1397">
        <v>24</v>
      </c>
      <c r="F1397" t="s">
        <v>44</v>
      </c>
    </row>
    <row r="1398" spans="1:6" x14ac:dyDescent="0.3">
      <c r="A1398" s="20">
        <v>45789</v>
      </c>
      <c r="B1398">
        <v>19</v>
      </c>
      <c r="C1398" t="s">
        <v>73</v>
      </c>
      <c r="D1398">
        <v>0</v>
      </c>
      <c r="E1398">
        <v>0</v>
      </c>
      <c r="F1398" t="s">
        <v>229</v>
      </c>
    </row>
    <row r="1399" spans="1:6" x14ac:dyDescent="0.3">
      <c r="A1399" s="20">
        <v>45789</v>
      </c>
      <c r="B1399">
        <v>19</v>
      </c>
      <c r="C1399" t="s">
        <v>157</v>
      </c>
      <c r="D1399">
        <v>7256</v>
      </c>
      <c r="E1399">
        <v>1995</v>
      </c>
      <c r="F1399" t="s">
        <v>31</v>
      </c>
    </row>
    <row r="1400" spans="1:6" x14ac:dyDescent="0.3">
      <c r="A1400" s="20">
        <v>45789</v>
      </c>
      <c r="B1400">
        <v>19</v>
      </c>
      <c r="C1400" t="s">
        <v>236</v>
      </c>
      <c r="D1400">
        <v>45727</v>
      </c>
      <c r="E1400">
        <v>3669</v>
      </c>
      <c r="F1400" t="s">
        <v>31</v>
      </c>
    </row>
    <row r="1401" spans="1:6" x14ac:dyDescent="0.3">
      <c r="A1401" s="20">
        <v>45789</v>
      </c>
      <c r="B1401">
        <v>19</v>
      </c>
      <c r="C1401" t="s">
        <v>35</v>
      </c>
      <c r="D1401">
        <v>2685</v>
      </c>
      <c r="E1401">
        <v>100</v>
      </c>
      <c r="F1401" t="s">
        <v>31</v>
      </c>
    </row>
    <row r="1402" spans="1:6" x14ac:dyDescent="0.3">
      <c r="A1402" s="20">
        <v>45789</v>
      </c>
      <c r="B1402">
        <v>19</v>
      </c>
      <c r="C1402" t="s">
        <v>54</v>
      </c>
      <c r="D1402">
        <v>175</v>
      </c>
      <c r="E1402">
        <v>16</v>
      </c>
      <c r="F1402" t="s">
        <v>31</v>
      </c>
    </row>
    <row r="1403" spans="1:6" x14ac:dyDescent="0.3">
      <c r="A1403" s="20">
        <v>45789</v>
      </c>
      <c r="B1403">
        <v>19</v>
      </c>
      <c r="C1403" t="s">
        <v>237</v>
      </c>
      <c r="D1403">
        <v>763</v>
      </c>
      <c r="E1403">
        <v>53</v>
      </c>
      <c r="F1403" t="s">
        <v>31</v>
      </c>
    </row>
    <row r="1404" spans="1:6" x14ac:dyDescent="0.3">
      <c r="A1404" s="20">
        <v>45789</v>
      </c>
      <c r="B1404">
        <v>19</v>
      </c>
      <c r="C1404" t="s">
        <v>255</v>
      </c>
      <c r="D1404">
        <v>9871</v>
      </c>
      <c r="E1404">
        <v>1170</v>
      </c>
      <c r="F1404" t="s">
        <v>39</v>
      </c>
    </row>
    <row r="1405" spans="1:6" x14ac:dyDescent="0.3">
      <c r="A1405" s="20">
        <v>45789</v>
      </c>
      <c r="B1405">
        <v>19</v>
      </c>
      <c r="C1405" t="s">
        <v>160</v>
      </c>
      <c r="D1405">
        <v>263</v>
      </c>
      <c r="E1405">
        <v>65</v>
      </c>
      <c r="F1405" t="s">
        <v>44</v>
      </c>
    </row>
    <row r="1406" spans="1:6" x14ac:dyDescent="0.3">
      <c r="A1406" s="20">
        <v>45789</v>
      </c>
      <c r="B1406">
        <v>19</v>
      </c>
      <c r="C1406" t="s">
        <v>160</v>
      </c>
      <c r="D1406">
        <v>3921</v>
      </c>
      <c r="E1406">
        <v>475</v>
      </c>
      <c r="F1406" t="s">
        <v>229</v>
      </c>
    </row>
    <row r="1407" spans="1:6" x14ac:dyDescent="0.3">
      <c r="A1407" s="20">
        <v>45789</v>
      </c>
      <c r="B1407">
        <v>19</v>
      </c>
      <c r="C1407" t="s">
        <v>51</v>
      </c>
      <c r="D1407">
        <v>37374</v>
      </c>
      <c r="E1407">
        <v>1049</v>
      </c>
      <c r="F1407" t="s">
        <v>38</v>
      </c>
    </row>
    <row r="1408" spans="1:6" x14ac:dyDescent="0.3">
      <c r="A1408" s="20">
        <v>45789</v>
      </c>
      <c r="B1408">
        <v>20</v>
      </c>
      <c r="C1408" t="s">
        <v>73</v>
      </c>
      <c r="D1408">
        <v>0</v>
      </c>
      <c r="E1408">
        <v>0</v>
      </c>
      <c r="F1408" t="s">
        <v>74</v>
      </c>
    </row>
    <row r="1409" spans="1:6" x14ac:dyDescent="0.3">
      <c r="A1409" s="20">
        <v>45789</v>
      </c>
      <c r="B1409">
        <v>20</v>
      </c>
      <c r="C1409" t="s">
        <v>73</v>
      </c>
      <c r="D1409">
        <v>0</v>
      </c>
      <c r="E1409">
        <v>0</v>
      </c>
      <c r="F1409" t="s">
        <v>38</v>
      </c>
    </row>
    <row r="1410" spans="1:6" x14ac:dyDescent="0.3">
      <c r="A1410" s="20">
        <v>45789</v>
      </c>
      <c r="B1410">
        <v>20</v>
      </c>
      <c r="C1410" t="s">
        <v>156</v>
      </c>
      <c r="D1410">
        <v>3704</v>
      </c>
      <c r="E1410">
        <v>720</v>
      </c>
      <c r="F1410" t="s">
        <v>45</v>
      </c>
    </row>
    <row r="1411" spans="1:6" x14ac:dyDescent="0.3">
      <c r="A1411" s="20">
        <v>45789</v>
      </c>
      <c r="B1411">
        <v>20</v>
      </c>
      <c r="C1411" t="s">
        <v>156</v>
      </c>
      <c r="D1411">
        <v>641</v>
      </c>
      <c r="E1411">
        <v>135</v>
      </c>
      <c r="F1411" t="s">
        <v>72</v>
      </c>
    </row>
    <row r="1412" spans="1:6" x14ac:dyDescent="0.3">
      <c r="A1412" s="20">
        <v>45789</v>
      </c>
      <c r="B1412">
        <v>20</v>
      </c>
      <c r="C1412" t="s">
        <v>228</v>
      </c>
      <c r="D1412">
        <v>4355</v>
      </c>
      <c r="E1412">
        <v>659</v>
      </c>
      <c r="F1412" t="s">
        <v>231</v>
      </c>
    </row>
    <row r="1413" spans="1:6" x14ac:dyDescent="0.3">
      <c r="A1413" s="20">
        <v>45789</v>
      </c>
      <c r="B1413">
        <v>20</v>
      </c>
      <c r="C1413" t="s">
        <v>159</v>
      </c>
      <c r="D1413">
        <v>13704</v>
      </c>
      <c r="E1413">
        <v>267</v>
      </c>
      <c r="F1413" t="s">
        <v>31</v>
      </c>
    </row>
    <row r="1414" spans="1:6" x14ac:dyDescent="0.3">
      <c r="A1414" s="20">
        <v>45789</v>
      </c>
      <c r="B1414">
        <v>20</v>
      </c>
      <c r="C1414" t="s">
        <v>249</v>
      </c>
      <c r="D1414">
        <v>5963</v>
      </c>
      <c r="E1414">
        <v>138</v>
      </c>
      <c r="F1414" t="s">
        <v>31</v>
      </c>
    </row>
    <row r="1415" spans="1:6" x14ac:dyDescent="0.3">
      <c r="A1415" s="20">
        <v>45789</v>
      </c>
      <c r="B1415">
        <v>20</v>
      </c>
      <c r="C1415" t="s">
        <v>230</v>
      </c>
      <c r="D1415">
        <v>8361</v>
      </c>
      <c r="E1415">
        <v>610</v>
      </c>
      <c r="F1415" t="s">
        <v>31</v>
      </c>
    </row>
    <row r="1416" spans="1:6" x14ac:dyDescent="0.3">
      <c r="A1416" s="20">
        <v>45789</v>
      </c>
      <c r="B1416">
        <v>20</v>
      </c>
      <c r="C1416" t="s">
        <v>48</v>
      </c>
      <c r="D1416">
        <v>31050</v>
      </c>
      <c r="E1416">
        <v>1343</v>
      </c>
      <c r="F1416" t="s">
        <v>31</v>
      </c>
    </row>
    <row r="1417" spans="1:6" x14ac:dyDescent="0.3">
      <c r="A1417" s="20">
        <v>45789</v>
      </c>
      <c r="B1417">
        <v>20</v>
      </c>
      <c r="C1417" t="s">
        <v>152</v>
      </c>
      <c r="D1417">
        <v>10</v>
      </c>
      <c r="E1417">
        <v>2</v>
      </c>
      <c r="F1417" t="s">
        <v>138</v>
      </c>
    </row>
    <row r="1418" spans="1:6" x14ac:dyDescent="0.3">
      <c r="A1418" s="20">
        <v>45789</v>
      </c>
      <c r="B1418">
        <v>20</v>
      </c>
      <c r="C1418" t="s">
        <v>233</v>
      </c>
      <c r="D1418">
        <v>191</v>
      </c>
      <c r="E1418">
        <v>27</v>
      </c>
      <c r="F1418" t="s">
        <v>85</v>
      </c>
    </row>
    <row r="1419" spans="1:6" x14ac:dyDescent="0.3">
      <c r="A1419" s="20">
        <v>45789</v>
      </c>
      <c r="B1419">
        <v>20</v>
      </c>
      <c r="C1419" t="s">
        <v>160</v>
      </c>
      <c r="D1419">
        <v>158</v>
      </c>
      <c r="E1419">
        <v>22</v>
      </c>
      <c r="F1419" t="s">
        <v>43</v>
      </c>
    </row>
    <row r="1420" spans="1:6" x14ac:dyDescent="0.3">
      <c r="A1420" s="20">
        <v>45789</v>
      </c>
      <c r="B1420">
        <v>20</v>
      </c>
      <c r="C1420" t="s">
        <v>162</v>
      </c>
      <c r="D1420">
        <v>1176</v>
      </c>
      <c r="E1420">
        <v>104</v>
      </c>
      <c r="F1420" t="s">
        <v>44</v>
      </c>
    </row>
    <row r="1421" spans="1:6" x14ac:dyDescent="0.3">
      <c r="A1421" s="20">
        <v>45789</v>
      </c>
      <c r="B1421">
        <v>20</v>
      </c>
      <c r="C1421" t="s">
        <v>37</v>
      </c>
      <c r="D1421">
        <v>37794</v>
      </c>
      <c r="E1421">
        <v>745</v>
      </c>
      <c r="F1421" t="s">
        <v>38</v>
      </c>
    </row>
    <row r="1422" spans="1:6" x14ac:dyDescent="0.3">
      <c r="A1422" s="20">
        <v>45789</v>
      </c>
      <c r="B1422">
        <v>20</v>
      </c>
      <c r="C1422" t="s">
        <v>81</v>
      </c>
      <c r="D1422">
        <v>53404</v>
      </c>
      <c r="E1422">
        <v>1695</v>
      </c>
      <c r="F1422" t="s">
        <v>38</v>
      </c>
    </row>
    <row r="1423" spans="1:6" x14ac:dyDescent="0.3">
      <c r="A1423" s="20">
        <v>45789</v>
      </c>
      <c r="B1423">
        <v>8</v>
      </c>
      <c r="C1423" t="s">
        <v>73</v>
      </c>
      <c r="D1423">
        <v>5</v>
      </c>
      <c r="E1423">
        <v>5</v>
      </c>
      <c r="F1423" t="s">
        <v>31</v>
      </c>
    </row>
    <row r="1424" spans="1:6" x14ac:dyDescent="0.3">
      <c r="A1424" s="20">
        <v>45789</v>
      </c>
      <c r="B1424">
        <v>8</v>
      </c>
      <c r="C1424" t="s">
        <v>73</v>
      </c>
      <c r="D1424">
        <v>0</v>
      </c>
      <c r="E1424">
        <v>0</v>
      </c>
      <c r="F1424" t="s">
        <v>74</v>
      </c>
    </row>
    <row r="1425" spans="1:6" x14ac:dyDescent="0.3">
      <c r="A1425" s="20">
        <v>45789</v>
      </c>
      <c r="B1425">
        <v>8</v>
      </c>
      <c r="C1425" t="s">
        <v>73</v>
      </c>
      <c r="D1425">
        <v>0</v>
      </c>
      <c r="E1425">
        <v>0</v>
      </c>
      <c r="F1425" t="s">
        <v>86</v>
      </c>
    </row>
    <row r="1426" spans="1:6" x14ac:dyDescent="0.3">
      <c r="A1426" s="20">
        <v>45789</v>
      </c>
      <c r="B1426">
        <v>8</v>
      </c>
      <c r="C1426" t="s">
        <v>73</v>
      </c>
      <c r="D1426">
        <v>0</v>
      </c>
      <c r="E1426">
        <v>0</v>
      </c>
      <c r="F1426" t="s">
        <v>38</v>
      </c>
    </row>
    <row r="1427" spans="1:6" x14ac:dyDescent="0.3">
      <c r="A1427" s="20">
        <v>45789</v>
      </c>
      <c r="B1427">
        <v>8</v>
      </c>
      <c r="C1427" t="s">
        <v>153</v>
      </c>
      <c r="D1427">
        <v>5057</v>
      </c>
      <c r="E1427">
        <v>162</v>
      </c>
      <c r="F1427" t="s">
        <v>248</v>
      </c>
    </row>
    <row r="1428" spans="1:6" x14ac:dyDescent="0.3">
      <c r="A1428" s="20">
        <v>45789</v>
      </c>
      <c r="B1428">
        <v>8</v>
      </c>
      <c r="C1428" t="s">
        <v>156</v>
      </c>
      <c r="D1428">
        <v>8845</v>
      </c>
      <c r="E1428">
        <v>1509</v>
      </c>
      <c r="F1428" t="s">
        <v>45</v>
      </c>
    </row>
    <row r="1429" spans="1:6" x14ac:dyDescent="0.3">
      <c r="A1429" s="20">
        <v>45789</v>
      </c>
      <c r="B1429">
        <v>8</v>
      </c>
      <c r="C1429" t="s">
        <v>156</v>
      </c>
      <c r="D1429">
        <v>9223</v>
      </c>
      <c r="E1429">
        <v>1658</v>
      </c>
      <c r="F1429" t="s">
        <v>43</v>
      </c>
    </row>
    <row r="1430" spans="1:6" x14ac:dyDescent="0.3">
      <c r="A1430" s="20">
        <v>45789</v>
      </c>
      <c r="B1430">
        <v>8</v>
      </c>
      <c r="C1430" t="s">
        <v>228</v>
      </c>
      <c r="D1430">
        <v>19987</v>
      </c>
      <c r="E1430">
        <v>3182</v>
      </c>
      <c r="F1430" t="s">
        <v>231</v>
      </c>
    </row>
    <row r="1431" spans="1:6" x14ac:dyDescent="0.3">
      <c r="A1431" s="20">
        <v>45789</v>
      </c>
      <c r="B1431">
        <v>8</v>
      </c>
      <c r="C1431" t="s">
        <v>159</v>
      </c>
      <c r="D1431">
        <v>10430</v>
      </c>
      <c r="E1431">
        <v>268</v>
      </c>
      <c r="F1431" t="s">
        <v>31</v>
      </c>
    </row>
    <row r="1432" spans="1:6" x14ac:dyDescent="0.3">
      <c r="A1432" s="20">
        <v>45789</v>
      </c>
      <c r="B1432">
        <v>8</v>
      </c>
      <c r="C1432" t="s">
        <v>157</v>
      </c>
      <c r="D1432">
        <v>17336</v>
      </c>
      <c r="E1432">
        <v>3677</v>
      </c>
      <c r="F1432" t="s">
        <v>31</v>
      </c>
    </row>
    <row r="1433" spans="1:6" x14ac:dyDescent="0.3">
      <c r="A1433" s="20">
        <v>45789</v>
      </c>
      <c r="B1433">
        <v>8</v>
      </c>
      <c r="C1433" t="s">
        <v>250</v>
      </c>
      <c r="D1433">
        <v>988</v>
      </c>
      <c r="E1433">
        <v>70</v>
      </c>
      <c r="F1433" t="s">
        <v>86</v>
      </c>
    </row>
    <row r="1434" spans="1:6" x14ac:dyDescent="0.3">
      <c r="A1434" s="20">
        <v>45789</v>
      </c>
      <c r="B1434">
        <v>8</v>
      </c>
      <c r="C1434" t="s">
        <v>160</v>
      </c>
      <c r="D1434">
        <v>208</v>
      </c>
      <c r="E1434">
        <v>54</v>
      </c>
      <c r="F1434" t="s">
        <v>72</v>
      </c>
    </row>
    <row r="1435" spans="1:6" x14ac:dyDescent="0.3">
      <c r="A1435" s="20">
        <v>45789</v>
      </c>
      <c r="B1435">
        <v>8</v>
      </c>
      <c r="C1435" t="s">
        <v>160</v>
      </c>
      <c r="D1435">
        <v>879</v>
      </c>
      <c r="E1435">
        <v>128</v>
      </c>
      <c r="F1435" t="s">
        <v>43</v>
      </c>
    </row>
    <row r="1436" spans="1:6" x14ac:dyDescent="0.3">
      <c r="A1436" s="20">
        <v>45789</v>
      </c>
      <c r="B1436">
        <v>8</v>
      </c>
      <c r="C1436" t="s">
        <v>51</v>
      </c>
      <c r="D1436">
        <v>54301</v>
      </c>
      <c r="E1436">
        <v>2699</v>
      </c>
      <c r="F1436" t="s">
        <v>38</v>
      </c>
    </row>
    <row r="1437" spans="1:6" x14ac:dyDescent="0.3">
      <c r="A1437" s="20">
        <v>45789</v>
      </c>
      <c r="B1437">
        <v>8</v>
      </c>
      <c r="C1437" t="s">
        <v>240</v>
      </c>
      <c r="D1437">
        <v>18306</v>
      </c>
      <c r="E1437">
        <v>608</v>
      </c>
      <c r="F1437" t="s">
        <v>38</v>
      </c>
    </row>
    <row r="1438" spans="1:6" x14ac:dyDescent="0.3">
      <c r="A1438" s="20">
        <v>45789</v>
      </c>
      <c r="B1438">
        <v>8</v>
      </c>
      <c r="C1438" t="s">
        <v>40</v>
      </c>
      <c r="D1438">
        <v>6855</v>
      </c>
      <c r="E1438">
        <v>554</v>
      </c>
    </row>
    <row r="1439" spans="1:6" x14ac:dyDescent="0.3">
      <c r="A1439" s="20">
        <v>45789</v>
      </c>
      <c r="B1439">
        <v>8</v>
      </c>
      <c r="C1439" t="s">
        <v>81</v>
      </c>
      <c r="D1439">
        <v>68215</v>
      </c>
      <c r="E1439">
        <v>3494</v>
      </c>
      <c r="F1439" t="s">
        <v>38</v>
      </c>
    </row>
    <row r="1440" spans="1:6" x14ac:dyDescent="0.3">
      <c r="A1440" s="20">
        <v>45789</v>
      </c>
      <c r="B1440">
        <v>8</v>
      </c>
      <c r="C1440" t="s">
        <v>251</v>
      </c>
      <c r="D1440">
        <v>1549</v>
      </c>
      <c r="E1440">
        <v>268</v>
      </c>
      <c r="F1440" t="s">
        <v>47</v>
      </c>
    </row>
    <row r="1441" spans="1:6" x14ac:dyDescent="0.3">
      <c r="A1441" s="20">
        <v>45789</v>
      </c>
      <c r="B1441">
        <v>9</v>
      </c>
      <c r="C1441" t="s">
        <v>156</v>
      </c>
      <c r="D1441">
        <v>2200</v>
      </c>
      <c r="E1441">
        <v>510</v>
      </c>
      <c r="F1441" t="s">
        <v>72</v>
      </c>
    </row>
    <row r="1442" spans="1:6" x14ac:dyDescent="0.3">
      <c r="A1442" s="20">
        <v>45789</v>
      </c>
      <c r="B1442">
        <v>9</v>
      </c>
      <c r="C1442" t="s">
        <v>241</v>
      </c>
      <c r="D1442">
        <v>13718</v>
      </c>
      <c r="E1442">
        <v>877</v>
      </c>
      <c r="F1442" t="s">
        <v>31</v>
      </c>
    </row>
    <row r="1443" spans="1:6" x14ac:dyDescent="0.3">
      <c r="A1443" s="20">
        <v>45789</v>
      </c>
      <c r="B1443">
        <v>9</v>
      </c>
      <c r="C1443" t="s">
        <v>52</v>
      </c>
      <c r="D1443">
        <v>26</v>
      </c>
      <c r="E1443">
        <v>26</v>
      </c>
      <c r="F1443" t="s">
        <v>259</v>
      </c>
    </row>
    <row r="1444" spans="1:6" x14ac:dyDescent="0.3">
      <c r="A1444" s="20">
        <v>45789</v>
      </c>
      <c r="B1444">
        <v>9</v>
      </c>
      <c r="C1444" t="s">
        <v>152</v>
      </c>
      <c r="D1444">
        <v>5299</v>
      </c>
      <c r="E1444">
        <v>602</v>
      </c>
      <c r="F1444" t="s">
        <v>252</v>
      </c>
    </row>
    <row r="1445" spans="1:6" x14ac:dyDescent="0.3">
      <c r="A1445" s="20">
        <v>45789</v>
      </c>
      <c r="B1445">
        <v>9</v>
      </c>
      <c r="C1445" t="s">
        <v>232</v>
      </c>
      <c r="D1445">
        <v>333</v>
      </c>
      <c r="E1445">
        <v>29</v>
      </c>
      <c r="F1445" t="s">
        <v>68</v>
      </c>
    </row>
    <row r="1446" spans="1:6" x14ac:dyDescent="0.3">
      <c r="A1446" s="20">
        <v>45789</v>
      </c>
      <c r="B1446">
        <v>9</v>
      </c>
      <c r="C1446" t="s">
        <v>238</v>
      </c>
      <c r="D1446">
        <v>2238</v>
      </c>
      <c r="E1446">
        <v>375</v>
      </c>
      <c r="F1446" t="s">
        <v>44</v>
      </c>
    </row>
    <row r="1447" spans="1:6" x14ac:dyDescent="0.3">
      <c r="A1447" s="20">
        <v>45789</v>
      </c>
      <c r="B1447">
        <v>9</v>
      </c>
      <c r="C1447" t="s">
        <v>238</v>
      </c>
      <c r="D1447">
        <v>17696</v>
      </c>
      <c r="E1447">
        <v>1685</v>
      </c>
      <c r="F1447" t="s">
        <v>32</v>
      </c>
    </row>
    <row r="1448" spans="1:6" x14ac:dyDescent="0.3">
      <c r="A1448" s="20">
        <v>45789</v>
      </c>
      <c r="B1448">
        <v>9</v>
      </c>
      <c r="C1448" t="s">
        <v>250</v>
      </c>
      <c r="D1448">
        <v>5097</v>
      </c>
      <c r="E1448">
        <v>815</v>
      </c>
      <c r="F1448" t="s">
        <v>252</v>
      </c>
    </row>
    <row r="1449" spans="1:6" x14ac:dyDescent="0.3">
      <c r="A1449" s="20">
        <v>45789</v>
      </c>
      <c r="B1449">
        <v>9</v>
      </c>
      <c r="C1449" t="s">
        <v>126</v>
      </c>
      <c r="D1449">
        <v>31</v>
      </c>
      <c r="E1449">
        <v>31</v>
      </c>
      <c r="F1449" t="s">
        <v>38</v>
      </c>
    </row>
    <row r="1450" spans="1:6" x14ac:dyDescent="0.3">
      <c r="A1450" s="20">
        <v>45789</v>
      </c>
      <c r="B1450">
        <v>10</v>
      </c>
      <c r="C1450" t="s">
        <v>73</v>
      </c>
      <c r="D1450">
        <v>0</v>
      </c>
      <c r="E1450">
        <v>0</v>
      </c>
      <c r="F1450" t="s">
        <v>39</v>
      </c>
    </row>
    <row r="1451" spans="1:6" x14ac:dyDescent="0.3">
      <c r="A1451" s="20">
        <v>45789</v>
      </c>
      <c r="B1451">
        <v>10</v>
      </c>
      <c r="C1451" t="s">
        <v>73</v>
      </c>
      <c r="D1451">
        <v>0</v>
      </c>
      <c r="E1451">
        <v>0</v>
      </c>
      <c r="F1451" t="s">
        <v>231</v>
      </c>
    </row>
    <row r="1452" spans="1:6" x14ac:dyDescent="0.3">
      <c r="A1452" s="20">
        <v>45789</v>
      </c>
      <c r="B1452">
        <v>10</v>
      </c>
      <c r="C1452" t="s">
        <v>52</v>
      </c>
      <c r="D1452">
        <v>33693</v>
      </c>
      <c r="E1452">
        <v>1460</v>
      </c>
      <c r="F1452" t="s">
        <v>31</v>
      </c>
    </row>
    <row r="1453" spans="1:6" x14ac:dyDescent="0.3">
      <c r="A1453" s="20">
        <v>45789</v>
      </c>
      <c r="B1453">
        <v>10</v>
      </c>
      <c r="C1453" t="s">
        <v>236</v>
      </c>
      <c r="D1453">
        <v>67565</v>
      </c>
      <c r="E1453">
        <v>7595</v>
      </c>
      <c r="F1453" t="s">
        <v>31</v>
      </c>
    </row>
    <row r="1454" spans="1:6" x14ac:dyDescent="0.3">
      <c r="A1454" s="20">
        <v>45789</v>
      </c>
      <c r="B1454">
        <v>10</v>
      </c>
      <c r="C1454" t="s">
        <v>236</v>
      </c>
      <c r="D1454">
        <v>788</v>
      </c>
      <c r="E1454">
        <v>185</v>
      </c>
      <c r="F1454" t="s">
        <v>42</v>
      </c>
    </row>
    <row r="1455" spans="1:6" x14ac:dyDescent="0.3">
      <c r="A1455" s="20">
        <v>45789</v>
      </c>
      <c r="B1455">
        <v>10</v>
      </c>
      <c r="C1455" t="s">
        <v>35</v>
      </c>
      <c r="D1455">
        <v>5115</v>
      </c>
      <c r="E1455">
        <v>339</v>
      </c>
      <c r="F1455" t="s">
        <v>31</v>
      </c>
    </row>
    <row r="1456" spans="1:6" x14ac:dyDescent="0.3">
      <c r="A1456" s="20">
        <v>45789</v>
      </c>
      <c r="B1456">
        <v>10</v>
      </c>
      <c r="C1456" t="s">
        <v>35</v>
      </c>
      <c r="D1456">
        <v>157</v>
      </c>
      <c r="E1456">
        <v>20</v>
      </c>
      <c r="F1456" t="s">
        <v>42</v>
      </c>
    </row>
    <row r="1457" spans="1:6" x14ac:dyDescent="0.3">
      <c r="A1457" s="20">
        <v>45789</v>
      </c>
      <c r="B1457">
        <v>10</v>
      </c>
      <c r="C1457" t="s">
        <v>41</v>
      </c>
      <c r="D1457">
        <v>2701</v>
      </c>
      <c r="E1457">
        <v>219</v>
      </c>
      <c r="F1457" t="s">
        <v>31</v>
      </c>
    </row>
    <row r="1458" spans="1:6" x14ac:dyDescent="0.3">
      <c r="A1458" s="20">
        <v>45789</v>
      </c>
      <c r="B1458">
        <v>10</v>
      </c>
      <c r="C1458" t="s">
        <v>54</v>
      </c>
      <c r="D1458">
        <v>251</v>
      </c>
      <c r="E1458">
        <v>59</v>
      </c>
      <c r="F1458" t="s">
        <v>31</v>
      </c>
    </row>
    <row r="1459" spans="1:6" x14ac:dyDescent="0.3">
      <c r="A1459" s="20">
        <v>45789</v>
      </c>
      <c r="B1459">
        <v>10</v>
      </c>
      <c r="C1459" t="s">
        <v>237</v>
      </c>
      <c r="D1459">
        <v>23147</v>
      </c>
      <c r="E1459">
        <v>2762</v>
      </c>
      <c r="F1459" t="s">
        <v>31</v>
      </c>
    </row>
    <row r="1460" spans="1:6" x14ac:dyDescent="0.3">
      <c r="A1460" s="20">
        <v>45789</v>
      </c>
      <c r="B1460">
        <v>10</v>
      </c>
      <c r="C1460" t="s">
        <v>160</v>
      </c>
      <c r="D1460">
        <v>475</v>
      </c>
      <c r="E1460">
        <v>131</v>
      </c>
      <c r="F1460" t="s">
        <v>32</v>
      </c>
    </row>
    <row r="1461" spans="1:6" x14ac:dyDescent="0.3">
      <c r="A1461" s="20">
        <v>45789</v>
      </c>
      <c r="B1461">
        <v>10</v>
      </c>
      <c r="C1461" t="s">
        <v>160</v>
      </c>
      <c r="D1461">
        <v>3849</v>
      </c>
      <c r="E1461">
        <v>643</v>
      </c>
      <c r="F1461" t="s">
        <v>229</v>
      </c>
    </row>
    <row r="1462" spans="1:6" x14ac:dyDescent="0.3">
      <c r="A1462" s="20">
        <v>45789</v>
      </c>
      <c r="B1462">
        <v>10</v>
      </c>
      <c r="C1462" t="s">
        <v>160</v>
      </c>
      <c r="D1462">
        <v>22757</v>
      </c>
      <c r="E1462">
        <v>871</v>
      </c>
      <c r="F1462" t="s">
        <v>234</v>
      </c>
    </row>
    <row r="1463" spans="1:6" x14ac:dyDescent="0.3">
      <c r="A1463" s="20">
        <v>45789</v>
      </c>
      <c r="B1463">
        <v>10</v>
      </c>
      <c r="C1463" t="s">
        <v>162</v>
      </c>
      <c r="D1463">
        <v>9128</v>
      </c>
      <c r="E1463">
        <v>1611</v>
      </c>
      <c r="F1463" t="s">
        <v>47</v>
      </c>
    </row>
    <row r="1464" spans="1:6" x14ac:dyDescent="0.3">
      <c r="A1464" s="20">
        <v>45789</v>
      </c>
      <c r="B1464">
        <v>10</v>
      </c>
      <c r="C1464" t="s">
        <v>125</v>
      </c>
      <c r="D1464">
        <v>111416</v>
      </c>
      <c r="E1464">
        <v>6975</v>
      </c>
      <c r="F1464" t="s">
        <v>38</v>
      </c>
    </row>
    <row r="1465" spans="1:6" x14ac:dyDescent="0.3">
      <c r="A1465" s="20">
        <v>45789</v>
      </c>
      <c r="B1465">
        <v>10</v>
      </c>
      <c r="C1465" t="s">
        <v>253</v>
      </c>
      <c r="D1465">
        <v>727</v>
      </c>
      <c r="E1465">
        <v>177</v>
      </c>
      <c r="F1465" t="s">
        <v>44</v>
      </c>
    </row>
    <row r="1466" spans="1:6" x14ac:dyDescent="0.3">
      <c r="A1466" s="20">
        <v>45789</v>
      </c>
      <c r="B1466">
        <v>11</v>
      </c>
      <c r="C1466" t="s">
        <v>73</v>
      </c>
      <c r="D1466">
        <v>5</v>
      </c>
      <c r="E1466">
        <v>5</v>
      </c>
      <c r="F1466" t="s">
        <v>31</v>
      </c>
    </row>
    <row r="1467" spans="1:6" x14ac:dyDescent="0.3">
      <c r="A1467" s="20">
        <v>45789</v>
      </c>
      <c r="B1467">
        <v>11</v>
      </c>
      <c r="C1467" t="s">
        <v>73</v>
      </c>
      <c r="D1467">
        <v>0</v>
      </c>
      <c r="E1467">
        <v>0</v>
      </c>
      <c r="F1467" t="s">
        <v>74</v>
      </c>
    </row>
    <row r="1468" spans="1:6" x14ac:dyDescent="0.3">
      <c r="A1468" s="20">
        <v>45789</v>
      </c>
      <c r="B1468">
        <v>11</v>
      </c>
      <c r="C1468" t="s">
        <v>73</v>
      </c>
      <c r="D1468">
        <v>1</v>
      </c>
      <c r="E1468">
        <v>1</v>
      </c>
      <c r="F1468" t="s">
        <v>38</v>
      </c>
    </row>
    <row r="1469" spans="1:6" x14ac:dyDescent="0.3">
      <c r="A1469" s="20">
        <v>45789</v>
      </c>
      <c r="B1469">
        <v>11</v>
      </c>
      <c r="C1469" t="s">
        <v>153</v>
      </c>
      <c r="D1469">
        <v>4197</v>
      </c>
      <c r="E1469">
        <v>192</v>
      </c>
      <c r="F1469" t="s">
        <v>248</v>
      </c>
    </row>
    <row r="1470" spans="1:6" x14ac:dyDescent="0.3">
      <c r="A1470" s="20">
        <v>45789</v>
      </c>
      <c r="B1470">
        <v>11</v>
      </c>
      <c r="C1470" t="s">
        <v>156</v>
      </c>
      <c r="D1470">
        <v>7285</v>
      </c>
      <c r="E1470">
        <v>769</v>
      </c>
      <c r="F1470" t="s">
        <v>229</v>
      </c>
    </row>
    <row r="1471" spans="1:6" x14ac:dyDescent="0.3">
      <c r="A1471" s="20">
        <v>45789</v>
      </c>
      <c r="B1471">
        <v>11</v>
      </c>
      <c r="C1471" t="s">
        <v>156</v>
      </c>
      <c r="D1471">
        <v>10807</v>
      </c>
      <c r="E1471">
        <v>1550</v>
      </c>
      <c r="F1471" t="s">
        <v>43</v>
      </c>
    </row>
    <row r="1472" spans="1:6" x14ac:dyDescent="0.3">
      <c r="A1472" s="20">
        <v>45789</v>
      </c>
      <c r="B1472">
        <v>11</v>
      </c>
      <c r="C1472" t="s">
        <v>228</v>
      </c>
      <c r="D1472">
        <v>26144</v>
      </c>
      <c r="E1472">
        <v>3172</v>
      </c>
      <c r="F1472" t="s">
        <v>231</v>
      </c>
    </row>
    <row r="1473" spans="1:6" x14ac:dyDescent="0.3">
      <c r="A1473" s="20">
        <v>45789</v>
      </c>
      <c r="B1473">
        <v>11</v>
      </c>
      <c r="C1473" t="s">
        <v>159</v>
      </c>
      <c r="D1473">
        <v>34403</v>
      </c>
      <c r="E1473">
        <v>1648</v>
      </c>
      <c r="F1473" t="s">
        <v>31</v>
      </c>
    </row>
    <row r="1474" spans="1:6" x14ac:dyDescent="0.3">
      <c r="A1474" s="20">
        <v>45789</v>
      </c>
      <c r="B1474">
        <v>11</v>
      </c>
      <c r="C1474" t="s">
        <v>249</v>
      </c>
      <c r="D1474">
        <v>12851</v>
      </c>
      <c r="E1474">
        <v>651</v>
      </c>
      <c r="F1474" t="s">
        <v>31</v>
      </c>
    </row>
    <row r="1475" spans="1:6" x14ac:dyDescent="0.3">
      <c r="A1475" s="20">
        <v>45789</v>
      </c>
      <c r="B1475">
        <v>11</v>
      </c>
      <c r="C1475" t="s">
        <v>247</v>
      </c>
      <c r="D1475">
        <v>13707</v>
      </c>
      <c r="E1475">
        <v>1548</v>
      </c>
      <c r="F1475" t="s">
        <v>31</v>
      </c>
    </row>
    <row r="1476" spans="1:6" x14ac:dyDescent="0.3">
      <c r="A1476" s="20">
        <v>45789</v>
      </c>
      <c r="B1476">
        <v>11</v>
      </c>
      <c r="C1476" t="s">
        <v>152</v>
      </c>
      <c r="D1476">
        <v>4240</v>
      </c>
      <c r="E1476">
        <v>490</v>
      </c>
      <c r="F1476" t="s">
        <v>138</v>
      </c>
    </row>
    <row r="1477" spans="1:6" x14ac:dyDescent="0.3">
      <c r="A1477" s="20">
        <v>45789</v>
      </c>
      <c r="B1477">
        <v>11</v>
      </c>
      <c r="C1477" t="s">
        <v>261</v>
      </c>
      <c r="D1477">
        <v>23908</v>
      </c>
      <c r="E1477">
        <v>2533</v>
      </c>
      <c r="F1477" t="s">
        <v>31</v>
      </c>
    </row>
    <row r="1478" spans="1:6" x14ac:dyDescent="0.3">
      <c r="A1478" s="20">
        <v>45789</v>
      </c>
      <c r="B1478">
        <v>11</v>
      </c>
      <c r="C1478" t="s">
        <v>250</v>
      </c>
      <c r="D1478">
        <v>38</v>
      </c>
      <c r="E1478">
        <v>2</v>
      </c>
      <c r="F1478" t="s">
        <v>74</v>
      </c>
    </row>
    <row r="1479" spans="1:6" x14ac:dyDescent="0.3">
      <c r="A1479" s="20">
        <v>45789</v>
      </c>
      <c r="B1479">
        <v>11</v>
      </c>
      <c r="C1479" t="s">
        <v>250</v>
      </c>
      <c r="D1479">
        <v>1084</v>
      </c>
      <c r="E1479">
        <v>87</v>
      </c>
      <c r="F1479" t="s">
        <v>86</v>
      </c>
    </row>
    <row r="1480" spans="1:6" x14ac:dyDescent="0.3">
      <c r="A1480" s="20">
        <v>45789</v>
      </c>
      <c r="B1480">
        <v>11</v>
      </c>
      <c r="C1480" t="s">
        <v>250</v>
      </c>
      <c r="D1480">
        <v>401</v>
      </c>
      <c r="E1480">
        <v>105</v>
      </c>
      <c r="F1480" t="s">
        <v>257</v>
      </c>
    </row>
    <row r="1481" spans="1:6" x14ac:dyDescent="0.3">
      <c r="A1481" s="20">
        <v>45789</v>
      </c>
      <c r="B1481">
        <v>11</v>
      </c>
      <c r="C1481" t="s">
        <v>160</v>
      </c>
      <c r="D1481">
        <v>744</v>
      </c>
      <c r="E1481">
        <v>145</v>
      </c>
      <c r="F1481" t="s">
        <v>47</v>
      </c>
    </row>
    <row r="1482" spans="1:6" x14ac:dyDescent="0.3">
      <c r="A1482" s="20">
        <v>45789</v>
      </c>
      <c r="B1482">
        <v>11</v>
      </c>
      <c r="C1482" t="s">
        <v>160</v>
      </c>
      <c r="D1482">
        <v>84</v>
      </c>
      <c r="E1482">
        <v>14</v>
      </c>
      <c r="F1482" t="s">
        <v>43</v>
      </c>
    </row>
    <row r="1483" spans="1:6" x14ac:dyDescent="0.3">
      <c r="A1483" s="20">
        <v>45789</v>
      </c>
      <c r="B1483">
        <v>11</v>
      </c>
      <c r="C1483" t="s">
        <v>51</v>
      </c>
      <c r="D1483">
        <v>67072</v>
      </c>
      <c r="E1483">
        <v>3705</v>
      </c>
      <c r="F1483" t="s">
        <v>38</v>
      </c>
    </row>
    <row r="1484" spans="1:6" x14ac:dyDescent="0.3">
      <c r="A1484" s="20">
        <v>45789</v>
      </c>
      <c r="B1484">
        <v>11</v>
      </c>
      <c r="C1484" t="s">
        <v>240</v>
      </c>
      <c r="D1484">
        <v>20056</v>
      </c>
      <c r="E1484">
        <v>677</v>
      </c>
      <c r="F1484" t="s">
        <v>38</v>
      </c>
    </row>
    <row r="1485" spans="1:6" x14ac:dyDescent="0.3">
      <c r="A1485" s="20">
        <v>45789</v>
      </c>
      <c r="B1485">
        <v>11</v>
      </c>
      <c r="C1485" t="s">
        <v>40</v>
      </c>
      <c r="D1485">
        <v>4303</v>
      </c>
      <c r="E1485">
        <v>339</v>
      </c>
    </row>
    <row r="1486" spans="1:6" x14ac:dyDescent="0.3">
      <c r="A1486" s="20">
        <v>45789</v>
      </c>
      <c r="B1486">
        <v>11</v>
      </c>
      <c r="C1486" t="s">
        <v>81</v>
      </c>
      <c r="D1486">
        <v>86275</v>
      </c>
      <c r="E1486">
        <v>4113</v>
      </c>
      <c r="F1486" t="s">
        <v>38</v>
      </c>
    </row>
    <row r="1487" spans="1:6" x14ac:dyDescent="0.3">
      <c r="A1487" s="20">
        <v>45789</v>
      </c>
      <c r="B1487">
        <v>11</v>
      </c>
      <c r="C1487" t="s">
        <v>251</v>
      </c>
      <c r="D1487">
        <v>3594</v>
      </c>
      <c r="E1487">
        <v>377</v>
      </c>
      <c r="F1487" t="s">
        <v>47</v>
      </c>
    </row>
    <row r="1488" spans="1:6" x14ac:dyDescent="0.3">
      <c r="A1488" s="20">
        <v>45789</v>
      </c>
      <c r="B1488">
        <v>12</v>
      </c>
      <c r="C1488" t="s">
        <v>241</v>
      </c>
      <c r="D1488">
        <v>8373</v>
      </c>
      <c r="E1488">
        <v>567</v>
      </c>
      <c r="F1488" t="s">
        <v>31</v>
      </c>
    </row>
    <row r="1489" spans="1:6" x14ac:dyDescent="0.3">
      <c r="A1489" s="20">
        <v>45789</v>
      </c>
      <c r="B1489">
        <v>12</v>
      </c>
      <c r="C1489" t="s">
        <v>52</v>
      </c>
      <c r="D1489">
        <v>29</v>
      </c>
      <c r="E1489">
        <v>29</v>
      </c>
      <c r="F1489" t="s">
        <v>259</v>
      </c>
    </row>
    <row r="1490" spans="1:6" x14ac:dyDescent="0.3">
      <c r="A1490" s="20">
        <v>45789</v>
      </c>
      <c r="B1490">
        <v>12</v>
      </c>
      <c r="C1490" t="s">
        <v>152</v>
      </c>
      <c r="D1490">
        <v>5973</v>
      </c>
      <c r="E1490">
        <v>883</v>
      </c>
      <c r="F1490" t="s">
        <v>252</v>
      </c>
    </row>
    <row r="1491" spans="1:6" x14ac:dyDescent="0.3">
      <c r="A1491" s="20">
        <v>45789</v>
      </c>
      <c r="B1491">
        <v>12</v>
      </c>
      <c r="C1491" t="s">
        <v>232</v>
      </c>
      <c r="D1491">
        <v>352</v>
      </c>
      <c r="E1491">
        <v>17</v>
      </c>
      <c r="F1491" t="s">
        <v>68</v>
      </c>
    </row>
    <row r="1492" spans="1:6" x14ac:dyDescent="0.3">
      <c r="A1492" s="20">
        <v>45789</v>
      </c>
      <c r="B1492">
        <v>12</v>
      </c>
      <c r="C1492" t="s">
        <v>238</v>
      </c>
      <c r="D1492">
        <v>2232</v>
      </c>
      <c r="E1492">
        <v>362</v>
      </c>
      <c r="F1492" t="s">
        <v>44</v>
      </c>
    </row>
    <row r="1493" spans="1:6" x14ac:dyDescent="0.3">
      <c r="A1493" s="20">
        <v>45789</v>
      </c>
      <c r="B1493">
        <v>12</v>
      </c>
      <c r="C1493" t="s">
        <v>238</v>
      </c>
      <c r="D1493">
        <v>14980</v>
      </c>
      <c r="E1493">
        <v>1469</v>
      </c>
      <c r="F1493" t="s">
        <v>32</v>
      </c>
    </row>
    <row r="1494" spans="1:6" x14ac:dyDescent="0.3">
      <c r="A1494" s="20">
        <v>45789</v>
      </c>
      <c r="B1494">
        <v>12</v>
      </c>
      <c r="C1494" t="s">
        <v>250</v>
      </c>
      <c r="D1494">
        <v>7400</v>
      </c>
      <c r="E1494">
        <v>1227</v>
      </c>
      <c r="F1494" t="s">
        <v>252</v>
      </c>
    </row>
    <row r="1495" spans="1:6" x14ac:dyDescent="0.3">
      <c r="A1495" s="20">
        <v>45789</v>
      </c>
      <c r="B1495">
        <v>12</v>
      </c>
      <c r="C1495" t="s">
        <v>126</v>
      </c>
      <c r="D1495">
        <v>29</v>
      </c>
      <c r="E1495">
        <v>29</v>
      </c>
      <c r="F1495" t="s">
        <v>38</v>
      </c>
    </row>
    <row r="1496" spans="1:6" x14ac:dyDescent="0.3">
      <c r="A1496" s="20">
        <v>45789</v>
      </c>
      <c r="B1496">
        <v>12</v>
      </c>
      <c r="C1496" t="s">
        <v>165</v>
      </c>
      <c r="D1496">
        <v>8</v>
      </c>
      <c r="E1496">
        <v>8</v>
      </c>
      <c r="F1496" t="s">
        <v>38</v>
      </c>
    </row>
    <row r="1497" spans="1:6" x14ac:dyDescent="0.3">
      <c r="A1497" s="20">
        <v>45789</v>
      </c>
      <c r="B1497">
        <v>13</v>
      </c>
      <c r="C1497" t="s">
        <v>73</v>
      </c>
      <c r="D1497">
        <v>0</v>
      </c>
      <c r="E1497">
        <v>0</v>
      </c>
      <c r="F1497" t="s">
        <v>39</v>
      </c>
    </row>
    <row r="1498" spans="1:6" x14ac:dyDescent="0.3">
      <c r="A1498" s="20">
        <v>45789</v>
      </c>
      <c r="B1498">
        <v>13</v>
      </c>
      <c r="C1498" t="s">
        <v>73</v>
      </c>
      <c r="D1498">
        <v>0</v>
      </c>
      <c r="E1498">
        <v>0</v>
      </c>
      <c r="F1498" t="s">
        <v>231</v>
      </c>
    </row>
    <row r="1499" spans="1:6" x14ac:dyDescent="0.3">
      <c r="A1499" s="20">
        <v>45789</v>
      </c>
      <c r="B1499">
        <v>13</v>
      </c>
      <c r="C1499" t="s">
        <v>73</v>
      </c>
      <c r="D1499">
        <v>0</v>
      </c>
      <c r="E1499">
        <v>0</v>
      </c>
      <c r="F1499" t="s">
        <v>161</v>
      </c>
    </row>
    <row r="1500" spans="1:6" x14ac:dyDescent="0.3">
      <c r="A1500" s="20">
        <v>45789</v>
      </c>
      <c r="B1500">
        <v>13</v>
      </c>
      <c r="C1500" t="s">
        <v>158</v>
      </c>
      <c r="D1500">
        <v>11822</v>
      </c>
      <c r="E1500">
        <v>711</v>
      </c>
      <c r="F1500" t="s">
        <v>31</v>
      </c>
    </row>
    <row r="1501" spans="1:6" x14ac:dyDescent="0.3">
      <c r="A1501" s="20">
        <v>45789</v>
      </c>
      <c r="B1501">
        <v>13</v>
      </c>
      <c r="C1501" t="s">
        <v>52</v>
      </c>
      <c r="D1501">
        <v>41195</v>
      </c>
      <c r="E1501">
        <v>1816</v>
      </c>
      <c r="F1501" t="s">
        <v>31</v>
      </c>
    </row>
    <row r="1502" spans="1:6" x14ac:dyDescent="0.3">
      <c r="A1502" s="20">
        <v>45789</v>
      </c>
      <c r="B1502">
        <v>13</v>
      </c>
      <c r="C1502" t="s">
        <v>236</v>
      </c>
      <c r="D1502">
        <v>43198</v>
      </c>
      <c r="E1502">
        <v>4654</v>
      </c>
      <c r="F1502" t="s">
        <v>31</v>
      </c>
    </row>
    <row r="1503" spans="1:6" x14ac:dyDescent="0.3">
      <c r="A1503" s="20">
        <v>45789</v>
      </c>
      <c r="B1503">
        <v>13</v>
      </c>
      <c r="C1503" t="s">
        <v>236</v>
      </c>
      <c r="D1503">
        <v>769</v>
      </c>
      <c r="E1503">
        <v>171</v>
      </c>
      <c r="F1503" t="s">
        <v>42</v>
      </c>
    </row>
    <row r="1504" spans="1:6" x14ac:dyDescent="0.3">
      <c r="A1504" s="20">
        <v>45789</v>
      </c>
      <c r="B1504">
        <v>13</v>
      </c>
      <c r="C1504" t="s">
        <v>41</v>
      </c>
      <c r="D1504">
        <v>3093</v>
      </c>
      <c r="E1504">
        <v>192</v>
      </c>
      <c r="F1504" t="s">
        <v>31</v>
      </c>
    </row>
    <row r="1505" spans="1:6" x14ac:dyDescent="0.3">
      <c r="A1505" s="20">
        <v>45789</v>
      </c>
      <c r="B1505">
        <v>13</v>
      </c>
      <c r="C1505" t="s">
        <v>54</v>
      </c>
      <c r="D1505">
        <v>184</v>
      </c>
      <c r="E1505">
        <v>26</v>
      </c>
      <c r="F1505" t="s">
        <v>31</v>
      </c>
    </row>
    <row r="1506" spans="1:6" x14ac:dyDescent="0.3">
      <c r="A1506" s="20">
        <v>45789</v>
      </c>
      <c r="B1506">
        <v>13</v>
      </c>
      <c r="C1506" t="s">
        <v>237</v>
      </c>
      <c r="D1506">
        <v>13606</v>
      </c>
      <c r="E1506">
        <v>1590</v>
      </c>
      <c r="F1506" t="s">
        <v>31</v>
      </c>
    </row>
    <row r="1507" spans="1:6" x14ac:dyDescent="0.3">
      <c r="A1507" s="20">
        <v>45789</v>
      </c>
      <c r="B1507">
        <v>13</v>
      </c>
      <c r="C1507" t="s">
        <v>250</v>
      </c>
      <c r="D1507">
        <v>99</v>
      </c>
      <c r="E1507">
        <v>15</v>
      </c>
      <c r="F1507" t="s">
        <v>34</v>
      </c>
    </row>
    <row r="1508" spans="1:6" x14ac:dyDescent="0.3">
      <c r="A1508" s="20">
        <v>45789</v>
      </c>
      <c r="B1508">
        <v>13</v>
      </c>
      <c r="C1508" t="s">
        <v>160</v>
      </c>
      <c r="D1508">
        <v>3857</v>
      </c>
      <c r="E1508">
        <v>644</v>
      </c>
      <c r="F1508" t="s">
        <v>229</v>
      </c>
    </row>
    <row r="1509" spans="1:6" x14ac:dyDescent="0.3">
      <c r="A1509" s="20">
        <v>45789</v>
      </c>
      <c r="B1509">
        <v>13</v>
      </c>
      <c r="C1509" t="s">
        <v>162</v>
      </c>
      <c r="D1509">
        <v>9029</v>
      </c>
      <c r="E1509">
        <v>1276</v>
      </c>
      <c r="F1509" t="s">
        <v>47</v>
      </c>
    </row>
    <row r="1510" spans="1:6" x14ac:dyDescent="0.3">
      <c r="A1510" s="20">
        <v>45789</v>
      </c>
      <c r="B1510">
        <v>13</v>
      </c>
      <c r="C1510" t="s">
        <v>40</v>
      </c>
      <c r="D1510">
        <v>103278</v>
      </c>
      <c r="E1510">
        <v>5614</v>
      </c>
      <c r="F1510" t="s">
        <v>38</v>
      </c>
    </row>
    <row r="1511" spans="1:6" x14ac:dyDescent="0.3">
      <c r="A1511" s="20">
        <v>45789</v>
      </c>
      <c r="B1511">
        <v>13</v>
      </c>
      <c r="C1511" t="s">
        <v>76</v>
      </c>
      <c r="D1511">
        <v>95935</v>
      </c>
      <c r="E1511">
        <v>4454</v>
      </c>
      <c r="F1511" t="s">
        <v>38</v>
      </c>
    </row>
    <row r="1512" spans="1:6" x14ac:dyDescent="0.3">
      <c r="A1512" s="20">
        <v>45789</v>
      </c>
      <c r="B1512">
        <v>13</v>
      </c>
      <c r="C1512" t="s">
        <v>253</v>
      </c>
      <c r="D1512">
        <v>758</v>
      </c>
      <c r="E1512">
        <v>178</v>
      </c>
      <c r="F1512" t="s">
        <v>44</v>
      </c>
    </row>
    <row r="1513" spans="1:6" x14ac:dyDescent="0.3">
      <c r="A1513" s="20">
        <v>45789</v>
      </c>
      <c r="B1513">
        <v>14</v>
      </c>
      <c r="C1513" t="s">
        <v>73</v>
      </c>
      <c r="D1513">
        <v>2</v>
      </c>
      <c r="E1513">
        <v>2</v>
      </c>
      <c r="F1513" t="s">
        <v>31</v>
      </c>
    </row>
    <row r="1514" spans="1:6" x14ac:dyDescent="0.3">
      <c r="A1514" s="20">
        <v>45789</v>
      </c>
      <c r="B1514">
        <v>14</v>
      </c>
      <c r="C1514" t="s">
        <v>73</v>
      </c>
      <c r="D1514">
        <v>0</v>
      </c>
      <c r="E1514">
        <v>0</v>
      </c>
      <c r="F1514" t="s">
        <v>74</v>
      </c>
    </row>
    <row r="1515" spans="1:6" x14ac:dyDescent="0.3">
      <c r="A1515" s="20">
        <v>45789</v>
      </c>
      <c r="B1515">
        <v>14</v>
      </c>
      <c r="C1515" t="s">
        <v>153</v>
      </c>
      <c r="D1515">
        <v>5202</v>
      </c>
      <c r="E1515">
        <v>217</v>
      </c>
      <c r="F1515" t="s">
        <v>248</v>
      </c>
    </row>
    <row r="1516" spans="1:6" x14ac:dyDescent="0.3">
      <c r="A1516" s="20">
        <v>45789</v>
      </c>
      <c r="B1516">
        <v>14</v>
      </c>
      <c r="C1516" t="s">
        <v>156</v>
      </c>
      <c r="D1516">
        <v>5559</v>
      </c>
      <c r="E1516">
        <v>643</v>
      </c>
      <c r="F1516" t="s">
        <v>229</v>
      </c>
    </row>
    <row r="1517" spans="1:6" x14ac:dyDescent="0.3">
      <c r="A1517" s="20">
        <v>45789</v>
      </c>
      <c r="B1517">
        <v>14</v>
      </c>
      <c r="C1517" t="s">
        <v>156</v>
      </c>
      <c r="D1517">
        <v>9814</v>
      </c>
      <c r="E1517">
        <v>1595</v>
      </c>
      <c r="F1517" t="s">
        <v>43</v>
      </c>
    </row>
    <row r="1518" spans="1:6" x14ac:dyDescent="0.3">
      <c r="A1518" s="20">
        <v>45789</v>
      </c>
      <c r="B1518">
        <v>14</v>
      </c>
      <c r="C1518" t="s">
        <v>249</v>
      </c>
      <c r="D1518">
        <v>16183</v>
      </c>
      <c r="E1518">
        <v>677</v>
      </c>
      <c r="F1518" t="s">
        <v>31</v>
      </c>
    </row>
    <row r="1519" spans="1:6" x14ac:dyDescent="0.3">
      <c r="A1519" s="20">
        <v>45789</v>
      </c>
      <c r="B1519">
        <v>14</v>
      </c>
      <c r="C1519" t="s">
        <v>247</v>
      </c>
      <c r="D1519">
        <v>14087</v>
      </c>
      <c r="E1519">
        <v>1540</v>
      </c>
      <c r="F1519" t="s">
        <v>31</v>
      </c>
    </row>
    <row r="1520" spans="1:6" x14ac:dyDescent="0.3">
      <c r="A1520" s="20">
        <v>45789</v>
      </c>
      <c r="B1520">
        <v>14</v>
      </c>
      <c r="C1520" t="s">
        <v>254</v>
      </c>
      <c r="D1520">
        <v>13119</v>
      </c>
      <c r="E1520">
        <v>1443</v>
      </c>
      <c r="F1520" t="s">
        <v>31</v>
      </c>
    </row>
    <row r="1521" spans="1:6" x14ac:dyDescent="0.3">
      <c r="A1521" s="20">
        <v>45789</v>
      </c>
      <c r="B1521">
        <v>14</v>
      </c>
      <c r="C1521" t="s">
        <v>152</v>
      </c>
      <c r="D1521">
        <v>5398</v>
      </c>
      <c r="E1521">
        <v>537</v>
      </c>
      <c r="F1521" t="s">
        <v>138</v>
      </c>
    </row>
    <row r="1522" spans="1:6" x14ac:dyDescent="0.3">
      <c r="A1522" s="20">
        <v>45789</v>
      </c>
      <c r="B1522">
        <v>14</v>
      </c>
      <c r="C1522" t="s">
        <v>261</v>
      </c>
      <c r="D1522">
        <v>21737</v>
      </c>
      <c r="E1522">
        <v>2417</v>
      </c>
      <c r="F1522" t="s">
        <v>31</v>
      </c>
    </row>
    <row r="1523" spans="1:6" x14ac:dyDescent="0.3">
      <c r="A1523" s="20">
        <v>45789</v>
      </c>
      <c r="B1523">
        <v>14</v>
      </c>
      <c r="C1523" t="s">
        <v>256</v>
      </c>
      <c r="D1523">
        <v>12515</v>
      </c>
      <c r="E1523">
        <v>124</v>
      </c>
      <c r="F1523" t="s">
        <v>163</v>
      </c>
    </row>
    <row r="1524" spans="1:6" x14ac:dyDescent="0.3">
      <c r="A1524" s="20">
        <v>45789</v>
      </c>
      <c r="B1524">
        <v>14</v>
      </c>
      <c r="C1524" t="s">
        <v>250</v>
      </c>
      <c r="D1524">
        <v>87</v>
      </c>
      <c r="E1524">
        <v>5</v>
      </c>
      <c r="F1524" t="s">
        <v>74</v>
      </c>
    </row>
    <row r="1525" spans="1:6" x14ac:dyDescent="0.3">
      <c r="A1525" s="20">
        <v>45789</v>
      </c>
      <c r="B1525">
        <v>14</v>
      </c>
      <c r="C1525" t="s">
        <v>250</v>
      </c>
      <c r="D1525">
        <v>1390</v>
      </c>
      <c r="E1525">
        <v>148</v>
      </c>
      <c r="F1525" t="s">
        <v>86</v>
      </c>
    </row>
    <row r="1526" spans="1:6" x14ac:dyDescent="0.3">
      <c r="A1526" s="20">
        <v>45789</v>
      </c>
      <c r="B1526">
        <v>14</v>
      </c>
      <c r="C1526" t="s">
        <v>250</v>
      </c>
      <c r="D1526">
        <v>257</v>
      </c>
      <c r="E1526">
        <v>43</v>
      </c>
      <c r="F1526" t="s">
        <v>257</v>
      </c>
    </row>
    <row r="1527" spans="1:6" x14ac:dyDescent="0.3">
      <c r="A1527" s="20">
        <v>45789</v>
      </c>
      <c r="B1527">
        <v>14</v>
      </c>
      <c r="C1527" t="s">
        <v>160</v>
      </c>
      <c r="D1527">
        <v>840</v>
      </c>
      <c r="E1527">
        <v>144</v>
      </c>
      <c r="F1527" t="s">
        <v>47</v>
      </c>
    </row>
    <row r="1528" spans="1:6" x14ac:dyDescent="0.3">
      <c r="A1528" s="20">
        <v>45789</v>
      </c>
      <c r="B1528">
        <v>14</v>
      </c>
      <c r="C1528" t="s">
        <v>160</v>
      </c>
      <c r="D1528">
        <v>402</v>
      </c>
      <c r="E1528">
        <v>60</v>
      </c>
      <c r="F1528" t="s">
        <v>74</v>
      </c>
    </row>
    <row r="1529" spans="1:6" x14ac:dyDescent="0.3">
      <c r="A1529" s="20">
        <v>45789</v>
      </c>
      <c r="B1529">
        <v>14</v>
      </c>
      <c r="C1529" t="s">
        <v>160</v>
      </c>
      <c r="D1529">
        <v>225</v>
      </c>
      <c r="E1529">
        <v>40</v>
      </c>
      <c r="F1529" t="s">
        <v>43</v>
      </c>
    </row>
    <row r="1530" spans="1:6" x14ac:dyDescent="0.3">
      <c r="A1530" s="20">
        <v>45789</v>
      </c>
      <c r="B1530">
        <v>14</v>
      </c>
      <c r="C1530" t="s">
        <v>240</v>
      </c>
      <c r="D1530">
        <v>19001</v>
      </c>
      <c r="E1530">
        <v>588</v>
      </c>
      <c r="F1530" t="s">
        <v>38</v>
      </c>
    </row>
    <row r="1531" spans="1:6" x14ac:dyDescent="0.3">
      <c r="A1531" s="20">
        <v>45789</v>
      </c>
      <c r="B1531">
        <v>14</v>
      </c>
      <c r="C1531" t="s">
        <v>81</v>
      </c>
      <c r="D1531">
        <v>82846</v>
      </c>
      <c r="E1531">
        <v>3261</v>
      </c>
      <c r="F1531" t="s">
        <v>38</v>
      </c>
    </row>
    <row r="1532" spans="1:6" x14ac:dyDescent="0.3">
      <c r="A1532" s="20">
        <v>45789</v>
      </c>
      <c r="B1532">
        <v>14</v>
      </c>
      <c r="C1532" t="s">
        <v>235</v>
      </c>
      <c r="D1532">
        <v>995</v>
      </c>
      <c r="E1532">
        <v>211</v>
      </c>
      <c r="F1532" t="s">
        <v>161</v>
      </c>
    </row>
    <row r="1533" spans="1:6" x14ac:dyDescent="0.3">
      <c r="A1533" s="20">
        <v>45789</v>
      </c>
      <c r="B1533">
        <v>15</v>
      </c>
      <c r="C1533" t="s">
        <v>73</v>
      </c>
      <c r="D1533">
        <v>0</v>
      </c>
      <c r="E1533">
        <v>0</v>
      </c>
      <c r="F1533" t="s">
        <v>75</v>
      </c>
    </row>
    <row r="1534" spans="1:6" x14ac:dyDescent="0.3">
      <c r="A1534" s="20">
        <v>45789</v>
      </c>
      <c r="B1534">
        <v>15</v>
      </c>
      <c r="C1534" t="s">
        <v>241</v>
      </c>
      <c r="D1534">
        <v>13312</v>
      </c>
      <c r="E1534">
        <v>773</v>
      </c>
      <c r="F1534" t="s">
        <v>31</v>
      </c>
    </row>
    <row r="1535" spans="1:6" x14ac:dyDescent="0.3">
      <c r="A1535" s="20">
        <v>45789</v>
      </c>
      <c r="B1535">
        <v>15</v>
      </c>
      <c r="C1535" t="s">
        <v>52</v>
      </c>
      <c r="D1535">
        <v>22</v>
      </c>
      <c r="E1535">
        <v>22</v>
      </c>
      <c r="F1535" t="s">
        <v>259</v>
      </c>
    </row>
    <row r="1536" spans="1:6" x14ac:dyDescent="0.3">
      <c r="A1536" s="20">
        <v>45789</v>
      </c>
      <c r="B1536">
        <v>15</v>
      </c>
      <c r="C1536" t="s">
        <v>232</v>
      </c>
      <c r="D1536">
        <v>426</v>
      </c>
      <c r="E1536">
        <v>36</v>
      </c>
      <c r="F1536" t="s">
        <v>68</v>
      </c>
    </row>
    <row r="1537" spans="1:6" x14ac:dyDescent="0.3">
      <c r="A1537" s="20">
        <v>45789</v>
      </c>
      <c r="B1537">
        <v>15</v>
      </c>
      <c r="C1537" t="s">
        <v>238</v>
      </c>
      <c r="D1537">
        <v>2263</v>
      </c>
      <c r="E1537">
        <v>344</v>
      </c>
      <c r="F1537" t="s">
        <v>44</v>
      </c>
    </row>
    <row r="1538" spans="1:6" x14ac:dyDescent="0.3">
      <c r="A1538" s="20">
        <v>45789</v>
      </c>
      <c r="B1538">
        <v>15</v>
      </c>
      <c r="C1538" t="s">
        <v>238</v>
      </c>
      <c r="D1538">
        <v>8984</v>
      </c>
      <c r="E1538">
        <v>791</v>
      </c>
      <c r="F1538" t="s">
        <v>32</v>
      </c>
    </row>
    <row r="1539" spans="1:6" x14ac:dyDescent="0.3">
      <c r="A1539" s="20">
        <v>45789</v>
      </c>
      <c r="B1539">
        <v>15</v>
      </c>
      <c r="C1539" t="s">
        <v>250</v>
      </c>
      <c r="D1539">
        <v>41</v>
      </c>
      <c r="E1539">
        <v>6</v>
      </c>
      <c r="F1539" t="s">
        <v>85</v>
      </c>
    </row>
    <row r="1540" spans="1:6" x14ac:dyDescent="0.3">
      <c r="A1540" s="20">
        <v>45789</v>
      </c>
      <c r="B1540">
        <v>15</v>
      </c>
      <c r="C1540" t="s">
        <v>250</v>
      </c>
      <c r="D1540">
        <v>7034</v>
      </c>
      <c r="E1540">
        <v>1023</v>
      </c>
      <c r="F1540" t="s">
        <v>252</v>
      </c>
    </row>
    <row r="1541" spans="1:6" x14ac:dyDescent="0.3">
      <c r="A1541" s="20">
        <v>45789</v>
      </c>
      <c r="B1541">
        <v>15</v>
      </c>
      <c r="C1541" t="s">
        <v>165</v>
      </c>
      <c r="D1541">
        <v>1</v>
      </c>
      <c r="E1541">
        <v>1</v>
      </c>
      <c r="F1541" t="s">
        <v>38</v>
      </c>
    </row>
    <row r="1542" spans="1:6" x14ac:dyDescent="0.3">
      <c r="A1542" s="20">
        <v>45789</v>
      </c>
      <c r="B1542">
        <v>16</v>
      </c>
      <c r="C1542" t="s">
        <v>73</v>
      </c>
      <c r="D1542">
        <v>0</v>
      </c>
      <c r="E1542">
        <v>0</v>
      </c>
      <c r="F1542" t="s">
        <v>231</v>
      </c>
    </row>
    <row r="1543" spans="1:6" x14ac:dyDescent="0.3">
      <c r="A1543" s="20">
        <v>45789</v>
      </c>
      <c r="B1543">
        <v>16</v>
      </c>
      <c r="C1543" t="s">
        <v>73</v>
      </c>
      <c r="D1543">
        <v>0</v>
      </c>
      <c r="E1543">
        <v>0</v>
      </c>
      <c r="F1543" t="s">
        <v>161</v>
      </c>
    </row>
    <row r="1544" spans="1:6" x14ac:dyDescent="0.3">
      <c r="A1544" s="20">
        <v>45789</v>
      </c>
      <c r="B1544">
        <v>16</v>
      </c>
      <c r="C1544" t="s">
        <v>158</v>
      </c>
      <c r="D1544">
        <v>7049</v>
      </c>
      <c r="E1544">
        <v>409</v>
      </c>
      <c r="F1544" t="s">
        <v>31</v>
      </c>
    </row>
    <row r="1545" spans="1:6" x14ac:dyDescent="0.3">
      <c r="A1545" s="20">
        <v>45789</v>
      </c>
      <c r="B1545">
        <v>16</v>
      </c>
      <c r="C1545" t="s">
        <v>41</v>
      </c>
      <c r="D1545">
        <v>2547</v>
      </c>
      <c r="E1545">
        <v>139</v>
      </c>
      <c r="F1545" t="s">
        <v>31</v>
      </c>
    </row>
    <row r="1546" spans="1:6" x14ac:dyDescent="0.3">
      <c r="A1546" s="20">
        <v>45789</v>
      </c>
      <c r="B1546">
        <v>16</v>
      </c>
      <c r="C1546" t="s">
        <v>54</v>
      </c>
      <c r="D1546">
        <v>103</v>
      </c>
      <c r="E1546">
        <v>13</v>
      </c>
      <c r="F1546" t="s">
        <v>31</v>
      </c>
    </row>
    <row r="1547" spans="1:6" x14ac:dyDescent="0.3">
      <c r="A1547" s="20">
        <v>45789</v>
      </c>
      <c r="B1547">
        <v>16</v>
      </c>
      <c r="C1547" t="s">
        <v>250</v>
      </c>
      <c r="D1547">
        <v>99</v>
      </c>
      <c r="E1547">
        <v>26</v>
      </c>
      <c r="F1547" t="s">
        <v>34</v>
      </c>
    </row>
    <row r="1548" spans="1:6" x14ac:dyDescent="0.3">
      <c r="A1548" s="20">
        <v>45789</v>
      </c>
      <c r="B1548">
        <v>16</v>
      </c>
      <c r="C1548" t="s">
        <v>160</v>
      </c>
      <c r="D1548">
        <v>1121</v>
      </c>
      <c r="E1548">
        <v>205</v>
      </c>
      <c r="F1548" t="s">
        <v>39</v>
      </c>
    </row>
    <row r="1549" spans="1:6" x14ac:dyDescent="0.3">
      <c r="A1549" s="20">
        <v>45789</v>
      </c>
      <c r="B1549">
        <v>16</v>
      </c>
      <c r="C1549" t="s">
        <v>160</v>
      </c>
      <c r="D1549">
        <v>4543</v>
      </c>
      <c r="E1549">
        <v>716</v>
      </c>
      <c r="F1549" t="s">
        <v>229</v>
      </c>
    </row>
    <row r="1550" spans="1:6" x14ac:dyDescent="0.3">
      <c r="A1550" s="20">
        <v>45789</v>
      </c>
      <c r="B1550">
        <v>16</v>
      </c>
      <c r="C1550" t="s">
        <v>162</v>
      </c>
      <c r="D1550">
        <v>9737</v>
      </c>
      <c r="E1550">
        <v>1269</v>
      </c>
      <c r="F1550" t="s">
        <v>47</v>
      </c>
    </row>
    <row r="1551" spans="1:6" x14ac:dyDescent="0.3">
      <c r="A1551" s="20">
        <v>45789</v>
      </c>
      <c r="B1551">
        <v>16</v>
      </c>
      <c r="C1551" t="s">
        <v>40</v>
      </c>
      <c r="D1551">
        <v>103249</v>
      </c>
      <c r="E1551">
        <v>5473</v>
      </c>
      <c r="F1551" t="s">
        <v>38</v>
      </c>
    </row>
    <row r="1552" spans="1:6" x14ac:dyDescent="0.3">
      <c r="A1552" s="20">
        <v>45789</v>
      </c>
      <c r="B1552">
        <v>16</v>
      </c>
      <c r="C1552" t="s">
        <v>76</v>
      </c>
      <c r="D1552">
        <v>57717</v>
      </c>
      <c r="E1552">
        <v>2492</v>
      </c>
      <c r="F1552" t="s">
        <v>38</v>
      </c>
    </row>
    <row r="1553" spans="1:6" x14ac:dyDescent="0.3">
      <c r="A1553" s="20">
        <v>45789</v>
      </c>
      <c r="B1553">
        <v>16</v>
      </c>
      <c r="C1553" t="s">
        <v>253</v>
      </c>
      <c r="D1553">
        <v>0</v>
      </c>
      <c r="E1553">
        <v>0</v>
      </c>
      <c r="F1553" t="s">
        <v>44</v>
      </c>
    </row>
    <row r="1554" spans="1:6" x14ac:dyDescent="0.3">
      <c r="A1554" s="20">
        <v>45789</v>
      </c>
      <c r="B1554">
        <v>16</v>
      </c>
      <c r="C1554" t="s">
        <v>235</v>
      </c>
      <c r="D1554">
        <v>15332</v>
      </c>
      <c r="E1554">
        <v>2390</v>
      </c>
      <c r="F1554" t="s">
        <v>75</v>
      </c>
    </row>
    <row r="1555" spans="1:6" x14ac:dyDescent="0.3">
      <c r="A1555" s="20">
        <v>45789</v>
      </c>
      <c r="B1555">
        <v>17</v>
      </c>
      <c r="C1555" t="s">
        <v>73</v>
      </c>
      <c r="D1555">
        <v>10</v>
      </c>
      <c r="E1555">
        <v>10</v>
      </c>
      <c r="F1555" t="s">
        <v>31</v>
      </c>
    </row>
    <row r="1556" spans="1:6" x14ac:dyDescent="0.3">
      <c r="A1556" s="20">
        <v>45789</v>
      </c>
      <c r="B1556">
        <v>17</v>
      </c>
      <c r="C1556" t="s">
        <v>156</v>
      </c>
      <c r="D1556">
        <v>5753</v>
      </c>
      <c r="E1556">
        <v>550</v>
      </c>
      <c r="F1556" t="s">
        <v>229</v>
      </c>
    </row>
    <row r="1557" spans="1:6" x14ac:dyDescent="0.3">
      <c r="A1557" s="20">
        <v>45789</v>
      </c>
      <c r="B1557">
        <v>17</v>
      </c>
      <c r="C1557" t="s">
        <v>228</v>
      </c>
      <c r="D1557">
        <v>15192</v>
      </c>
      <c r="E1557">
        <v>2430</v>
      </c>
      <c r="F1557" t="s">
        <v>45</v>
      </c>
    </row>
    <row r="1558" spans="1:6" x14ac:dyDescent="0.3">
      <c r="A1558" s="20">
        <v>45789</v>
      </c>
      <c r="B1558">
        <v>17</v>
      </c>
      <c r="C1558" t="s">
        <v>249</v>
      </c>
      <c r="D1558">
        <v>7707</v>
      </c>
      <c r="E1558">
        <v>296</v>
      </c>
      <c r="F1558" t="s">
        <v>31</v>
      </c>
    </row>
    <row r="1559" spans="1:6" x14ac:dyDescent="0.3">
      <c r="A1559" s="20">
        <v>45789</v>
      </c>
      <c r="B1559">
        <v>17</v>
      </c>
      <c r="C1559" t="s">
        <v>158</v>
      </c>
      <c r="D1559">
        <v>7888</v>
      </c>
      <c r="E1559">
        <v>169</v>
      </c>
      <c r="F1559" t="s">
        <v>42</v>
      </c>
    </row>
    <row r="1560" spans="1:6" x14ac:dyDescent="0.3">
      <c r="A1560" s="20">
        <v>45789</v>
      </c>
      <c r="B1560">
        <v>17</v>
      </c>
      <c r="C1560" t="s">
        <v>247</v>
      </c>
      <c r="D1560">
        <v>7752</v>
      </c>
      <c r="E1560">
        <v>1270</v>
      </c>
      <c r="F1560" t="s">
        <v>31</v>
      </c>
    </row>
    <row r="1561" spans="1:6" x14ac:dyDescent="0.3">
      <c r="A1561" s="20">
        <v>45789</v>
      </c>
      <c r="B1561">
        <v>17</v>
      </c>
      <c r="C1561" t="s">
        <v>254</v>
      </c>
      <c r="D1561">
        <v>5318</v>
      </c>
      <c r="E1561">
        <v>655</v>
      </c>
      <c r="F1561" t="s">
        <v>31</v>
      </c>
    </row>
    <row r="1562" spans="1:6" x14ac:dyDescent="0.3">
      <c r="A1562" s="20">
        <v>45789</v>
      </c>
      <c r="B1562">
        <v>17</v>
      </c>
      <c r="C1562" t="s">
        <v>152</v>
      </c>
      <c r="D1562">
        <v>3662</v>
      </c>
      <c r="E1562">
        <v>454</v>
      </c>
      <c r="F1562" t="s">
        <v>138</v>
      </c>
    </row>
    <row r="1563" spans="1:6" x14ac:dyDescent="0.3">
      <c r="A1563" s="20">
        <v>45789</v>
      </c>
      <c r="B1563">
        <v>17</v>
      </c>
      <c r="C1563" t="s">
        <v>71</v>
      </c>
      <c r="D1563">
        <v>3027</v>
      </c>
      <c r="E1563">
        <v>319</v>
      </c>
      <c r="F1563" t="s">
        <v>32</v>
      </c>
    </row>
    <row r="1564" spans="1:6" x14ac:dyDescent="0.3">
      <c r="A1564" s="20">
        <v>45789</v>
      </c>
      <c r="B1564">
        <v>17</v>
      </c>
      <c r="C1564" t="s">
        <v>261</v>
      </c>
      <c r="D1564">
        <v>9804</v>
      </c>
      <c r="E1564">
        <v>1332</v>
      </c>
      <c r="F1564" t="s">
        <v>31</v>
      </c>
    </row>
    <row r="1565" spans="1:6" x14ac:dyDescent="0.3">
      <c r="A1565" s="20">
        <v>45789</v>
      </c>
      <c r="B1565">
        <v>17</v>
      </c>
      <c r="C1565" t="s">
        <v>256</v>
      </c>
      <c r="D1565">
        <v>12241</v>
      </c>
      <c r="E1565">
        <v>173</v>
      </c>
      <c r="F1565" t="s">
        <v>163</v>
      </c>
    </row>
    <row r="1566" spans="1:6" x14ac:dyDescent="0.3">
      <c r="A1566" s="20">
        <v>45789</v>
      </c>
      <c r="B1566">
        <v>17</v>
      </c>
      <c r="C1566" t="s">
        <v>262</v>
      </c>
      <c r="D1566">
        <v>8849</v>
      </c>
      <c r="E1566">
        <v>180</v>
      </c>
      <c r="F1566" t="s">
        <v>86</v>
      </c>
    </row>
    <row r="1567" spans="1:6" x14ac:dyDescent="0.3">
      <c r="A1567" s="20">
        <v>45789</v>
      </c>
      <c r="B1567">
        <v>17</v>
      </c>
      <c r="C1567" t="s">
        <v>250</v>
      </c>
      <c r="D1567">
        <v>105</v>
      </c>
      <c r="E1567">
        <v>7</v>
      </c>
      <c r="F1567" t="s">
        <v>74</v>
      </c>
    </row>
    <row r="1568" spans="1:6" x14ac:dyDescent="0.3">
      <c r="A1568" s="20">
        <v>45789</v>
      </c>
      <c r="B1568">
        <v>17</v>
      </c>
      <c r="C1568" t="s">
        <v>250</v>
      </c>
      <c r="D1568">
        <v>351</v>
      </c>
      <c r="E1568">
        <v>73</v>
      </c>
      <c r="F1568" t="s">
        <v>257</v>
      </c>
    </row>
    <row r="1569" spans="1:6" x14ac:dyDescent="0.3">
      <c r="A1569" s="20">
        <v>45789</v>
      </c>
      <c r="B1569">
        <v>17</v>
      </c>
      <c r="C1569" t="s">
        <v>160</v>
      </c>
      <c r="D1569">
        <v>726</v>
      </c>
      <c r="E1569">
        <v>128</v>
      </c>
      <c r="F1569" t="s">
        <v>47</v>
      </c>
    </row>
    <row r="1570" spans="1:6" x14ac:dyDescent="0.3">
      <c r="A1570" s="20">
        <v>45789</v>
      </c>
      <c r="B1570">
        <v>17</v>
      </c>
      <c r="C1570" t="s">
        <v>160</v>
      </c>
      <c r="D1570">
        <v>467</v>
      </c>
      <c r="E1570">
        <v>75</v>
      </c>
      <c r="F1570" t="s">
        <v>74</v>
      </c>
    </row>
    <row r="1571" spans="1:6" x14ac:dyDescent="0.3">
      <c r="A1571" s="20">
        <v>45789</v>
      </c>
      <c r="B1571">
        <v>17</v>
      </c>
      <c r="C1571" t="s">
        <v>160</v>
      </c>
      <c r="D1571">
        <v>19</v>
      </c>
      <c r="E1571">
        <v>1</v>
      </c>
      <c r="F1571" t="s">
        <v>138</v>
      </c>
    </row>
    <row r="1572" spans="1:6" x14ac:dyDescent="0.3">
      <c r="A1572" s="20">
        <v>45789</v>
      </c>
      <c r="B1572">
        <v>17</v>
      </c>
      <c r="C1572" t="s">
        <v>160</v>
      </c>
      <c r="D1572">
        <v>216</v>
      </c>
      <c r="E1572">
        <v>51</v>
      </c>
      <c r="F1572" t="s">
        <v>43</v>
      </c>
    </row>
    <row r="1573" spans="1:6" x14ac:dyDescent="0.3">
      <c r="A1573" s="20">
        <v>45789</v>
      </c>
      <c r="B1573">
        <v>17</v>
      </c>
      <c r="C1573" t="s">
        <v>55</v>
      </c>
      <c r="D1573">
        <v>101731</v>
      </c>
      <c r="E1573">
        <v>4580</v>
      </c>
      <c r="F1573" t="s">
        <v>38</v>
      </c>
    </row>
    <row r="1574" spans="1:6" x14ac:dyDescent="0.3">
      <c r="A1574" s="20">
        <v>45789</v>
      </c>
      <c r="B1574">
        <v>17</v>
      </c>
      <c r="C1574" t="s">
        <v>235</v>
      </c>
      <c r="D1574">
        <v>831</v>
      </c>
      <c r="E1574">
        <v>121</v>
      </c>
      <c r="F1574" t="s">
        <v>161</v>
      </c>
    </row>
    <row r="1575" spans="1:6" x14ac:dyDescent="0.3">
      <c r="A1575" s="20">
        <v>45789</v>
      </c>
      <c r="B1575">
        <v>18</v>
      </c>
      <c r="C1575" t="s">
        <v>73</v>
      </c>
      <c r="D1575">
        <v>0</v>
      </c>
      <c r="E1575">
        <v>0</v>
      </c>
      <c r="F1575" t="s">
        <v>45</v>
      </c>
    </row>
    <row r="1576" spans="1:6" x14ac:dyDescent="0.3">
      <c r="A1576" s="20">
        <v>45789</v>
      </c>
      <c r="B1576">
        <v>18</v>
      </c>
      <c r="C1576" t="s">
        <v>73</v>
      </c>
      <c r="D1576">
        <v>0</v>
      </c>
      <c r="E1576">
        <v>0</v>
      </c>
      <c r="F1576" t="s">
        <v>75</v>
      </c>
    </row>
    <row r="1577" spans="1:6" x14ac:dyDescent="0.3">
      <c r="A1577" s="20">
        <v>45789</v>
      </c>
      <c r="B1577">
        <v>18</v>
      </c>
      <c r="C1577" t="s">
        <v>228</v>
      </c>
      <c r="D1577">
        <v>76</v>
      </c>
      <c r="E1577">
        <v>16</v>
      </c>
      <c r="F1577" t="s">
        <v>72</v>
      </c>
    </row>
    <row r="1578" spans="1:6" x14ac:dyDescent="0.3">
      <c r="A1578" s="20">
        <v>45789</v>
      </c>
      <c r="B1578">
        <v>18</v>
      </c>
      <c r="C1578" t="s">
        <v>232</v>
      </c>
      <c r="D1578">
        <v>304</v>
      </c>
      <c r="E1578">
        <v>22</v>
      </c>
      <c r="F1578" t="s">
        <v>68</v>
      </c>
    </row>
    <row r="1579" spans="1:6" x14ac:dyDescent="0.3">
      <c r="A1579" s="20">
        <v>45789</v>
      </c>
      <c r="B1579">
        <v>18</v>
      </c>
      <c r="C1579" t="s">
        <v>233</v>
      </c>
      <c r="D1579">
        <v>2938</v>
      </c>
      <c r="E1579">
        <v>263</v>
      </c>
      <c r="F1579" t="s">
        <v>39</v>
      </c>
    </row>
    <row r="1580" spans="1:6" x14ac:dyDescent="0.3">
      <c r="A1580" s="20">
        <v>45789</v>
      </c>
      <c r="B1580">
        <v>18</v>
      </c>
      <c r="C1580" t="s">
        <v>238</v>
      </c>
      <c r="D1580">
        <v>8696</v>
      </c>
      <c r="E1580">
        <v>787</v>
      </c>
      <c r="F1580" t="s">
        <v>32</v>
      </c>
    </row>
    <row r="1581" spans="1:6" x14ac:dyDescent="0.3">
      <c r="A1581" s="20">
        <v>45789</v>
      </c>
      <c r="B1581">
        <v>18</v>
      </c>
      <c r="C1581" t="s">
        <v>238</v>
      </c>
      <c r="D1581">
        <v>6575</v>
      </c>
      <c r="E1581">
        <v>923</v>
      </c>
      <c r="F1581" t="s">
        <v>229</v>
      </c>
    </row>
    <row r="1582" spans="1:6" x14ac:dyDescent="0.3">
      <c r="A1582" s="20">
        <v>45789</v>
      </c>
      <c r="B1582">
        <v>18</v>
      </c>
      <c r="C1582" t="s">
        <v>250</v>
      </c>
      <c r="D1582">
        <v>182</v>
      </c>
      <c r="E1582">
        <v>18</v>
      </c>
      <c r="F1582" t="s">
        <v>85</v>
      </c>
    </row>
    <row r="1583" spans="1:6" x14ac:dyDescent="0.3">
      <c r="A1583" s="20">
        <v>45789</v>
      </c>
      <c r="B1583">
        <v>18</v>
      </c>
      <c r="C1583" t="s">
        <v>165</v>
      </c>
      <c r="D1583">
        <v>3</v>
      </c>
      <c r="E1583">
        <v>3</v>
      </c>
      <c r="F1583" t="s">
        <v>38</v>
      </c>
    </row>
    <row r="1584" spans="1:6" x14ac:dyDescent="0.3">
      <c r="A1584" s="20">
        <v>45789</v>
      </c>
      <c r="B1584">
        <v>19</v>
      </c>
      <c r="C1584" t="s">
        <v>73</v>
      </c>
      <c r="D1584">
        <v>0</v>
      </c>
      <c r="E1584">
        <v>0</v>
      </c>
      <c r="F1584" t="s">
        <v>163</v>
      </c>
    </row>
    <row r="1585" spans="1:6" x14ac:dyDescent="0.3">
      <c r="A1585" s="20">
        <v>45789</v>
      </c>
      <c r="B1585">
        <v>19</v>
      </c>
      <c r="C1585" t="s">
        <v>73</v>
      </c>
      <c r="D1585">
        <v>0</v>
      </c>
      <c r="E1585">
        <v>0</v>
      </c>
      <c r="F1585" t="s">
        <v>231</v>
      </c>
    </row>
    <row r="1586" spans="1:6" x14ac:dyDescent="0.3">
      <c r="A1586" s="20">
        <v>45789</v>
      </c>
      <c r="B1586">
        <v>19</v>
      </c>
      <c r="C1586" t="s">
        <v>73</v>
      </c>
      <c r="D1586">
        <v>0</v>
      </c>
      <c r="E1586">
        <v>0</v>
      </c>
      <c r="F1586" t="s">
        <v>161</v>
      </c>
    </row>
    <row r="1587" spans="1:6" x14ac:dyDescent="0.3">
      <c r="A1587" s="20">
        <v>45789</v>
      </c>
      <c r="B1587">
        <v>19</v>
      </c>
      <c r="C1587" t="s">
        <v>73</v>
      </c>
      <c r="D1587">
        <v>0</v>
      </c>
      <c r="E1587">
        <v>0</v>
      </c>
      <c r="F1587" t="s">
        <v>72</v>
      </c>
    </row>
    <row r="1588" spans="1:6" x14ac:dyDescent="0.3">
      <c r="A1588" s="20">
        <v>45789</v>
      </c>
      <c r="B1588">
        <v>19</v>
      </c>
      <c r="C1588" t="s">
        <v>67</v>
      </c>
      <c r="D1588">
        <v>24479</v>
      </c>
      <c r="E1588">
        <v>735</v>
      </c>
      <c r="F1588" t="s">
        <v>31</v>
      </c>
    </row>
    <row r="1589" spans="1:6" x14ac:dyDescent="0.3">
      <c r="A1589" s="20">
        <v>45789</v>
      </c>
      <c r="B1589">
        <v>19</v>
      </c>
      <c r="C1589" t="s">
        <v>158</v>
      </c>
      <c r="D1589">
        <v>41190</v>
      </c>
      <c r="E1589">
        <v>1442</v>
      </c>
      <c r="F1589" t="s">
        <v>31</v>
      </c>
    </row>
    <row r="1590" spans="1:6" x14ac:dyDescent="0.3">
      <c r="A1590" s="20">
        <v>45789</v>
      </c>
      <c r="B1590">
        <v>19</v>
      </c>
      <c r="C1590" t="s">
        <v>239</v>
      </c>
      <c r="D1590">
        <v>68902</v>
      </c>
      <c r="E1590">
        <v>4534</v>
      </c>
      <c r="F1590" t="s">
        <v>31</v>
      </c>
    </row>
    <row r="1591" spans="1:6" x14ac:dyDescent="0.3">
      <c r="A1591" s="20">
        <v>45789</v>
      </c>
      <c r="B1591">
        <v>19</v>
      </c>
      <c r="C1591" t="s">
        <v>41</v>
      </c>
      <c r="D1591">
        <v>1947</v>
      </c>
      <c r="E1591">
        <v>122</v>
      </c>
      <c r="F1591" t="s">
        <v>31</v>
      </c>
    </row>
    <row r="1592" spans="1:6" x14ac:dyDescent="0.3">
      <c r="A1592" s="20">
        <v>45789</v>
      </c>
      <c r="B1592">
        <v>19</v>
      </c>
      <c r="C1592" t="s">
        <v>244</v>
      </c>
      <c r="D1592">
        <v>22290</v>
      </c>
      <c r="E1592">
        <v>1469</v>
      </c>
      <c r="F1592" t="s">
        <v>31</v>
      </c>
    </row>
    <row r="1593" spans="1:6" x14ac:dyDescent="0.3">
      <c r="A1593" s="20">
        <v>45789</v>
      </c>
      <c r="B1593">
        <v>19</v>
      </c>
      <c r="C1593" t="s">
        <v>238</v>
      </c>
      <c r="D1593">
        <v>5250</v>
      </c>
      <c r="E1593">
        <v>726</v>
      </c>
      <c r="F1593" t="s">
        <v>47</v>
      </c>
    </row>
    <row r="1594" spans="1:6" x14ac:dyDescent="0.3">
      <c r="A1594" s="20">
        <v>45789</v>
      </c>
      <c r="B1594">
        <v>19</v>
      </c>
      <c r="C1594" t="s">
        <v>255</v>
      </c>
      <c r="D1594">
        <v>7620</v>
      </c>
      <c r="E1594">
        <v>1101</v>
      </c>
      <c r="F1594" t="s">
        <v>74</v>
      </c>
    </row>
    <row r="1595" spans="1:6" x14ac:dyDescent="0.3">
      <c r="A1595" s="20">
        <v>45789</v>
      </c>
      <c r="B1595">
        <v>19</v>
      </c>
      <c r="C1595" t="s">
        <v>250</v>
      </c>
      <c r="D1595">
        <v>113</v>
      </c>
      <c r="E1595">
        <v>32</v>
      </c>
      <c r="F1595" t="s">
        <v>34</v>
      </c>
    </row>
    <row r="1596" spans="1:6" x14ac:dyDescent="0.3">
      <c r="A1596" s="20">
        <v>45789</v>
      </c>
      <c r="B1596">
        <v>19</v>
      </c>
      <c r="C1596" t="s">
        <v>160</v>
      </c>
      <c r="D1596">
        <v>721</v>
      </c>
      <c r="E1596">
        <v>138</v>
      </c>
      <c r="F1596" t="s">
        <v>39</v>
      </c>
    </row>
    <row r="1597" spans="1:6" x14ac:dyDescent="0.3">
      <c r="A1597" s="20">
        <v>45789</v>
      </c>
      <c r="B1597">
        <v>19</v>
      </c>
      <c r="C1597" t="s">
        <v>160</v>
      </c>
      <c r="D1597">
        <v>2626</v>
      </c>
      <c r="E1597">
        <v>487</v>
      </c>
      <c r="F1597" t="s">
        <v>231</v>
      </c>
    </row>
    <row r="1598" spans="1:6" x14ac:dyDescent="0.3">
      <c r="A1598" s="20">
        <v>45789</v>
      </c>
      <c r="B1598">
        <v>19</v>
      </c>
      <c r="C1598" t="s">
        <v>162</v>
      </c>
      <c r="D1598">
        <v>2025</v>
      </c>
      <c r="E1598">
        <v>341</v>
      </c>
      <c r="F1598" t="s">
        <v>47</v>
      </c>
    </row>
    <row r="1599" spans="1:6" x14ac:dyDescent="0.3">
      <c r="A1599" s="20">
        <v>45789</v>
      </c>
      <c r="B1599">
        <v>19</v>
      </c>
      <c r="C1599" t="s">
        <v>40</v>
      </c>
      <c r="D1599">
        <v>100929</v>
      </c>
      <c r="E1599">
        <v>4414</v>
      </c>
      <c r="F1599" t="s">
        <v>38</v>
      </c>
    </row>
    <row r="1600" spans="1:6" x14ac:dyDescent="0.3">
      <c r="A1600" s="20">
        <v>45789</v>
      </c>
      <c r="B1600">
        <v>19</v>
      </c>
      <c r="C1600" t="s">
        <v>76</v>
      </c>
      <c r="D1600">
        <v>42404</v>
      </c>
      <c r="E1600">
        <v>1719</v>
      </c>
      <c r="F1600" t="s">
        <v>38</v>
      </c>
    </row>
    <row r="1601" spans="1:6" x14ac:dyDescent="0.3">
      <c r="A1601" s="20">
        <v>45789</v>
      </c>
      <c r="B1601">
        <v>19</v>
      </c>
      <c r="C1601" t="s">
        <v>235</v>
      </c>
      <c r="D1601">
        <v>8882</v>
      </c>
      <c r="E1601">
        <v>781</v>
      </c>
      <c r="F1601" t="s">
        <v>234</v>
      </c>
    </row>
    <row r="1602" spans="1:6" x14ac:dyDescent="0.3">
      <c r="A1602" s="20">
        <v>45789</v>
      </c>
      <c r="B1602">
        <v>19</v>
      </c>
      <c r="C1602" t="s">
        <v>235</v>
      </c>
      <c r="D1602">
        <v>10980</v>
      </c>
      <c r="E1602">
        <v>1438</v>
      </c>
      <c r="F1602" t="s">
        <v>75</v>
      </c>
    </row>
    <row r="1603" spans="1:6" x14ac:dyDescent="0.3">
      <c r="A1603" s="20">
        <v>45789</v>
      </c>
      <c r="B1603">
        <v>20</v>
      </c>
      <c r="C1603" t="s">
        <v>156</v>
      </c>
      <c r="D1603">
        <v>1073</v>
      </c>
      <c r="E1603">
        <v>102</v>
      </c>
      <c r="F1603" t="s">
        <v>229</v>
      </c>
    </row>
    <row r="1604" spans="1:6" x14ac:dyDescent="0.3">
      <c r="A1604" s="20">
        <v>45789</v>
      </c>
      <c r="B1604">
        <v>20</v>
      </c>
      <c r="C1604" t="s">
        <v>228</v>
      </c>
      <c r="D1604">
        <v>4319</v>
      </c>
      <c r="E1604">
        <v>867</v>
      </c>
      <c r="F1604" t="s">
        <v>45</v>
      </c>
    </row>
    <row r="1605" spans="1:6" x14ac:dyDescent="0.3">
      <c r="A1605" s="20">
        <v>45789</v>
      </c>
      <c r="B1605">
        <v>20</v>
      </c>
      <c r="C1605" t="s">
        <v>228</v>
      </c>
      <c r="D1605">
        <v>2</v>
      </c>
      <c r="E1605">
        <v>0</v>
      </c>
      <c r="F1605" t="s">
        <v>43</v>
      </c>
    </row>
    <row r="1606" spans="1:6" x14ac:dyDescent="0.3">
      <c r="A1606" s="20">
        <v>45789</v>
      </c>
      <c r="B1606">
        <v>20</v>
      </c>
      <c r="C1606" t="s">
        <v>36</v>
      </c>
      <c r="D1606">
        <v>14</v>
      </c>
      <c r="E1606">
        <v>3</v>
      </c>
      <c r="F1606" t="s">
        <v>31</v>
      </c>
    </row>
    <row r="1607" spans="1:6" x14ac:dyDescent="0.3">
      <c r="A1607" s="20">
        <v>45789</v>
      </c>
      <c r="B1607">
        <v>20</v>
      </c>
      <c r="C1607" t="s">
        <v>71</v>
      </c>
      <c r="D1607">
        <v>3323</v>
      </c>
      <c r="E1607">
        <v>419</v>
      </c>
      <c r="F1607" t="s">
        <v>164</v>
      </c>
    </row>
    <row r="1608" spans="1:6" x14ac:dyDescent="0.3">
      <c r="A1608" s="20">
        <v>45789</v>
      </c>
      <c r="B1608">
        <v>20</v>
      </c>
      <c r="C1608" t="s">
        <v>256</v>
      </c>
      <c r="D1608">
        <v>5</v>
      </c>
      <c r="E1608">
        <v>0</v>
      </c>
      <c r="F1608" t="s">
        <v>163</v>
      </c>
    </row>
    <row r="1609" spans="1:6" x14ac:dyDescent="0.3">
      <c r="A1609" s="20">
        <v>45789</v>
      </c>
      <c r="B1609">
        <v>20</v>
      </c>
      <c r="C1609" t="s">
        <v>160</v>
      </c>
      <c r="D1609">
        <v>160</v>
      </c>
      <c r="E1609">
        <v>22</v>
      </c>
      <c r="F1609" t="s">
        <v>47</v>
      </c>
    </row>
    <row r="1610" spans="1:6" x14ac:dyDescent="0.3">
      <c r="A1610" s="20">
        <v>45789</v>
      </c>
      <c r="B1610">
        <v>20</v>
      </c>
      <c r="C1610" t="s">
        <v>160</v>
      </c>
      <c r="D1610">
        <v>236</v>
      </c>
      <c r="E1610">
        <v>19</v>
      </c>
      <c r="F1610" t="s">
        <v>74</v>
      </c>
    </row>
    <row r="1611" spans="1:6" x14ac:dyDescent="0.3">
      <c r="A1611" s="20">
        <v>45789</v>
      </c>
      <c r="B1611">
        <v>20</v>
      </c>
      <c r="C1611" t="s">
        <v>124</v>
      </c>
      <c r="D1611">
        <v>20832</v>
      </c>
      <c r="E1611">
        <v>865</v>
      </c>
      <c r="F1611" t="s">
        <v>38</v>
      </c>
    </row>
    <row r="1612" spans="1:6" x14ac:dyDescent="0.3">
      <c r="A1612" s="20">
        <v>45789</v>
      </c>
      <c r="B1612">
        <v>20</v>
      </c>
      <c r="C1612" t="s">
        <v>55</v>
      </c>
      <c r="D1612">
        <v>44426</v>
      </c>
      <c r="E1612">
        <v>1510</v>
      </c>
      <c r="F1612" t="s">
        <v>38</v>
      </c>
    </row>
    <row r="1613" spans="1:6" x14ac:dyDescent="0.3">
      <c r="A1613" s="20">
        <v>45789</v>
      </c>
      <c r="B1613">
        <v>20</v>
      </c>
      <c r="C1613" t="s">
        <v>253</v>
      </c>
      <c r="D1613">
        <v>1109</v>
      </c>
      <c r="E1613">
        <v>239</v>
      </c>
      <c r="F1613" t="s">
        <v>47</v>
      </c>
    </row>
    <row r="1614" spans="1:6" x14ac:dyDescent="0.3">
      <c r="A1614" s="20">
        <v>45789</v>
      </c>
      <c r="B1614">
        <v>23</v>
      </c>
      <c r="C1614" t="s">
        <v>73</v>
      </c>
      <c r="D1614">
        <v>0</v>
      </c>
      <c r="E1614">
        <v>0</v>
      </c>
    </row>
    <row r="1615" spans="1:6" x14ac:dyDescent="0.3">
      <c r="A1615" s="20">
        <v>45790</v>
      </c>
      <c r="B1615">
        <v>8</v>
      </c>
      <c r="C1615" t="s">
        <v>73</v>
      </c>
      <c r="D1615">
        <v>0</v>
      </c>
      <c r="E1615">
        <v>0</v>
      </c>
      <c r="F1615" t="s">
        <v>39</v>
      </c>
    </row>
    <row r="1616" spans="1:6" x14ac:dyDescent="0.3">
      <c r="A1616" s="20">
        <v>45790</v>
      </c>
      <c r="B1616">
        <v>8</v>
      </c>
      <c r="C1616" t="s">
        <v>73</v>
      </c>
      <c r="D1616">
        <v>0</v>
      </c>
      <c r="E1616">
        <v>0</v>
      </c>
      <c r="F1616" t="s">
        <v>231</v>
      </c>
    </row>
    <row r="1617" spans="1:6" x14ac:dyDescent="0.3">
      <c r="A1617" s="20">
        <v>45790</v>
      </c>
      <c r="B1617">
        <v>8</v>
      </c>
      <c r="C1617" t="s">
        <v>73</v>
      </c>
      <c r="D1617">
        <v>0</v>
      </c>
      <c r="E1617">
        <v>0</v>
      </c>
      <c r="F1617" t="s">
        <v>161</v>
      </c>
    </row>
    <row r="1618" spans="1:6" x14ac:dyDescent="0.3">
      <c r="A1618" s="20">
        <v>45790</v>
      </c>
      <c r="B1618">
        <v>8</v>
      </c>
      <c r="C1618" t="s">
        <v>158</v>
      </c>
      <c r="D1618">
        <v>12111</v>
      </c>
      <c r="E1618">
        <v>621</v>
      </c>
      <c r="F1618" t="s">
        <v>31</v>
      </c>
    </row>
    <row r="1619" spans="1:6" x14ac:dyDescent="0.3">
      <c r="A1619" s="20">
        <v>45790</v>
      </c>
      <c r="B1619">
        <v>8</v>
      </c>
      <c r="C1619" t="s">
        <v>52</v>
      </c>
      <c r="D1619">
        <v>40008</v>
      </c>
      <c r="E1619">
        <v>1570</v>
      </c>
      <c r="F1619" t="s">
        <v>31</v>
      </c>
    </row>
    <row r="1620" spans="1:6" x14ac:dyDescent="0.3">
      <c r="A1620" s="20">
        <v>45790</v>
      </c>
      <c r="B1620">
        <v>8</v>
      </c>
      <c r="C1620" t="s">
        <v>236</v>
      </c>
      <c r="D1620">
        <v>61690</v>
      </c>
      <c r="E1620">
        <v>6111</v>
      </c>
      <c r="F1620" t="s">
        <v>31</v>
      </c>
    </row>
    <row r="1621" spans="1:6" x14ac:dyDescent="0.3">
      <c r="A1621" s="20">
        <v>45790</v>
      </c>
      <c r="B1621">
        <v>8</v>
      </c>
      <c r="C1621" t="s">
        <v>41</v>
      </c>
      <c r="D1621">
        <v>3855</v>
      </c>
      <c r="E1621">
        <v>285</v>
      </c>
      <c r="F1621" t="s">
        <v>31</v>
      </c>
    </row>
    <row r="1622" spans="1:6" x14ac:dyDescent="0.3">
      <c r="A1622" s="20">
        <v>45790</v>
      </c>
      <c r="B1622">
        <v>8</v>
      </c>
      <c r="C1622" t="s">
        <v>54</v>
      </c>
      <c r="D1622">
        <v>352</v>
      </c>
      <c r="E1622">
        <v>107</v>
      </c>
      <c r="F1622" t="s">
        <v>31</v>
      </c>
    </row>
    <row r="1623" spans="1:6" x14ac:dyDescent="0.3">
      <c r="A1623" s="20">
        <v>45790</v>
      </c>
      <c r="B1623">
        <v>8</v>
      </c>
      <c r="C1623" t="s">
        <v>237</v>
      </c>
      <c r="D1623">
        <v>21595</v>
      </c>
      <c r="E1623">
        <v>2496</v>
      </c>
      <c r="F1623" t="s">
        <v>31</v>
      </c>
    </row>
    <row r="1624" spans="1:6" x14ac:dyDescent="0.3">
      <c r="A1624" s="20">
        <v>45790</v>
      </c>
      <c r="B1624">
        <v>8</v>
      </c>
      <c r="C1624" t="s">
        <v>250</v>
      </c>
      <c r="D1624">
        <v>216</v>
      </c>
      <c r="E1624">
        <v>41</v>
      </c>
      <c r="F1624" t="s">
        <v>34</v>
      </c>
    </row>
    <row r="1625" spans="1:6" x14ac:dyDescent="0.3">
      <c r="A1625" s="20">
        <v>45790</v>
      </c>
      <c r="B1625">
        <v>8</v>
      </c>
      <c r="C1625" t="s">
        <v>160</v>
      </c>
      <c r="D1625">
        <v>5324</v>
      </c>
      <c r="E1625">
        <v>851</v>
      </c>
      <c r="F1625" t="s">
        <v>229</v>
      </c>
    </row>
    <row r="1626" spans="1:6" x14ac:dyDescent="0.3">
      <c r="A1626" s="20">
        <v>45790</v>
      </c>
      <c r="B1626">
        <v>8</v>
      </c>
      <c r="C1626" t="s">
        <v>162</v>
      </c>
      <c r="D1626">
        <v>6635</v>
      </c>
      <c r="E1626">
        <v>861</v>
      </c>
      <c r="F1626" t="s">
        <v>47</v>
      </c>
    </row>
    <row r="1627" spans="1:6" x14ac:dyDescent="0.3">
      <c r="A1627" s="20">
        <v>45790</v>
      </c>
      <c r="B1627">
        <v>8</v>
      </c>
      <c r="C1627" t="s">
        <v>40</v>
      </c>
      <c r="D1627">
        <v>103367</v>
      </c>
      <c r="E1627">
        <v>6061</v>
      </c>
      <c r="F1627" t="s">
        <v>38</v>
      </c>
    </row>
    <row r="1628" spans="1:6" x14ac:dyDescent="0.3">
      <c r="A1628" s="20">
        <v>45790</v>
      </c>
      <c r="B1628">
        <v>8</v>
      </c>
      <c r="C1628" t="s">
        <v>76</v>
      </c>
      <c r="D1628">
        <v>35425</v>
      </c>
      <c r="E1628">
        <v>1636</v>
      </c>
      <c r="F1628" t="s">
        <v>38</v>
      </c>
    </row>
    <row r="1629" spans="1:6" x14ac:dyDescent="0.3">
      <c r="A1629" s="20">
        <v>45790</v>
      </c>
      <c r="B1629">
        <v>9</v>
      </c>
      <c r="C1629" t="s">
        <v>73</v>
      </c>
      <c r="D1629">
        <v>8</v>
      </c>
      <c r="E1629">
        <v>8</v>
      </c>
      <c r="F1629" t="s">
        <v>31</v>
      </c>
    </row>
    <row r="1630" spans="1:6" x14ac:dyDescent="0.3">
      <c r="A1630" s="20">
        <v>45790</v>
      </c>
      <c r="B1630">
        <v>9</v>
      </c>
      <c r="C1630" t="s">
        <v>73</v>
      </c>
      <c r="D1630">
        <v>0</v>
      </c>
      <c r="E1630">
        <v>0</v>
      </c>
      <c r="F1630" t="s">
        <v>74</v>
      </c>
    </row>
    <row r="1631" spans="1:6" x14ac:dyDescent="0.3">
      <c r="A1631" s="20">
        <v>45790</v>
      </c>
      <c r="B1631">
        <v>9</v>
      </c>
      <c r="C1631" t="s">
        <v>153</v>
      </c>
      <c r="D1631">
        <v>7700</v>
      </c>
      <c r="E1631">
        <v>232</v>
      </c>
      <c r="F1631" t="s">
        <v>248</v>
      </c>
    </row>
    <row r="1632" spans="1:6" x14ac:dyDescent="0.3">
      <c r="A1632" s="20">
        <v>45790</v>
      </c>
      <c r="B1632">
        <v>9</v>
      </c>
      <c r="C1632" t="s">
        <v>156</v>
      </c>
      <c r="D1632">
        <v>194</v>
      </c>
      <c r="E1632">
        <v>17</v>
      </c>
      <c r="F1632" t="s">
        <v>229</v>
      </c>
    </row>
    <row r="1633" spans="1:6" x14ac:dyDescent="0.3">
      <c r="A1633" s="20">
        <v>45790</v>
      </c>
      <c r="B1633">
        <v>9</v>
      </c>
      <c r="C1633" t="s">
        <v>156</v>
      </c>
      <c r="D1633">
        <v>509</v>
      </c>
      <c r="E1633">
        <v>68</v>
      </c>
      <c r="F1633" t="s">
        <v>43</v>
      </c>
    </row>
    <row r="1634" spans="1:6" x14ac:dyDescent="0.3">
      <c r="A1634" s="20">
        <v>45790</v>
      </c>
      <c r="B1634">
        <v>9</v>
      </c>
      <c r="C1634" t="s">
        <v>263</v>
      </c>
      <c r="D1634">
        <v>2358</v>
      </c>
      <c r="E1634">
        <v>0</v>
      </c>
      <c r="F1634" t="s">
        <v>72</v>
      </c>
    </row>
    <row r="1635" spans="1:6" x14ac:dyDescent="0.3">
      <c r="A1635" s="20">
        <v>45790</v>
      </c>
      <c r="B1635">
        <v>9</v>
      </c>
      <c r="C1635" t="s">
        <v>263</v>
      </c>
      <c r="D1635">
        <v>1</v>
      </c>
      <c r="E1635">
        <v>1</v>
      </c>
      <c r="F1635" t="s">
        <v>77</v>
      </c>
    </row>
    <row r="1636" spans="1:6" x14ac:dyDescent="0.3">
      <c r="A1636" s="20">
        <v>45790</v>
      </c>
      <c r="B1636">
        <v>9</v>
      </c>
      <c r="C1636" t="s">
        <v>228</v>
      </c>
      <c r="D1636">
        <v>2</v>
      </c>
      <c r="E1636">
        <v>2</v>
      </c>
      <c r="F1636" t="s">
        <v>77</v>
      </c>
    </row>
    <row r="1637" spans="1:6" x14ac:dyDescent="0.3">
      <c r="A1637" s="20">
        <v>45790</v>
      </c>
      <c r="B1637">
        <v>9</v>
      </c>
      <c r="C1637" t="s">
        <v>249</v>
      </c>
      <c r="D1637">
        <v>13350</v>
      </c>
      <c r="E1637">
        <v>632</v>
      </c>
      <c r="F1637" t="s">
        <v>31</v>
      </c>
    </row>
    <row r="1638" spans="1:6" x14ac:dyDescent="0.3">
      <c r="A1638" s="20">
        <v>45790</v>
      </c>
      <c r="B1638">
        <v>9</v>
      </c>
      <c r="C1638" t="s">
        <v>254</v>
      </c>
      <c r="D1638">
        <v>19862</v>
      </c>
      <c r="E1638">
        <v>744</v>
      </c>
      <c r="F1638" t="s">
        <v>31</v>
      </c>
    </row>
    <row r="1639" spans="1:6" x14ac:dyDescent="0.3">
      <c r="A1639" s="20">
        <v>45790</v>
      </c>
      <c r="B1639">
        <v>9</v>
      </c>
      <c r="C1639" t="s">
        <v>152</v>
      </c>
      <c r="D1639">
        <v>5675</v>
      </c>
      <c r="E1639">
        <v>571</v>
      </c>
      <c r="F1639" t="s">
        <v>138</v>
      </c>
    </row>
    <row r="1640" spans="1:6" x14ac:dyDescent="0.3">
      <c r="A1640" s="20">
        <v>45790</v>
      </c>
      <c r="B1640">
        <v>9</v>
      </c>
      <c r="C1640" t="s">
        <v>261</v>
      </c>
      <c r="D1640">
        <v>22518</v>
      </c>
      <c r="E1640">
        <v>1770</v>
      </c>
      <c r="F1640" t="s">
        <v>31</v>
      </c>
    </row>
    <row r="1641" spans="1:6" x14ac:dyDescent="0.3">
      <c r="A1641" s="20">
        <v>45790</v>
      </c>
      <c r="B1641">
        <v>9</v>
      </c>
      <c r="C1641" t="s">
        <v>250</v>
      </c>
      <c r="D1641">
        <v>112</v>
      </c>
      <c r="E1641">
        <v>16</v>
      </c>
      <c r="F1641" t="s">
        <v>74</v>
      </c>
    </row>
    <row r="1642" spans="1:6" x14ac:dyDescent="0.3">
      <c r="A1642" s="20">
        <v>45790</v>
      </c>
      <c r="B1642">
        <v>9</v>
      </c>
      <c r="C1642" t="s">
        <v>250</v>
      </c>
      <c r="D1642">
        <v>828</v>
      </c>
      <c r="E1642">
        <v>73</v>
      </c>
      <c r="F1642" t="s">
        <v>86</v>
      </c>
    </row>
    <row r="1643" spans="1:6" x14ac:dyDescent="0.3">
      <c r="A1643" s="20">
        <v>45790</v>
      </c>
      <c r="B1643">
        <v>9</v>
      </c>
      <c r="C1643" t="s">
        <v>250</v>
      </c>
      <c r="D1643">
        <v>106</v>
      </c>
      <c r="E1643">
        <v>20</v>
      </c>
      <c r="F1643" t="s">
        <v>257</v>
      </c>
    </row>
    <row r="1644" spans="1:6" x14ac:dyDescent="0.3">
      <c r="A1644" s="20">
        <v>45790</v>
      </c>
      <c r="B1644">
        <v>9</v>
      </c>
      <c r="C1644" t="s">
        <v>160</v>
      </c>
      <c r="D1644">
        <v>704</v>
      </c>
      <c r="E1644">
        <v>121</v>
      </c>
      <c r="F1644" t="s">
        <v>47</v>
      </c>
    </row>
    <row r="1645" spans="1:6" x14ac:dyDescent="0.3">
      <c r="A1645" s="20">
        <v>45790</v>
      </c>
      <c r="B1645">
        <v>9</v>
      </c>
      <c r="C1645" t="s">
        <v>160</v>
      </c>
      <c r="D1645">
        <v>531</v>
      </c>
      <c r="E1645">
        <v>105</v>
      </c>
      <c r="F1645" t="s">
        <v>74</v>
      </c>
    </row>
    <row r="1646" spans="1:6" x14ac:dyDescent="0.3">
      <c r="A1646" s="20">
        <v>45790</v>
      </c>
      <c r="B1646">
        <v>9</v>
      </c>
      <c r="C1646" t="s">
        <v>160</v>
      </c>
      <c r="D1646">
        <v>262</v>
      </c>
      <c r="E1646">
        <v>50</v>
      </c>
      <c r="F1646" t="s">
        <v>43</v>
      </c>
    </row>
    <row r="1647" spans="1:6" x14ac:dyDescent="0.3">
      <c r="A1647" s="20">
        <v>45790</v>
      </c>
      <c r="B1647">
        <v>9</v>
      </c>
      <c r="C1647" t="s">
        <v>240</v>
      </c>
      <c r="D1647">
        <v>16826</v>
      </c>
      <c r="E1647">
        <v>1057</v>
      </c>
      <c r="F1647" t="s">
        <v>38</v>
      </c>
    </row>
    <row r="1648" spans="1:6" x14ac:dyDescent="0.3">
      <c r="A1648" s="20">
        <v>45790</v>
      </c>
      <c r="B1648">
        <v>9</v>
      </c>
      <c r="C1648" t="s">
        <v>81</v>
      </c>
      <c r="D1648">
        <v>82838</v>
      </c>
      <c r="E1648">
        <v>3402</v>
      </c>
      <c r="F1648" t="s">
        <v>38</v>
      </c>
    </row>
    <row r="1649" spans="1:6" x14ac:dyDescent="0.3">
      <c r="A1649" s="20">
        <v>45790</v>
      </c>
      <c r="B1649">
        <v>9</v>
      </c>
      <c r="C1649" t="s">
        <v>235</v>
      </c>
      <c r="D1649">
        <v>846</v>
      </c>
      <c r="E1649">
        <v>133</v>
      </c>
      <c r="F1649" t="s">
        <v>161</v>
      </c>
    </row>
    <row r="1650" spans="1:6" x14ac:dyDescent="0.3">
      <c r="A1650" s="20">
        <v>45790</v>
      </c>
      <c r="B1650">
        <v>10</v>
      </c>
      <c r="C1650" t="s">
        <v>73</v>
      </c>
      <c r="D1650">
        <v>0</v>
      </c>
      <c r="E1650">
        <v>0</v>
      </c>
      <c r="F1650" t="s">
        <v>75</v>
      </c>
    </row>
    <row r="1651" spans="1:6" x14ac:dyDescent="0.3">
      <c r="A1651" s="20">
        <v>45790</v>
      </c>
      <c r="B1651">
        <v>10</v>
      </c>
      <c r="C1651" t="s">
        <v>241</v>
      </c>
      <c r="D1651">
        <v>13356</v>
      </c>
      <c r="E1651">
        <v>832</v>
      </c>
      <c r="F1651" t="s">
        <v>31</v>
      </c>
    </row>
    <row r="1652" spans="1:6" x14ac:dyDescent="0.3">
      <c r="A1652" s="20">
        <v>45790</v>
      </c>
      <c r="B1652">
        <v>10</v>
      </c>
      <c r="C1652" t="s">
        <v>52</v>
      </c>
      <c r="D1652">
        <v>32</v>
      </c>
      <c r="E1652">
        <v>32</v>
      </c>
      <c r="F1652" t="s">
        <v>259</v>
      </c>
    </row>
    <row r="1653" spans="1:6" x14ac:dyDescent="0.3">
      <c r="A1653" s="20">
        <v>45790</v>
      </c>
      <c r="B1653">
        <v>10</v>
      </c>
      <c r="C1653" t="s">
        <v>232</v>
      </c>
      <c r="D1653">
        <v>479</v>
      </c>
      <c r="E1653">
        <v>34</v>
      </c>
      <c r="F1653" t="s">
        <v>68</v>
      </c>
    </row>
    <row r="1654" spans="1:6" x14ac:dyDescent="0.3">
      <c r="A1654" s="20">
        <v>45790</v>
      </c>
      <c r="B1654">
        <v>10</v>
      </c>
      <c r="C1654" t="s">
        <v>238</v>
      </c>
      <c r="D1654">
        <v>2198</v>
      </c>
      <c r="E1654">
        <v>255</v>
      </c>
      <c r="F1654" t="s">
        <v>44</v>
      </c>
    </row>
    <row r="1655" spans="1:6" x14ac:dyDescent="0.3">
      <c r="A1655" s="20">
        <v>45790</v>
      </c>
      <c r="B1655">
        <v>10</v>
      </c>
      <c r="C1655" t="s">
        <v>238</v>
      </c>
      <c r="D1655">
        <v>18060</v>
      </c>
      <c r="E1655">
        <v>1389</v>
      </c>
      <c r="F1655" t="s">
        <v>32</v>
      </c>
    </row>
    <row r="1656" spans="1:6" x14ac:dyDescent="0.3">
      <c r="A1656" s="20">
        <v>45790</v>
      </c>
      <c r="B1656">
        <v>10</v>
      </c>
      <c r="C1656" t="s">
        <v>250</v>
      </c>
      <c r="D1656">
        <v>158</v>
      </c>
      <c r="E1656">
        <v>33</v>
      </c>
      <c r="F1656" t="s">
        <v>85</v>
      </c>
    </row>
    <row r="1657" spans="1:6" x14ac:dyDescent="0.3">
      <c r="A1657" s="20">
        <v>45790</v>
      </c>
      <c r="B1657">
        <v>10</v>
      </c>
      <c r="C1657" t="s">
        <v>250</v>
      </c>
      <c r="D1657">
        <v>4315</v>
      </c>
      <c r="E1657">
        <v>1855</v>
      </c>
      <c r="F1657" t="s">
        <v>252</v>
      </c>
    </row>
    <row r="1658" spans="1:6" x14ac:dyDescent="0.3">
      <c r="A1658" s="20">
        <v>45790</v>
      </c>
      <c r="B1658">
        <v>10</v>
      </c>
      <c r="C1658" t="s">
        <v>165</v>
      </c>
      <c r="D1658">
        <v>11</v>
      </c>
      <c r="E1658">
        <v>11</v>
      </c>
      <c r="F1658" t="s">
        <v>38</v>
      </c>
    </row>
    <row r="1659" spans="1:6" x14ac:dyDescent="0.3">
      <c r="A1659" s="20">
        <v>45790</v>
      </c>
      <c r="B1659">
        <v>11</v>
      </c>
      <c r="C1659" t="s">
        <v>73</v>
      </c>
      <c r="D1659">
        <v>0</v>
      </c>
      <c r="E1659">
        <v>0</v>
      </c>
      <c r="F1659" t="s">
        <v>231</v>
      </c>
    </row>
    <row r="1660" spans="1:6" x14ac:dyDescent="0.3">
      <c r="A1660" s="20">
        <v>45790</v>
      </c>
      <c r="B1660">
        <v>11</v>
      </c>
      <c r="C1660" t="s">
        <v>73</v>
      </c>
      <c r="D1660">
        <v>0</v>
      </c>
      <c r="E1660">
        <v>0</v>
      </c>
      <c r="F1660" t="s">
        <v>161</v>
      </c>
    </row>
    <row r="1661" spans="1:6" x14ac:dyDescent="0.3">
      <c r="A1661" s="20">
        <v>45790</v>
      </c>
      <c r="B1661">
        <v>11</v>
      </c>
      <c r="C1661" t="s">
        <v>263</v>
      </c>
      <c r="D1661">
        <v>12583</v>
      </c>
      <c r="E1661">
        <v>1092</v>
      </c>
      <c r="F1661" t="s">
        <v>45</v>
      </c>
    </row>
    <row r="1662" spans="1:6" x14ac:dyDescent="0.3">
      <c r="A1662" s="20">
        <v>45790</v>
      </c>
      <c r="B1662">
        <v>11</v>
      </c>
      <c r="C1662" t="s">
        <v>158</v>
      </c>
      <c r="D1662">
        <v>8881</v>
      </c>
      <c r="E1662">
        <v>607</v>
      </c>
      <c r="F1662" t="s">
        <v>31</v>
      </c>
    </row>
    <row r="1663" spans="1:6" x14ac:dyDescent="0.3">
      <c r="A1663" s="20">
        <v>45790</v>
      </c>
      <c r="B1663">
        <v>11</v>
      </c>
      <c r="C1663" t="s">
        <v>41</v>
      </c>
      <c r="D1663">
        <v>3164</v>
      </c>
      <c r="E1663">
        <v>258</v>
      </c>
      <c r="F1663" t="s">
        <v>31</v>
      </c>
    </row>
    <row r="1664" spans="1:6" x14ac:dyDescent="0.3">
      <c r="A1664" s="20">
        <v>45790</v>
      </c>
      <c r="B1664">
        <v>11</v>
      </c>
      <c r="C1664" t="s">
        <v>54</v>
      </c>
      <c r="D1664">
        <v>214</v>
      </c>
      <c r="E1664">
        <v>58</v>
      </c>
      <c r="F1664" t="s">
        <v>31</v>
      </c>
    </row>
    <row r="1665" spans="1:6" x14ac:dyDescent="0.3">
      <c r="A1665" s="20">
        <v>45790</v>
      </c>
      <c r="B1665">
        <v>11</v>
      </c>
      <c r="C1665" t="s">
        <v>264</v>
      </c>
      <c r="D1665">
        <v>2916</v>
      </c>
      <c r="E1665">
        <v>310</v>
      </c>
      <c r="F1665" t="s">
        <v>31</v>
      </c>
    </row>
    <row r="1666" spans="1:6" x14ac:dyDescent="0.3">
      <c r="A1666" s="20">
        <v>45790</v>
      </c>
      <c r="B1666">
        <v>11</v>
      </c>
      <c r="C1666" t="s">
        <v>250</v>
      </c>
      <c r="D1666">
        <v>173</v>
      </c>
      <c r="E1666">
        <v>45</v>
      </c>
      <c r="F1666" t="s">
        <v>34</v>
      </c>
    </row>
    <row r="1667" spans="1:6" x14ac:dyDescent="0.3">
      <c r="A1667" s="20">
        <v>45790</v>
      </c>
      <c r="B1667">
        <v>11</v>
      </c>
      <c r="C1667" t="s">
        <v>160</v>
      </c>
      <c r="D1667">
        <v>1359</v>
      </c>
      <c r="E1667">
        <v>309</v>
      </c>
      <c r="F1667" t="s">
        <v>39</v>
      </c>
    </row>
    <row r="1668" spans="1:6" x14ac:dyDescent="0.3">
      <c r="A1668" s="20">
        <v>45790</v>
      </c>
      <c r="B1668">
        <v>11</v>
      </c>
      <c r="C1668" t="s">
        <v>160</v>
      </c>
      <c r="D1668">
        <v>3211</v>
      </c>
      <c r="E1668">
        <v>568</v>
      </c>
      <c r="F1668" t="s">
        <v>229</v>
      </c>
    </row>
    <row r="1669" spans="1:6" x14ac:dyDescent="0.3">
      <c r="A1669" s="20">
        <v>45790</v>
      </c>
      <c r="B1669">
        <v>11</v>
      </c>
      <c r="C1669" t="s">
        <v>162</v>
      </c>
      <c r="D1669">
        <v>11127</v>
      </c>
      <c r="E1669">
        <v>1522</v>
      </c>
      <c r="F1669" t="s">
        <v>47</v>
      </c>
    </row>
    <row r="1670" spans="1:6" x14ac:dyDescent="0.3">
      <c r="A1670" s="20">
        <v>45790</v>
      </c>
      <c r="B1670">
        <v>11</v>
      </c>
      <c r="C1670" t="s">
        <v>40</v>
      </c>
      <c r="D1670">
        <v>89387</v>
      </c>
      <c r="E1670">
        <v>6189</v>
      </c>
      <c r="F1670" t="s">
        <v>38</v>
      </c>
    </row>
    <row r="1671" spans="1:6" x14ac:dyDescent="0.3">
      <c r="A1671" s="20">
        <v>45790</v>
      </c>
      <c r="B1671">
        <v>11</v>
      </c>
      <c r="C1671" t="s">
        <v>76</v>
      </c>
      <c r="D1671">
        <v>77460</v>
      </c>
      <c r="E1671">
        <v>5731</v>
      </c>
      <c r="F1671" t="s">
        <v>38</v>
      </c>
    </row>
    <row r="1672" spans="1:6" x14ac:dyDescent="0.3">
      <c r="A1672" s="20">
        <v>45790</v>
      </c>
      <c r="B1672">
        <v>11</v>
      </c>
      <c r="C1672" t="s">
        <v>253</v>
      </c>
      <c r="D1672">
        <v>768</v>
      </c>
      <c r="E1672">
        <v>144</v>
      </c>
      <c r="F1672" t="s">
        <v>44</v>
      </c>
    </row>
    <row r="1673" spans="1:6" x14ac:dyDescent="0.3">
      <c r="A1673" s="20">
        <v>45790</v>
      </c>
      <c r="B1673">
        <v>11</v>
      </c>
      <c r="C1673" t="s">
        <v>235</v>
      </c>
      <c r="D1673">
        <v>1331</v>
      </c>
      <c r="E1673">
        <v>219</v>
      </c>
      <c r="F1673" t="s">
        <v>75</v>
      </c>
    </row>
    <row r="1674" spans="1:6" x14ac:dyDescent="0.3">
      <c r="A1674" s="20">
        <v>45790</v>
      </c>
      <c r="B1674">
        <v>12</v>
      </c>
      <c r="C1674" t="s">
        <v>73</v>
      </c>
      <c r="D1674">
        <v>9</v>
      </c>
      <c r="E1674">
        <v>9</v>
      </c>
      <c r="F1674" t="s">
        <v>31</v>
      </c>
    </row>
    <row r="1675" spans="1:6" x14ac:dyDescent="0.3">
      <c r="A1675" s="20">
        <v>45790</v>
      </c>
      <c r="B1675">
        <v>12</v>
      </c>
      <c r="C1675" t="s">
        <v>228</v>
      </c>
      <c r="D1675">
        <v>10906</v>
      </c>
      <c r="E1675">
        <v>1888</v>
      </c>
      <c r="F1675" t="s">
        <v>45</v>
      </c>
    </row>
    <row r="1676" spans="1:6" x14ac:dyDescent="0.3">
      <c r="A1676" s="20">
        <v>45790</v>
      </c>
      <c r="B1676">
        <v>12</v>
      </c>
      <c r="C1676" t="s">
        <v>228</v>
      </c>
      <c r="D1676">
        <v>1</v>
      </c>
      <c r="E1676">
        <v>1</v>
      </c>
      <c r="F1676" t="s">
        <v>77</v>
      </c>
    </row>
    <row r="1677" spans="1:6" x14ac:dyDescent="0.3">
      <c r="A1677" s="20">
        <v>45790</v>
      </c>
      <c r="B1677">
        <v>12</v>
      </c>
      <c r="C1677" t="s">
        <v>249</v>
      </c>
      <c r="D1677">
        <v>16153</v>
      </c>
      <c r="E1677">
        <v>658</v>
      </c>
      <c r="F1677" t="s">
        <v>31</v>
      </c>
    </row>
    <row r="1678" spans="1:6" x14ac:dyDescent="0.3">
      <c r="A1678" s="20">
        <v>45790</v>
      </c>
      <c r="B1678">
        <v>12</v>
      </c>
      <c r="C1678" t="s">
        <v>158</v>
      </c>
      <c r="D1678">
        <v>22554</v>
      </c>
      <c r="E1678">
        <v>452</v>
      </c>
      <c r="F1678" t="s">
        <v>42</v>
      </c>
    </row>
    <row r="1679" spans="1:6" x14ac:dyDescent="0.3">
      <c r="A1679" s="20">
        <v>45790</v>
      </c>
      <c r="B1679">
        <v>12</v>
      </c>
      <c r="C1679" t="s">
        <v>254</v>
      </c>
      <c r="D1679">
        <v>14109</v>
      </c>
      <c r="E1679">
        <v>658</v>
      </c>
      <c r="F1679" t="s">
        <v>31</v>
      </c>
    </row>
    <row r="1680" spans="1:6" x14ac:dyDescent="0.3">
      <c r="A1680" s="20">
        <v>45790</v>
      </c>
      <c r="B1680">
        <v>12</v>
      </c>
      <c r="C1680" t="s">
        <v>152</v>
      </c>
      <c r="D1680">
        <v>5906</v>
      </c>
      <c r="E1680">
        <v>606</v>
      </c>
      <c r="F1680" t="s">
        <v>138</v>
      </c>
    </row>
    <row r="1681" spans="1:6" x14ac:dyDescent="0.3">
      <c r="A1681" s="20">
        <v>45790</v>
      </c>
      <c r="B1681">
        <v>12</v>
      </c>
      <c r="C1681" t="s">
        <v>71</v>
      </c>
      <c r="D1681">
        <v>6532</v>
      </c>
      <c r="E1681">
        <v>483</v>
      </c>
      <c r="F1681" t="s">
        <v>32</v>
      </c>
    </row>
    <row r="1682" spans="1:6" x14ac:dyDescent="0.3">
      <c r="A1682" s="20">
        <v>45790</v>
      </c>
      <c r="B1682">
        <v>12</v>
      </c>
      <c r="C1682" t="s">
        <v>261</v>
      </c>
      <c r="D1682">
        <v>29718</v>
      </c>
      <c r="E1682">
        <v>2332</v>
      </c>
      <c r="F1682" t="s">
        <v>31</v>
      </c>
    </row>
    <row r="1683" spans="1:6" x14ac:dyDescent="0.3">
      <c r="A1683" s="20">
        <v>45790</v>
      </c>
      <c r="B1683">
        <v>12</v>
      </c>
      <c r="C1683" t="s">
        <v>256</v>
      </c>
      <c r="D1683">
        <v>5044</v>
      </c>
      <c r="E1683">
        <v>115</v>
      </c>
      <c r="F1683" t="s">
        <v>163</v>
      </c>
    </row>
    <row r="1684" spans="1:6" x14ac:dyDescent="0.3">
      <c r="A1684" s="20">
        <v>45790</v>
      </c>
      <c r="B1684">
        <v>12</v>
      </c>
      <c r="C1684" t="s">
        <v>262</v>
      </c>
      <c r="D1684">
        <v>20291</v>
      </c>
      <c r="E1684">
        <v>495</v>
      </c>
      <c r="F1684" t="s">
        <v>86</v>
      </c>
    </row>
    <row r="1685" spans="1:6" x14ac:dyDescent="0.3">
      <c r="A1685" s="20">
        <v>45790</v>
      </c>
      <c r="B1685">
        <v>12</v>
      </c>
      <c r="C1685" t="s">
        <v>250</v>
      </c>
      <c r="D1685">
        <v>104</v>
      </c>
      <c r="E1685">
        <v>18</v>
      </c>
      <c r="F1685" t="s">
        <v>74</v>
      </c>
    </row>
    <row r="1686" spans="1:6" x14ac:dyDescent="0.3">
      <c r="A1686" s="20">
        <v>45790</v>
      </c>
      <c r="B1686">
        <v>12</v>
      </c>
      <c r="C1686" t="s">
        <v>250</v>
      </c>
      <c r="D1686">
        <v>317</v>
      </c>
      <c r="E1686">
        <v>102</v>
      </c>
      <c r="F1686" t="s">
        <v>257</v>
      </c>
    </row>
    <row r="1687" spans="1:6" x14ac:dyDescent="0.3">
      <c r="A1687" s="20">
        <v>45790</v>
      </c>
      <c r="B1687">
        <v>12</v>
      </c>
      <c r="C1687" t="s">
        <v>160</v>
      </c>
      <c r="D1687">
        <v>463</v>
      </c>
      <c r="E1687">
        <v>68</v>
      </c>
      <c r="F1687" t="s">
        <v>47</v>
      </c>
    </row>
    <row r="1688" spans="1:6" x14ac:dyDescent="0.3">
      <c r="A1688" s="20">
        <v>45790</v>
      </c>
      <c r="B1688">
        <v>12</v>
      </c>
      <c r="C1688" t="s">
        <v>160</v>
      </c>
      <c r="D1688">
        <v>460</v>
      </c>
      <c r="E1688">
        <v>84</v>
      </c>
      <c r="F1688" t="s">
        <v>74</v>
      </c>
    </row>
    <row r="1689" spans="1:6" x14ac:dyDescent="0.3">
      <c r="A1689" s="20">
        <v>45790</v>
      </c>
      <c r="B1689">
        <v>12</v>
      </c>
      <c r="C1689" t="s">
        <v>160</v>
      </c>
      <c r="D1689">
        <v>82</v>
      </c>
      <c r="E1689">
        <v>26</v>
      </c>
      <c r="F1689" t="s">
        <v>138</v>
      </c>
    </row>
    <row r="1690" spans="1:6" x14ac:dyDescent="0.3">
      <c r="A1690" s="20">
        <v>45790</v>
      </c>
      <c r="B1690">
        <v>12</v>
      </c>
      <c r="C1690" t="s">
        <v>160</v>
      </c>
      <c r="D1690">
        <v>320</v>
      </c>
      <c r="E1690">
        <v>75</v>
      </c>
      <c r="F1690" t="s">
        <v>43</v>
      </c>
    </row>
    <row r="1691" spans="1:6" x14ac:dyDescent="0.3">
      <c r="A1691" s="20">
        <v>45790</v>
      </c>
      <c r="B1691">
        <v>12</v>
      </c>
      <c r="C1691" t="s">
        <v>55</v>
      </c>
      <c r="D1691">
        <v>95947</v>
      </c>
      <c r="E1691">
        <v>9257</v>
      </c>
      <c r="F1691" t="s">
        <v>38</v>
      </c>
    </row>
    <row r="1692" spans="1:6" x14ac:dyDescent="0.3">
      <c r="A1692" s="20">
        <v>45790</v>
      </c>
      <c r="B1692">
        <v>12</v>
      </c>
      <c r="C1692" t="s">
        <v>235</v>
      </c>
      <c r="D1692">
        <v>817</v>
      </c>
      <c r="E1692">
        <v>114</v>
      </c>
      <c r="F1692" t="s">
        <v>161</v>
      </c>
    </row>
    <row r="1693" spans="1:6" x14ac:dyDescent="0.3">
      <c r="A1693" s="20">
        <v>45790</v>
      </c>
      <c r="B1693">
        <v>13</v>
      </c>
      <c r="C1693" t="s">
        <v>73</v>
      </c>
      <c r="D1693">
        <v>0</v>
      </c>
      <c r="E1693">
        <v>0</v>
      </c>
      <c r="F1693" t="s">
        <v>45</v>
      </c>
    </row>
    <row r="1694" spans="1:6" x14ac:dyDescent="0.3">
      <c r="A1694" s="20">
        <v>45790</v>
      </c>
      <c r="B1694">
        <v>13</v>
      </c>
      <c r="C1694" t="s">
        <v>73</v>
      </c>
      <c r="D1694">
        <v>0</v>
      </c>
      <c r="E1694">
        <v>0</v>
      </c>
      <c r="F1694" t="s">
        <v>75</v>
      </c>
    </row>
    <row r="1695" spans="1:6" x14ac:dyDescent="0.3">
      <c r="A1695" s="20">
        <v>45790</v>
      </c>
      <c r="B1695">
        <v>13</v>
      </c>
      <c r="C1695" t="s">
        <v>228</v>
      </c>
      <c r="D1695">
        <v>110</v>
      </c>
      <c r="E1695">
        <v>21</v>
      </c>
      <c r="F1695" t="s">
        <v>72</v>
      </c>
    </row>
    <row r="1696" spans="1:6" x14ac:dyDescent="0.3">
      <c r="A1696" s="20">
        <v>45790</v>
      </c>
      <c r="B1696">
        <v>13</v>
      </c>
      <c r="C1696" t="s">
        <v>232</v>
      </c>
      <c r="D1696">
        <v>429</v>
      </c>
      <c r="E1696">
        <v>33</v>
      </c>
      <c r="F1696" t="s">
        <v>68</v>
      </c>
    </row>
    <row r="1697" spans="1:6" x14ac:dyDescent="0.3">
      <c r="A1697" s="20">
        <v>45790</v>
      </c>
      <c r="B1697">
        <v>13</v>
      </c>
      <c r="C1697" t="s">
        <v>238</v>
      </c>
      <c r="D1697">
        <v>17495</v>
      </c>
      <c r="E1697">
        <v>1425</v>
      </c>
      <c r="F1697" t="s">
        <v>32</v>
      </c>
    </row>
    <row r="1698" spans="1:6" x14ac:dyDescent="0.3">
      <c r="A1698" s="20">
        <v>45790</v>
      </c>
      <c r="B1698">
        <v>13</v>
      </c>
      <c r="C1698" t="s">
        <v>238</v>
      </c>
      <c r="D1698">
        <v>10616</v>
      </c>
      <c r="E1698">
        <v>1342</v>
      </c>
      <c r="F1698" t="s">
        <v>229</v>
      </c>
    </row>
    <row r="1699" spans="1:6" x14ac:dyDescent="0.3">
      <c r="A1699" s="20">
        <v>45790</v>
      </c>
      <c r="B1699">
        <v>13</v>
      </c>
      <c r="C1699" t="s">
        <v>250</v>
      </c>
      <c r="D1699">
        <v>143</v>
      </c>
      <c r="E1699">
        <v>26</v>
      </c>
      <c r="F1699" t="s">
        <v>85</v>
      </c>
    </row>
    <row r="1700" spans="1:6" x14ac:dyDescent="0.3">
      <c r="A1700" s="20">
        <v>45790</v>
      </c>
      <c r="B1700">
        <v>13</v>
      </c>
      <c r="C1700" t="s">
        <v>165</v>
      </c>
      <c r="D1700">
        <v>2</v>
      </c>
      <c r="E1700">
        <v>2</v>
      </c>
      <c r="F1700" t="s">
        <v>38</v>
      </c>
    </row>
    <row r="1701" spans="1:6" x14ac:dyDescent="0.3">
      <c r="A1701" s="20">
        <v>45790</v>
      </c>
      <c r="B1701">
        <v>14</v>
      </c>
      <c r="C1701" t="s">
        <v>73</v>
      </c>
      <c r="D1701">
        <v>0</v>
      </c>
      <c r="E1701">
        <v>0</v>
      </c>
      <c r="F1701" t="s">
        <v>231</v>
      </c>
    </row>
    <row r="1702" spans="1:6" x14ac:dyDescent="0.3">
      <c r="A1702" s="20">
        <v>45790</v>
      </c>
      <c r="B1702">
        <v>14</v>
      </c>
      <c r="C1702" t="s">
        <v>73</v>
      </c>
      <c r="D1702">
        <v>0</v>
      </c>
      <c r="E1702">
        <v>0</v>
      </c>
      <c r="F1702" t="s">
        <v>161</v>
      </c>
    </row>
    <row r="1703" spans="1:6" x14ac:dyDescent="0.3">
      <c r="A1703" s="20">
        <v>45790</v>
      </c>
      <c r="B1703">
        <v>14</v>
      </c>
      <c r="C1703" t="s">
        <v>73</v>
      </c>
      <c r="D1703">
        <v>0</v>
      </c>
      <c r="E1703">
        <v>0</v>
      </c>
      <c r="F1703" t="s">
        <v>72</v>
      </c>
    </row>
    <row r="1704" spans="1:6" x14ac:dyDescent="0.3">
      <c r="A1704" s="20">
        <v>45790</v>
      </c>
      <c r="B1704">
        <v>14</v>
      </c>
      <c r="C1704" t="s">
        <v>263</v>
      </c>
      <c r="D1704">
        <v>13918</v>
      </c>
      <c r="E1704">
        <v>1083</v>
      </c>
      <c r="F1704" t="s">
        <v>45</v>
      </c>
    </row>
    <row r="1705" spans="1:6" x14ac:dyDescent="0.3">
      <c r="A1705" s="20">
        <v>45790</v>
      </c>
      <c r="B1705">
        <v>14</v>
      </c>
      <c r="C1705" t="s">
        <v>67</v>
      </c>
      <c r="D1705">
        <v>9036</v>
      </c>
      <c r="E1705">
        <v>452</v>
      </c>
      <c r="F1705" t="s">
        <v>31</v>
      </c>
    </row>
    <row r="1706" spans="1:6" x14ac:dyDescent="0.3">
      <c r="A1706" s="20">
        <v>45790</v>
      </c>
      <c r="B1706">
        <v>14</v>
      </c>
      <c r="C1706" t="s">
        <v>41</v>
      </c>
      <c r="D1706">
        <v>3514</v>
      </c>
      <c r="E1706">
        <v>255</v>
      </c>
      <c r="F1706" t="s">
        <v>31</v>
      </c>
    </row>
    <row r="1707" spans="1:6" x14ac:dyDescent="0.3">
      <c r="A1707" s="20">
        <v>45790</v>
      </c>
      <c r="B1707">
        <v>14</v>
      </c>
      <c r="C1707" t="s">
        <v>244</v>
      </c>
      <c r="D1707">
        <v>42167</v>
      </c>
      <c r="E1707">
        <v>4408</v>
      </c>
      <c r="F1707" t="s">
        <v>31</v>
      </c>
    </row>
    <row r="1708" spans="1:6" x14ac:dyDescent="0.3">
      <c r="A1708" s="20">
        <v>45790</v>
      </c>
      <c r="B1708">
        <v>14</v>
      </c>
      <c r="C1708" t="s">
        <v>238</v>
      </c>
      <c r="D1708">
        <v>7125</v>
      </c>
      <c r="E1708">
        <v>532</v>
      </c>
      <c r="F1708" t="s">
        <v>47</v>
      </c>
    </row>
    <row r="1709" spans="1:6" x14ac:dyDescent="0.3">
      <c r="A1709" s="20">
        <v>45790</v>
      </c>
      <c r="B1709">
        <v>14</v>
      </c>
      <c r="C1709" t="s">
        <v>255</v>
      </c>
      <c r="D1709">
        <v>6823</v>
      </c>
      <c r="E1709">
        <v>1038</v>
      </c>
      <c r="F1709" t="s">
        <v>74</v>
      </c>
    </row>
    <row r="1710" spans="1:6" x14ac:dyDescent="0.3">
      <c r="A1710" s="20">
        <v>45790</v>
      </c>
      <c r="B1710">
        <v>14</v>
      </c>
      <c r="C1710" t="s">
        <v>250</v>
      </c>
      <c r="D1710">
        <v>163</v>
      </c>
      <c r="E1710">
        <v>38</v>
      </c>
      <c r="F1710" t="s">
        <v>34</v>
      </c>
    </row>
    <row r="1711" spans="1:6" x14ac:dyDescent="0.3">
      <c r="A1711" s="20">
        <v>45790</v>
      </c>
      <c r="B1711">
        <v>14</v>
      </c>
      <c r="C1711" t="s">
        <v>160</v>
      </c>
      <c r="D1711">
        <v>1022</v>
      </c>
      <c r="E1711">
        <v>225</v>
      </c>
      <c r="F1711" t="s">
        <v>39</v>
      </c>
    </row>
    <row r="1712" spans="1:6" x14ac:dyDescent="0.3">
      <c r="A1712" s="20">
        <v>45790</v>
      </c>
      <c r="B1712">
        <v>14</v>
      </c>
      <c r="C1712" t="s">
        <v>160</v>
      </c>
      <c r="D1712">
        <v>4272</v>
      </c>
      <c r="E1712">
        <v>769</v>
      </c>
      <c r="F1712" t="s">
        <v>229</v>
      </c>
    </row>
    <row r="1713" spans="1:6" x14ac:dyDescent="0.3">
      <c r="A1713" s="20">
        <v>45790</v>
      </c>
      <c r="B1713">
        <v>14</v>
      </c>
      <c r="C1713" t="s">
        <v>160</v>
      </c>
      <c r="D1713">
        <v>4581</v>
      </c>
      <c r="E1713">
        <v>788</v>
      </c>
      <c r="F1713" t="s">
        <v>231</v>
      </c>
    </row>
    <row r="1714" spans="1:6" x14ac:dyDescent="0.3">
      <c r="A1714" s="20">
        <v>45790</v>
      </c>
      <c r="B1714">
        <v>14</v>
      </c>
      <c r="C1714" t="s">
        <v>162</v>
      </c>
      <c r="D1714">
        <v>14356</v>
      </c>
      <c r="E1714">
        <v>1560</v>
      </c>
      <c r="F1714" t="s">
        <v>47</v>
      </c>
    </row>
    <row r="1715" spans="1:6" x14ac:dyDescent="0.3">
      <c r="A1715" s="20">
        <v>45790</v>
      </c>
      <c r="B1715">
        <v>14</v>
      </c>
      <c r="C1715" t="s">
        <v>40</v>
      </c>
      <c r="D1715">
        <v>104188</v>
      </c>
      <c r="E1715">
        <v>6782</v>
      </c>
      <c r="F1715" t="s">
        <v>38</v>
      </c>
    </row>
    <row r="1716" spans="1:6" x14ac:dyDescent="0.3">
      <c r="A1716" s="20">
        <v>45790</v>
      </c>
      <c r="B1716">
        <v>14</v>
      </c>
      <c r="C1716" t="s">
        <v>76</v>
      </c>
      <c r="D1716">
        <v>95557</v>
      </c>
      <c r="E1716">
        <v>5192</v>
      </c>
      <c r="F1716" t="s">
        <v>38</v>
      </c>
    </row>
    <row r="1717" spans="1:6" x14ac:dyDescent="0.3">
      <c r="A1717" s="20">
        <v>45790</v>
      </c>
      <c r="B1717">
        <v>14</v>
      </c>
      <c r="C1717" t="s">
        <v>235</v>
      </c>
      <c r="D1717">
        <v>10463</v>
      </c>
      <c r="E1717">
        <v>1092</v>
      </c>
      <c r="F1717" t="s">
        <v>234</v>
      </c>
    </row>
    <row r="1718" spans="1:6" x14ac:dyDescent="0.3">
      <c r="A1718" s="20">
        <v>45790</v>
      </c>
      <c r="B1718">
        <v>14</v>
      </c>
      <c r="C1718" t="s">
        <v>235</v>
      </c>
      <c r="D1718">
        <v>1069</v>
      </c>
      <c r="E1718">
        <v>141</v>
      </c>
      <c r="F1718" t="s">
        <v>75</v>
      </c>
    </row>
    <row r="1719" spans="1:6" x14ac:dyDescent="0.3">
      <c r="A1719" s="20">
        <v>45790</v>
      </c>
      <c r="B1719">
        <v>15</v>
      </c>
      <c r="C1719" t="s">
        <v>73</v>
      </c>
      <c r="D1719">
        <v>0</v>
      </c>
      <c r="E1719">
        <v>0</v>
      </c>
      <c r="F1719" t="s">
        <v>46</v>
      </c>
    </row>
    <row r="1720" spans="1:6" x14ac:dyDescent="0.3">
      <c r="A1720" s="20">
        <v>45790</v>
      </c>
      <c r="B1720">
        <v>15</v>
      </c>
      <c r="C1720" t="s">
        <v>228</v>
      </c>
      <c r="D1720">
        <v>11795</v>
      </c>
      <c r="E1720">
        <v>1791</v>
      </c>
      <c r="F1720" t="s">
        <v>45</v>
      </c>
    </row>
    <row r="1721" spans="1:6" x14ac:dyDescent="0.3">
      <c r="A1721" s="20">
        <v>45790</v>
      </c>
      <c r="B1721">
        <v>15</v>
      </c>
      <c r="C1721" t="s">
        <v>228</v>
      </c>
      <c r="D1721">
        <v>1</v>
      </c>
      <c r="E1721">
        <v>1</v>
      </c>
      <c r="F1721" t="s">
        <v>77</v>
      </c>
    </row>
    <row r="1722" spans="1:6" x14ac:dyDescent="0.3">
      <c r="A1722" s="20">
        <v>45790</v>
      </c>
      <c r="B1722">
        <v>15</v>
      </c>
      <c r="C1722" t="s">
        <v>249</v>
      </c>
      <c r="D1722">
        <v>9776</v>
      </c>
      <c r="E1722">
        <v>338</v>
      </c>
      <c r="F1722" t="s">
        <v>31</v>
      </c>
    </row>
    <row r="1723" spans="1:6" x14ac:dyDescent="0.3">
      <c r="A1723" s="20">
        <v>45790</v>
      </c>
      <c r="B1723">
        <v>15</v>
      </c>
      <c r="C1723" t="s">
        <v>36</v>
      </c>
      <c r="D1723">
        <v>320</v>
      </c>
      <c r="E1723">
        <v>65</v>
      </c>
      <c r="F1723" t="s">
        <v>31</v>
      </c>
    </row>
    <row r="1724" spans="1:6" x14ac:dyDescent="0.3">
      <c r="A1724" s="20">
        <v>45790</v>
      </c>
      <c r="B1724">
        <v>15</v>
      </c>
      <c r="C1724" t="s">
        <v>254</v>
      </c>
      <c r="D1724">
        <v>7447</v>
      </c>
      <c r="E1724">
        <v>378</v>
      </c>
      <c r="F1724" t="s">
        <v>31</v>
      </c>
    </row>
    <row r="1725" spans="1:6" x14ac:dyDescent="0.3">
      <c r="A1725" s="20">
        <v>45790</v>
      </c>
      <c r="B1725">
        <v>15</v>
      </c>
      <c r="C1725" t="s">
        <v>71</v>
      </c>
      <c r="D1725">
        <v>8098</v>
      </c>
      <c r="E1725">
        <v>2053</v>
      </c>
      <c r="F1725" t="s">
        <v>32</v>
      </c>
    </row>
    <row r="1726" spans="1:6" x14ac:dyDescent="0.3">
      <c r="A1726" s="20">
        <v>45790</v>
      </c>
      <c r="B1726">
        <v>15</v>
      </c>
      <c r="C1726" t="s">
        <v>71</v>
      </c>
      <c r="D1726">
        <v>18042</v>
      </c>
      <c r="E1726">
        <v>2188</v>
      </c>
      <c r="F1726" t="s">
        <v>164</v>
      </c>
    </row>
    <row r="1727" spans="1:6" x14ac:dyDescent="0.3">
      <c r="A1727" s="20">
        <v>45790</v>
      </c>
      <c r="B1727">
        <v>15</v>
      </c>
      <c r="C1727" t="s">
        <v>261</v>
      </c>
      <c r="D1727">
        <v>21059</v>
      </c>
      <c r="E1727">
        <v>1320</v>
      </c>
      <c r="F1727" t="s">
        <v>31</v>
      </c>
    </row>
    <row r="1728" spans="1:6" x14ac:dyDescent="0.3">
      <c r="A1728" s="20">
        <v>45790</v>
      </c>
      <c r="B1728">
        <v>15</v>
      </c>
      <c r="C1728" t="s">
        <v>256</v>
      </c>
      <c r="D1728">
        <v>18812</v>
      </c>
      <c r="E1728">
        <v>121</v>
      </c>
      <c r="F1728" t="s">
        <v>163</v>
      </c>
    </row>
    <row r="1729" spans="1:6" x14ac:dyDescent="0.3">
      <c r="A1729" s="20">
        <v>45790</v>
      </c>
      <c r="B1729">
        <v>15</v>
      </c>
      <c r="C1729" t="s">
        <v>262</v>
      </c>
      <c r="D1729">
        <v>19092</v>
      </c>
      <c r="E1729">
        <v>456</v>
      </c>
      <c r="F1729" t="s">
        <v>86</v>
      </c>
    </row>
    <row r="1730" spans="1:6" x14ac:dyDescent="0.3">
      <c r="A1730" s="20">
        <v>45790</v>
      </c>
      <c r="B1730">
        <v>15</v>
      </c>
      <c r="C1730" t="s">
        <v>250</v>
      </c>
      <c r="D1730">
        <v>285</v>
      </c>
      <c r="E1730">
        <v>91</v>
      </c>
      <c r="F1730" t="s">
        <v>257</v>
      </c>
    </row>
    <row r="1731" spans="1:6" x14ac:dyDescent="0.3">
      <c r="A1731" s="20">
        <v>45790</v>
      </c>
      <c r="B1731">
        <v>15</v>
      </c>
      <c r="C1731" t="s">
        <v>160</v>
      </c>
      <c r="D1731">
        <v>265</v>
      </c>
      <c r="E1731">
        <v>47</v>
      </c>
      <c r="F1731" t="s">
        <v>47</v>
      </c>
    </row>
    <row r="1732" spans="1:6" x14ac:dyDescent="0.3">
      <c r="A1732" s="20">
        <v>45790</v>
      </c>
      <c r="B1732">
        <v>15</v>
      </c>
      <c r="C1732" t="s">
        <v>160</v>
      </c>
      <c r="D1732">
        <v>372</v>
      </c>
      <c r="E1732">
        <v>86</v>
      </c>
      <c r="F1732" t="s">
        <v>74</v>
      </c>
    </row>
    <row r="1733" spans="1:6" x14ac:dyDescent="0.3">
      <c r="A1733" s="20">
        <v>45790</v>
      </c>
      <c r="B1733">
        <v>15</v>
      </c>
      <c r="C1733" t="s">
        <v>160</v>
      </c>
      <c r="D1733">
        <v>70</v>
      </c>
      <c r="E1733">
        <v>25</v>
      </c>
      <c r="F1733" t="s">
        <v>138</v>
      </c>
    </row>
    <row r="1734" spans="1:6" x14ac:dyDescent="0.3">
      <c r="A1734" s="20">
        <v>45790</v>
      </c>
      <c r="B1734">
        <v>15</v>
      </c>
      <c r="C1734" t="s">
        <v>124</v>
      </c>
      <c r="D1734">
        <v>74562</v>
      </c>
      <c r="E1734">
        <v>5149</v>
      </c>
      <c r="F1734" t="s">
        <v>38</v>
      </c>
    </row>
    <row r="1735" spans="1:6" x14ac:dyDescent="0.3">
      <c r="A1735" s="20">
        <v>45790</v>
      </c>
      <c r="B1735">
        <v>15</v>
      </c>
      <c r="C1735" t="s">
        <v>55</v>
      </c>
      <c r="D1735">
        <v>94894</v>
      </c>
      <c r="E1735">
        <v>6555</v>
      </c>
      <c r="F1735" t="s">
        <v>38</v>
      </c>
    </row>
    <row r="1736" spans="1:6" x14ac:dyDescent="0.3">
      <c r="A1736" s="20">
        <v>45790</v>
      </c>
      <c r="B1736">
        <v>15</v>
      </c>
      <c r="C1736" t="s">
        <v>253</v>
      </c>
      <c r="D1736">
        <v>1012</v>
      </c>
      <c r="E1736">
        <v>220</v>
      </c>
      <c r="F1736" t="s">
        <v>47</v>
      </c>
    </row>
    <row r="1737" spans="1:6" x14ac:dyDescent="0.3">
      <c r="A1737" s="20">
        <v>45790</v>
      </c>
      <c r="B1737">
        <v>15</v>
      </c>
      <c r="C1737" t="s">
        <v>235</v>
      </c>
      <c r="D1737">
        <v>995</v>
      </c>
      <c r="E1737">
        <v>193</v>
      </c>
      <c r="F1737" t="s">
        <v>161</v>
      </c>
    </row>
    <row r="1738" spans="1:6" x14ac:dyDescent="0.3">
      <c r="A1738" s="20">
        <v>45790</v>
      </c>
      <c r="B1738">
        <v>16</v>
      </c>
      <c r="C1738" t="s">
        <v>73</v>
      </c>
      <c r="D1738">
        <v>0</v>
      </c>
      <c r="E1738">
        <v>0</v>
      </c>
      <c r="F1738" t="s">
        <v>234</v>
      </c>
    </row>
    <row r="1739" spans="1:6" x14ac:dyDescent="0.3">
      <c r="A1739" s="20">
        <v>45790</v>
      </c>
      <c r="B1739">
        <v>16</v>
      </c>
      <c r="C1739" t="s">
        <v>73</v>
      </c>
      <c r="D1739">
        <v>0</v>
      </c>
      <c r="E1739">
        <v>0</v>
      </c>
      <c r="F1739" t="s">
        <v>45</v>
      </c>
    </row>
    <row r="1740" spans="1:6" x14ac:dyDescent="0.3">
      <c r="A1740" s="20">
        <v>45790</v>
      </c>
      <c r="B1740">
        <v>16</v>
      </c>
      <c r="C1740" t="s">
        <v>73</v>
      </c>
      <c r="D1740">
        <v>0</v>
      </c>
      <c r="E1740">
        <v>0</v>
      </c>
      <c r="F1740" t="s">
        <v>75</v>
      </c>
    </row>
    <row r="1741" spans="1:6" x14ac:dyDescent="0.3">
      <c r="A1741" s="20">
        <v>45790</v>
      </c>
      <c r="B1741">
        <v>16</v>
      </c>
      <c r="C1741" t="s">
        <v>228</v>
      </c>
      <c r="D1741">
        <v>119</v>
      </c>
      <c r="E1741">
        <v>21</v>
      </c>
      <c r="F1741" t="s">
        <v>72</v>
      </c>
    </row>
    <row r="1742" spans="1:6" x14ac:dyDescent="0.3">
      <c r="A1742" s="20">
        <v>45790</v>
      </c>
      <c r="B1742">
        <v>16</v>
      </c>
      <c r="C1742" t="s">
        <v>243</v>
      </c>
      <c r="D1742">
        <v>11492</v>
      </c>
      <c r="E1742">
        <v>1496</v>
      </c>
      <c r="F1742" t="s">
        <v>31</v>
      </c>
    </row>
    <row r="1743" spans="1:6" x14ac:dyDescent="0.3">
      <c r="A1743" s="20">
        <v>45790</v>
      </c>
      <c r="B1743">
        <v>16</v>
      </c>
      <c r="C1743" t="s">
        <v>238</v>
      </c>
      <c r="D1743">
        <v>7190</v>
      </c>
      <c r="E1743">
        <v>871</v>
      </c>
      <c r="F1743" t="s">
        <v>229</v>
      </c>
    </row>
    <row r="1744" spans="1:6" x14ac:dyDescent="0.3">
      <c r="A1744" s="20">
        <v>45790</v>
      </c>
      <c r="B1744">
        <v>16</v>
      </c>
      <c r="C1744" t="s">
        <v>250</v>
      </c>
      <c r="D1744">
        <v>184</v>
      </c>
      <c r="E1744">
        <v>27</v>
      </c>
      <c r="F1744" t="s">
        <v>85</v>
      </c>
    </row>
    <row r="1745" spans="1:6" x14ac:dyDescent="0.3">
      <c r="A1745" s="20">
        <v>45790</v>
      </c>
      <c r="B1745">
        <v>16</v>
      </c>
      <c r="C1745" t="s">
        <v>250</v>
      </c>
      <c r="D1745">
        <v>833</v>
      </c>
      <c r="E1745">
        <v>97</v>
      </c>
      <c r="F1745" t="s">
        <v>75</v>
      </c>
    </row>
    <row r="1746" spans="1:6" x14ac:dyDescent="0.3">
      <c r="A1746" s="20">
        <v>45790</v>
      </c>
      <c r="B1746">
        <v>16</v>
      </c>
      <c r="C1746" t="s">
        <v>165</v>
      </c>
      <c r="D1746">
        <v>2</v>
      </c>
      <c r="E1746">
        <v>2</v>
      </c>
      <c r="F1746" t="s">
        <v>38</v>
      </c>
    </row>
    <row r="1747" spans="1:6" x14ac:dyDescent="0.3">
      <c r="A1747" s="20">
        <v>45790</v>
      </c>
      <c r="B1747">
        <v>16</v>
      </c>
      <c r="C1747" t="s">
        <v>251</v>
      </c>
      <c r="D1747">
        <v>5691</v>
      </c>
      <c r="E1747">
        <v>472</v>
      </c>
      <c r="F1747" t="s">
        <v>44</v>
      </c>
    </row>
    <row r="1748" spans="1:6" x14ac:dyDescent="0.3">
      <c r="A1748" s="20">
        <v>45790</v>
      </c>
      <c r="B1748">
        <v>17</v>
      </c>
      <c r="C1748" t="s">
        <v>73</v>
      </c>
      <c r="D1748">
        <v>0</v>
      </c>
      <c r="E1748">
        <v>0</v>
      </c>
      <c r="F1748" t="s">
        <v>163</v>
      </c>
    </row>
    <row r="1749" spans="1:6" x14ac:dyDescent="0.3">
      <c r="A1749" s="20">
        <v>45790</v>
      </c>
      <c r="B1749">
        <v>17</v>
      </c>
      <c r="C1749" t="s">
        <v>73</v>
      </c>
      <c r="D1749">
        <v>0</v>
      </c>
      <c r="E1749">
        <v>0</v>
      </c>
      <c r="F1749" t="s">
        <v>161</v>
      </c>
    </row>
    <row r="1750" spans="1:6" x14ac:dyDescent="0.3">
      <c r="A1750" s="20">
        <v>45790</v>
      </c>
      <c r="B1750">
        <v>17</v>
      </c>
      <c r="C1750" t="s">
        <v>73</v>
      </c>
      <c r="D1750">
        <v>0</v>
      </c>
      <c r="E1750">
        <v>0</v>
      </c>
      <c r="F1750" t="s">
        <v>72</v>
      </c>
    </row>
    <row r="1751" spans="1:6" x14ac:dyDescent="0.3">
      <c r="A1751" s="20">
        <v>45790</v>
      </c>
      <c r="B1751">
        <v>17</v>
      </c>
      <c r="C1751" t="s">
        <v>263</v>
      </c>
      <c r="D1751">
        <v>14785</v>
      </c>
      <c r="E1751">
        <v>704</v>
      </c>
      <c r="F1751" t="s">
        <v>229</v>
      </c>
    </row>
    <row r="1752" spans="1:6" x14ac:dyDescent="0.3">
      <c r="A1752" s="20">
        <v>45790</v>
      </c>
      <c r="B1752">
        <v>17</v>
      </c>
      <c r="C1752" t="s">
        <v>67</v>
      </c>
      <c r="D1752">
        <v>5503</v>
      </c>
      <c r="E1752">
        <v>247</v>
      </c>
      <c r="F1752" t="s">
        <v>31</v>
      </c>
    </row>
    <row r="1753" spans="1:6" x14ac:dyDescent="0.3">
      <c r="A1753" s="20">
        <v>45790</v>
      </c>
      <c r="B1753">
        <v>17</v>
      </c>
      <c r="C1753" t="s">
        <v>67</v>
      </c>
      <c r="D1753">
        <v>1018</v>
      </c>
      <c r="E1753">
        <v>32</v>
      </c>
      <c r="F1753" t="s">
        <v>42</v>
      </c>
    </row>
    <row r="1754" spans="1:6" x14ac:dyDescent="0.3">
      <c r="A1754" s="20">
        <v>45790</v>
      </c>
      <c r="B1754">
        <v>17</v>
      </c>
      <c r="C1754" t="s">
        <v>158</v>
      </c>
      <c r="D1754">
        <v>7030</v>
      </c>
      <c r="E1754">
        <v>326</v>
      </c>
      <c r="F1754" t="s">
        <v>31</v>
      </c>
    </row>
    <row r="1755" spans="1:6" x14ac:dyDescent="0.3">
      <c r="A1755" s="20">
        <v>45790</v>
      </c>
      <c r="B1755">
        <v>17</v>
      </c>
      <c r="C1755" t="s">
        <v>239</v>
      </c>
      <c r="D1755">
        <v>82130</v>
      </c>
      <c r="E1755">
        <v>5966</v>
      </c>
      <c r="F1755" t="s">
        <v>31</v>
      </c>
    </row>
    <row r="1756" spans="1:6" x14ac:dyDescent="0.3">
      <c r="A1756" s="20">
        <v>45790</v>
      </c>
      <c r="B1756">
        <v>17</v>
      </c>
      <c r="C1756" t="s">
        <v>244</v>
      </c>
      <c r="D1756">
        <v>45581</v>
      </c>
      <c r="E1756">
        <v>4184</v>
      </c>
      <c r="F1756" t="s">
        <v>31</v>
      </c>
    </row>
    <row r="1757" spans="1:6" x14ac:dyDescent="0.3">
      <c r="A1757" s="20">
        <v>45790</v>
      </c>
      <c r="B1757">
        <v>17</v>
      </c>
      <c r="C1757" t="s">
        <v>238</v>
      </c>
      <c r="D1757">
        <v>5796</v>
      </c>
      <c r="E1757">
        <v>467</v>
      </c>
      <c r="F1757" t="s">
        <v>47</v>
      </c>
    </row>
    <row r="1758" spans="1:6" x14ac:dyDescent="0.3">
      <c r="A1758" s="20">
        <v>45790</v>
      </c>
      <c r="B1758">
        <v>17</v>
      </c>
      <c r="C1758" t="s">
        <v>265</v>
      </c>
      <c r="D1758">
        <v>14813</v>
      </c>
      <c r="E1758">
        <v>913</v>
      </c>
      <c r="F1758" t="s">
        <v>31</v>
      </c>
    </row>
    <row r="1759" spans="1:6" x14ac:dyDescent="0.3">
      <c r="A1759" s="20">
        <v>45790</v>
      </c>
      <c r="B1759">
        <v>17</v>
      </c>
      <c r="C1759" t="s">
        <v>255</v>
      </c>
      <c r="D1759">
        <v>10903</v>
      </c>
      <c r="E1759">
        <v>1581</v>
      </c>
      <c r="F1759" t="s">
        <v>39</v>
      </c>
    </row>
    <row r="1760" spans="1:6" x14ac:dyDescent="0.3">
      <c r="A1760" s="20">
        <v>45790</v>
      </c>
      <c r="B1760">
        <v>17</v>
      </c>
      <c r="C1760" t="s">
        <v>255</v>
      </c>
      <c r="D1760">
        <v>7982</v>
      </c>
      <c r="E1760">
        <v>1544</v>
      </c>
      <c r="F1760" t="s">
        <v>74</v>
      </c>
    </row>
    <row r="1761" spans="1:6" x14ac:dyDescent="0.3">
      <c r="A1761" s="20">
        <v>45790</v>
      </c>
      <c r="B1761">
        <v>17</v>
      </c>
      <c r="C1761" t="s">
        <v>250</v>
      </c>
      <c r="D1761">
        <v>198</v>
      </c>
      <c r="E1761">
        <v>43</v>
      </c>
      <c r="F1761" t="s">
        <v>34</v>
      </c>
    </row>
    <row r="1762" spans="1:6" x14ac:dyDescent="0.3">
      <c r="A1762" s="20">
        <v>45790</v>
      </c>
      <c r="B1762">
        <v>17</v>
      </c>
      <c r="C1762" t="s">
        <v>160</v>
      </c>
      <c r="D1762">
        <v>571</v>
      </c>
      <c r="E1762">
        <v>113</v>
      </c>
      <c r="F1762" t="s">
        <v>39</v>
      </c>
    </row>
    <row r="1763" spans="1:6" x14ac:dyDescent="0.3">
      <c r="A1763" s="20">
        <v>45790</v>
      </c>
      <c r="B1763">
        <v>17</v>
      </c>
      <c r="C1763" t="s">
        <v>160</v>
      </c>
      <c r="D1763">
        <v>3738</v>
      </c>
      <c r="E1763">
        <v>645</v>
      </c>
      <c r="F1763" t="s">
        <v>231</v>
      </c>
    </row>
    <row r="1764" spans="1:6" x14ac:dyDescent="0.3">
      <c r="A1764" s="20">
        <v>45790</v>
      </c>
      <c r="B1764">
        <v>17</v>
      </c>
      <c r="C1764" t="s">
        <v>76</v>
      </c>
      <c r="D1764">
        <v>83661</v>
      </c>
      <c r="E1764">
        <v>4457</v>
      </c>
      <c r="F1764" t="s">
        <v>38</v>
      </c>
    </row>
    <row r="1765" spans="1:6" x14ac:dyDescent="0.3">
      <c r="A1765" s="20">
        <v>45790</v>
      </c>
      <c r="B1765">
        <v>17</v>
      </c>
      <c r="C1765" t="s">
        <v>235</v>
      </c>
      <c r="D1765">
        <v>8482</v>
      </c>
      <c r="E1765">
        <v>825</v>
      </c>
      <c r="F1765" t="s">
        <v>234</v>
      </c>
    </row>
    <row r="1766" spans="1:6" x14ac:dyDescent="0.3">
      <c r="A1766" s="20">
        <v>45790</v>
      </c>
      <c r="B1766">
        <v>17</v>
      </c>
      <c r="C1766" t="s">
        <v>235</v>
      </c>
      <c r="D1766">
        <v>904</v>
      </c>
      <c r="E1766">
        <v>120</v>
      </c>
      <c r="F1766" t="s">
        <v>75</v>
      </c>
    </row>
    <row r="1767" spans="1:6" x14ac:dyDescent="0.3">
      <c r="A1767" s="20">
        <v>45790</v>
      </c>
      <c r="B1767">
        <v>18</v>
      </c>
      <c r="C1767" t="s">
        <v>73</v>
      </c>
      <c r="D1767">
        <v>0</v>
      </c>
      <c r="E1767">
        <v>0</v>
      </c>
    </row>
    <row r="1768" spans="1:6" x14ac:dyDescent="0.3">
      <c r="A1768" s="20">
        <v>45790</v>
      </c>
      <c r="B1768">
        <v>18</v>
      </c>
      <c r="C1768" t="s">
        <v>73</v>
      </c>
      <c r="D1768">
        <v>0</v>
      </c>
      <c r="E1768">
        <v>0</v>
      </c>
      <c r="F1768" t="s">
        <v>46</v>
      </c>
    </row>
    <row r="1769" spans="1:6" x14ac:dyDescent="0.3">
      <c r="A1769" s="20">
        <v>45790</v>
      </c>
      <c r="B1769">
        <v>18</v>
      </c>
      <c r="C1769" t="s">
        <v>228</v>
      </c>
      <c r="D1769">
        <v>8556</v>
      </c>
      <c r="E1769">
        <v>1745</v>
      </c>
      <c r="F1769" t="s">
        <v>45</v>
      </c>
    </row>
    <row r="1770" spans="1:6" x14ac:dyDescent="0.3">
      <c r="A1770" s="20">
        <v>45790</v>
      </c>
      <c r="B1770">
        <v>18</v>
      </c>
      <c r="C1770" t="s">
        <v>228</v>
      </c>
      <c r="D1770">
        <v>477</v>
      </c>
      <c r="E1770">
        <v>63</v>
      </c>
      <c r="F1770" t="s">
        <v>43</v>
      </c>
    </row>
    <row r="1771" spans="1:6" x14ac:dyDescent="0.3">
      <c r="A1771" s="20">
        <v>45790</v>
      </c>
      <c r="B1771">
        <v>18</v>
      </c>
      <c r="C1771" t="s">
        <v>158</v>
      </c>
      <c r="D1771">
        <v>6990</v>
      </c>
      <c r="E1771">
        <v>205</v>
      </c>
      <c r="F1771" t="s">
        <v>42</v>
      </c>
    </row>
    <row r="1772" spans="1:6" x14ac:dyDescent="0.3">
      <c r="A1772" s="20">
        <v>45790</v>
      </c>
      <c r="B1772">
        <v>18</v>
      </c>
      <c r="C1772" t="s">
        <v>36</v>
      </c>
      <c r="D1772">
        <v>39</v>
      </c>
      <c r="E1772">
        <v>2</v>
      </c>
      <c r="F1772" t="s">
        <v>31</v>
      </c>
    </row>
    <row r="1773" spans="1:6" x14ac:dyDescent="0.3">
      <c r="A1773" s="20">
        <v>45790</v>
      </c>
      <c r="B1773">
        <v>18</v>
      </c>
      <c r="C1773" t="s">
        <v>245</v>
      </c>
      <c r="D1773">
        <v>41536</v>
      </c>
      <c r="E1773">
        <v>5598</v>
      </c>
      <c r="F1773" t="s">
        <v>31</v>
      </c>
    </row>
    <row r="1774" spans="1:6" x14ac:dyDescent="0.3">
      <c r="A1774" s="20">
        <v>45790</v>
      </c>
      <c r="B1774">
        <v>18</v>
      </c>
      <c r="C1774" t="s">
        <v>71</v>
      </c>
      <c r="D1774">
        <v>1119</v>
      </c>
      <c r="E1774">
        <v>140</v>
      </c>
      <c r="F1774" t="s">
        <v>32</v>
      </c>
    </row>
    <row r="1775" spans="1:6" x14ac:dyDescent="0.3">
      <c r="A1775" s="20">
        <v>45790</v>
      </c>
      <c r="B1775">
        <v>18</v>
      </c>
      <c r="C1775" t="s">
        <v>71</v>
      </c>
      <c r="D1775">
        <v>11247</v>
      </c>
      <c r="E1775">
        <v>1454</v>
      </c>
      <c r="F1775" t="s">
        <v>164</v>
      </c>
    </row>
    <row r="1776" spans="1:6" x14ac:dyDescent="0.3">
      <c r="A1776" s="20">
        <v>45790</v>
      </c>
      <c r="B1776">
        <v>18</v>
      </c>
      <c r="C1776" t="s">
        <v>233</v>
      </c>
      <c r="D1776">
        <v>1144</v>
      </c>
      <c r="E1776">
        <v>147</v>
      </c>
      <c r="F1776" t="s">
        <v>85</v>
      </c>
    </row>
    <row r="1777" spans="1:6" x14ac:dyDescent="0.3">
      <c r="A1777" s="20">
        <v>45790</v>
      </c>
      <c r="B1777">
        <v>18</v>
      </c>
      <c r="C1777" t="s">
        <v>256</v>
      </c>
      <c r="D1777">
        <v>19661</v>
      </c>
      <c r="E1777">
        <v>146</v>
      </c>
      <c r="F1777" t="s">
        <v>163</v>
      </c>
    </row>
    <row r="1778" spans="1:6" x14ac:dyDescent="0.3">
      <c r="A1778" s="20">
        <v>45790</v>
      </c>
      <c r="B1778">
        <v>18</v>
      </c>
      <c r="C1778" t="s">
        <v>262</v>
      </c>
      <c r="D1778">
        <v>12</v>
      </c>
      <c r="E1778">
        <v>2</v>
      </c>
      <c r="F1778" t="s">
        <v>86</v>
      </c>
    </row>
    <row r="1779" spans="1:6" x14ac:dyDescent="0.3">
      <c r="A1779" s="20">
        <v>45790</v>
      </c>
      <c r="B1779">
        <v>18</v>
      </c>
      <c r="C1779" t="s">
        <v>160</v>
      </c>
      <c r="D1779">
        <v>356</v>
      </c>
      <c r="E1779">
        <v>48</v>
      </c>
      <c r="F1779" t="s">
        <v>74</v>
      </c>
    </row>
    <row r="1780" spans="1:6" x14ac:dyDescent="0.3">
      <c r="A1780" s="20">
        <v>45790</v>
      </c>
      <c r="B1780">
        <v>18</v>
      </c>
      <c r="C1780" t="s">
        <v>160</v>
      </c>
      <c r="D1780">
        <v>14</v>
      </c>
      <c r="E1780">
        <v>4</v>
      </c>
      <c r="F1780" t="s">
        <v>138</v>
      </c>
    </row>
    <row r="1781" spans="1:6" x14ac:dyDescent="0.3">
      <c r="A1781" s="20">
        <v>45790</v>
      </c>
      <c r="B1781">
        <v>18</v>
      </c>
      <c r="C1781" t="s">
        <v>124</v>
      </c>
      <c r="D1781">
        <v>70293</v>
      </c>
      <c r="E1781">
        <v>3709</v>
      </c>
      <c r="F1781" t="s">
        <v>38</v>
      </c>
    </row>
    <row r="1782" spans="1:6" x14ac:dyDescent="0.3">
      <c r="A1782" s="20">
        <v>45790</v>
      </c>
      <c r="B1782">
        <v>18</v>
      </c>
      <c r="C1782" t="s">
        <v>55</v>
      </c>
      <c r="D1782">
        <v>97516</v>
      </c>
      <c r="E1782">
        <v>5215</v>
      </c>
      <c r="F1782" t="s">
        <v>38</v>
      </c>
    </row>
    <row r="1783" spans="1:6" x14ac:dyDescent="0.3">
      <c r="A1783" s="20">
        <v>45790</v>
      </c>
      <c r="B1783">
        <v>18</v>
      </c>
      <c r="C1783" t="s">
        <v>253</v>
      </c>
      <c r="D1783">
        <v>1075</v>
      </c>
      <c r="E1783">
        <v>230</v>
      </c>
      <c r="F1783" t="s">
        <v>47</v>
      </c>
    </row>
    <row r="1784" spans="1:6" x14ac:dyDescent="0.3">
      <c r="A1784" s="20">
        <v>45790</v>
      </c>
      <c r="B1784">
        <v>19</v>
      </c>
      <c r="C1784" t="s">
        <v>73</v>
      </c>
      <c r="D1784">
        <v>0</v>
      </c>
      <c r="E1784">
        <v>0</v>
      </c>
      <c r="F1784" t="s">
        <v>234</v>
      </c>
    </row>
    <row r="1785" spans="1:6" x14ac:dyDescent="0.3">
      <c r="A1785" s="20">
        <v>45790</v>
      </c>
      <c r="B1785">
        <v>19</v>
      </c>
      <c r="C1785" t="s">
        <v>73</v>
      </c>
      <c r="D1785">
        <v>0</v>
      </c>
      <c r="E1785">
        <v>0</v>
      </c>
      <c r="F1785" t="s">
        <v>45</v>
      </c>
    </row>
    <row r="1786" spans="1:6" x14ac:dyDescent="0.3">
      <c r="A1786" s="20">
        <v>45790</v>
      </c>
      <c r="B1786">
        <v>19</v>
      </c>
      <c r="C1786" t="s">
        <v>73</v>
      </c>
      <c r="D1786">
        <v>0</v>
      </c>
      <c r="E1786">
        <v>0</v>
      </c>
      <c r="F1786" t="s">
        <v>75</v>
      </c>
    </row>
    <row r="1787" spans="1:6" x14ac:dyDescent="0.3">
      <c r="A1787" s="20">
        <v>45790</v>
      </c>
      <c r="B1787">
        <v>19</v>
      </c>
      <c r="C1787" t="s">
        <v>156</v>
      </c>
      <c r="D1787">
        <v>6858</v>
      </c>
      <c r="E1787">
        <v>1224</v>
      </c>
      <c r="F1787" t="s">
        <v>75</v>
      </c>
    </row>
    <row r="1788" spans="1:6" x14ac:dyDescent="0.3">
      <c r="A1788" s="20">
        <v>45790</v>
      </c>
      <c r="B1788">
        <v>19</v>
      </c>
      <c r="C1788" t="s">
        <v>228</v>
      </c>
      <c r="D1788">
        <v>120</v>
      </c>
      <c r="E1788">
        <v>22</v>
      </c>
      <c r="F1788" t="s">
        <v>72</v>
      </c>
    </row>
    <row r="1789" spans="1:6" x14ac:dyDescent="0.3">
      <c r="A1789" s="20">
        <v>45790</v>
      </c>
      <c r="B1789">
        <v>19</v>
      </c>
      <c r="C1789" t="s">
        <v>246</v>
      </c>
      <c r="D1789">
        <v>63923</v>
      </c>
      <c r="E1789">
        <v>3596</v>
      </c>
      <c r="F1789" t="s">
        <v>31</v>
      </c>
    </row>
    <row r="1790" spans="1:6" x14ac:dyDescent="0.3">
      <c r="A1790" s="20">
        <v>45790</v>
      </c>
      <c r="B1790">
        <v>19</v>
      </c>
      <c r="C1790" t="s">
        <v>233</v>
      </c>
      <c r="D1790">
        <v>8526</v>
      </c>
      <c r="E1790">
        <v>1387</v>
      </c>
      <c r="F1790" t="s">
        <v>34</v>
      </c>
    </row>
    <row r="1791" spans="1:6" x14ac:dyDescent="0.3">
      <c r="A1791" s="20">
        <v>45790</v>
      </c>
      <c r="B1791">
        <v>19</v>
      </c>
      <c r="C1791" t="s">
        <v>238</v>
      </c>
      <c r="D1791">
        <v>8263</v>
      </c>
      <c r="E1791">
        <v>877</v>
      </c>
      <c r="F1791" t="s">
        <v>229</v>
      </c>
    </row>
    <row r="1792" spans="1:6" x14ac:dyDescent="0.3">
      <c r="A1792" s="20">
        <v>45790</v>
      </c>
      <c r="B1792">
        <v>19</v>
      </c>
      <c r="C1792" t="s">
        <v>250</v>
      </c>
      <c r="D1792">
        <v>199</v>
      </c>
      <c r="E1792">
        <v>51</v>
      </c>
      <c r="F1792" t="s">
        <v>75</v>
      </c>
    </row>
    <row r="1793" spans="1:6" x14ac:dyDescent="0.3">
      <c r="A1793" s="20">
        <v>45790</v>
      </c>
      <c r="B1793">
        <v>20</v>
      </c>
      <c r="C1793" t="s">
        <v>73</v>
      </c>
      <c r="D1793">
        <v>0</v>
      </c>
      <c r="E1793">
        <v>0</v>
      </c>
      <c r="F1793" t="s">
        <v>163</v>
      </c>
    </row>
    <row r="1794" spans="1:6" x14ac:dyDescent="0.3">
      <c r="A1794" s="20">
        <v>45790</v>
      </c>
      <c r="B1794">
        <v>20</v>
      </c>
      <c r="C1794" t="s">
        <v>73</v>
      </c>
      <c r="D1794">
        <v>0</v>
      </c>
      <c r="E1794">
        <v>0</v>
      </c>
      <c r="F1794" t="s">
        <v>72</v>
      </c>
    </row>
    <row r="1795" spans="1:6" x14ac:dyDescent="0.3">
      <c r="A1795" s="20">
        <v>45790</v>
      </c>
      <c r="B1795">
        <v>20</v>
      </c>
      <c r="C1795" t="s">
        <v>67</v>
      </c>
      <c r="D1795">
        <v>16556</v>
      </c>
      <c r="E1795">
        <v>383</v>
      </c>
      <c r="F1795" t="s">
        <v>31</v>
      </c>
    </row>
    <row r="1796" spans="1:6" x14ac:dyDescent="0.3">
      <c r="A1796" s="20">
        <v>45790</v>
      </c>
      <c r="B1796">
        <v>20</v>
      </c>
      <c r="C1796" t="s">
        <v>239</v>
      </c>
      <c r="D1796">
        <v>24705</v>
      </c>
      <c r="E1796">
        <v>997</v>
      </c>
      <c r="F1796" t="s">
        <v>31</v>
      </c>
    </row>
    <row r="1797" spans="1:6" x14ac:dyDescent="0.3">
      <c r="A1797" s="20">
        <v>45790</v>
      </c>
      <c r="B1797">
        <v>20</v>
      </c>
      <c r="C1797" t="s">
        <v>244</v>
      </c>
      <c r="D1797">
        <v>8156</v>
      </c>
      <c r="E1797">
        <v>541</v>
      </c>
      <c r="F1797" t="s">
        <v>31</v>
      </c>
    </row>
    <row r="1798" spans="1:6" x14ac:dyDescent="0.3">
      <c r="A1798" s="20">
        <v>45790</v>
      </c>
      <c r="B1798">
        <v>20</v>
      </c>
      <c r="C1798" t="s">
        <v>238</v>
      </c>
      <c r="D1798">
        <v>3971</v>
      </c>
      <c r="E1798">
        <v>343</v>
      </c>
      <c r="F1798" t="s">
        <v>47</v>
      </c>
    </row>
    <row r="1799" spans="1:6" x14ac:dyDescent="0.3">
      <c r="A1799" s="20">
        <v>45790</v>
      </c>
      <c r="B1799">
        <v>20</v>
      </c>
      <c r="C1799" t="s">
        <v>255</v>
      </c>
      <c r="D1799">
        <v>3512</v>
      </c>
      <c r="E1799">
        <v>385</v>
      </c>
      <c r="F1799" t="s">
        <v>39</v>
      </c>
    </row>
    <row r="1800" spans="1:6" x14ac:dyDescent="0.3">
      <c r="A1800" s="20">
        <v>45790</v>
      </c>
      <c r="B1800">
        <v>20</v>
      </c>
      <c r="C1800" t="s">
        <v>255</v>
      </c>
      <c r="D1800">
        <v>4720</v>
      </c>
      <c r="E1800">
        <v>615</v>
      </c>
      <c r="F1800" t="s">
        <v>74</v>
      </c>
    </row>
    <row r="1801" spans="1:6" x14ac:dyDescent="0.3">
      <c r="A1801" s="20">
        <v>45790</v>
      </c>
      <c r="B1801">
        <v>20</v>
      </c>
      <c r="C1801" t="s">
        <v>160</v>
      </c>
      <c r="D1801">
        <v>349</v>
      </c>
      <c r="E1801">
        <v>13</v>
      </c>
      <c r="F1801" t="s">
        <v>39</v>
      </c>
    </row>
    <row r="1802" spans="1:6" x14ac:dyDescent="0.3">
      <c r="A1802" s="20">
        <v>45790</v>
      </c>
      <c r="B1802">
        <v>20</v>
      </c>
      <c r="C1802" t="s">
        <v>160</v>
      </c>
      <c r="D1802">
        <v>1</v>
      </c>
      <c r="E1802">
        <v>0</v>
      </c>
      <c r="F1802" t="s">
        <v>68</v>
      </c>
    </row>
    <row r="1803" spans="1:6" x14ac:dyDescent="0.3">
      <c r="A1803" s="20">
        <v>45790</v>
      </c>
      <c r="B1803">
        <v>20</v>
      </c>
      <c r="C1803" t="s">
        <v>160</v>
      </c>
      <c r="D1803">
        <v>680</v>
      </c>
      <c r="E1803">
        <v>74</v>
      </c>
      <c r="F1803" t="s">
        <v>231</v>
      </c>
    </row>
    <row r="1804" spans="1:6" x14ac:dyDescent="0.3">
      <c r="A1804" s="20">
        <v>45790</v>
      </c>
      <c r="B1804">
        <v>20</v>
      </c>
      <c r="C1804" t="s">
        <v>235</v>
      </c>
      <c r="D1804">
        <v>3573</v>
      </c>
      <c r="E1804">
        <v>327</v>
      </c>
      <c r="F1804" t="s">
        <v>234</v>
      </c>
    </row>
    <row r="1805" spans="1:6" x14ac:dyDescent="0.3">
      <c r="A1805" s="20">
        <v>45790</v>
      </c>
      <c r="B1805">
        <v>21</v>
      </c>
      <c r="C1805" t="s">
        <v>253</v>
      </c>
      <c r="D1805">
        <v>0</v>
      </c>
      <c r="E1805">
        <v>0</v>
      </c>
      <c r="F1805" t="s">
        <v>47</v>
      </c>
    </row>
    <row r="1806" spans="1:6" x14ac:dyDescent="0.3">
      <c r="A1806" s="20">
        <v>45790</v>
      </c>
      <c r="B1806">
        <v>8</v>
      </c>
      <c r="C1806" t="s">
        <v>73</v>
      </c>
      <c r="D1806">
        <v>0</v>
      </c>
      <c r="E1806">
        <v>0</v>
      </c>
      <c r="F1806" t="s">
        <v>72</v>
      </c>
    </row>
    <row r="1807" spans="1:6" x14ac:dyDescent="0.3">
      <c r="A1807" s="20">
        <v>45790</v>
      </c>
      <c r="B1807">
        <v>8</v>
      </c>
      <c r="C1807" t="s">
        <v>67</v>
      </c>
      <c r="D1807">
        <v>14508</v>
      </c>
      <c r="E1807">
        <v>654</v>
      </c>
      <c r="F1807" t="s">
        <v>31</v>
      </c>
    </row>
    <row r="1808" spans="1:6" x14ac:dyDescent="0.3">
      <c r="A1808" s="20">
        <v>45790</v>
      </c>
      <c r="B1808">
        <v>8</v>
      </c>
      <c r="C1808" t="s">
        <v>232</v>
      </c>
      <c r="D1808">
        <v>2021</v>
      </c>
      <c r="E1808">
        <v>119</v>
      </c>
      <c r="F1808" t="s">
        <v>74</v>
      </c>
    </row>
    <row r="1809" spans="1:6" x14ac:dyDescent="0.3">
      <c r="A1809" s="20">
        <v>45790</v>
      </c>
      <c r="B1809">
        <v>8</v>
      </c>
      <c r="C1809" t="s">
        <v>232</v>
      </c>
      <c r="D1809">
        <v>18288</v>
      </c>
      <c r="E1809">
        <v>2960</v>
      </c>
      <c r="F1809" t="s">
        <v>229</v>
      </c>
    </row>
    <row r="1810" spans="1:6" x14ac:dyDescent="0.3">
      <c r="A1810" s="20">
        <v>45790</v>
      </c>
      <c r="B1810">
        <v>8</v>
      </c>
      <c r="C1810" t="s">
        <v>238</v>
      </c>
      <c r="D1810">
        <v>5507</v>
      </c>
      <c r="E1810">
        <v>554</v>
      </c>
      <c r="F1810" t="s">
        <v>47</v>
      </c>
    </row>
    <row r="1811" spans="1:6" x14ac:dyDescent="0.3">
      <c r="A1811" s="20">
        <v>45790</v>
      </c>
      <c r="B1811">
        <v>8</v>
      </c>
      <c r="C1811" t="s">
        <v>265</v>
      </c>
      <c r="D1811">
        <v>5595</v>
      </c>
      <c r="E1811">
        <v>231</v>
      </c>
      <c r="F1811" t="s">
        <v>31</v>
      </c>
    </row>
    <row r="1812" spans="1:6" x14ac:dyDescent="0.3">
      <c r="A1812" s="20">
        <v>45790</v>
      </c>
      <c r="B1812">
        <v>8</v>
      </c>
      <c r="C1812" t="s">
        <v>255</v>
      </c>
      <c r="D1812">
        <v>7022</v>
      </c>
      <c r="E1812">
        <v>981</v>
      </c>
      <c r="F1812" t="s">
        <v>74</v>
      </c>
    </row>
    <row r="1813" spans="1:6" x14ac:dyDescent="0.3">
      <c r="A1813" s="20">
        <v>45790</v>
      </c>
      <c r="B1813">
        <v>8</v>
      </c>
      <c r="C1813" t="s">
        <v>160</v>
      </c>
      <c r="D1813">
        <v>1</v>
      </c>
      <c r="E1813">
        <v>0</v>
      </c>
      <c r="F1813" t="s">
        <v>68</v>
      </c>
    </row>
    <row r="1814" spans="1:6" x14ac:dyDescent="0.3">
      <c r="A1814" s="20">
        <v>45790</v>
      </c>
      <c r="B1814">
        <v>8</v>
      </c>
      <c r="C1814" t="s">
        <v>160</v>
      </c>
      <c r="D1814">
        <v>163</v>
      </c>
      <c r="E1814">
        <v>30</v>
      </c>
      <c r="F1814" t="s">
        <v>32</v>
      </c>
    </row>
    <row r="1815" spans="1:6" x14ac:dyDescent="0.3">
      <c r="A1815" s="20">
        <v>45790</v>
      </c>
      <c r="B1815">
        <v>8</v>
      </c>
      <c r="C1815" t="s">
        <v>160</v>
      </c>
      <c r="D1815">
        <v>210</v>
      </c>
      <c r="E1815">
        <v>59</v>
      </c>
      <c r="F1815" t="s">
        <v>234</v>
      </c>
    </row>
    <row r="1816" spans="1:6" x14ac:dyDescent="0.3">
      <c r="A1816" s="20">
        <v>45790</v>
      </c>
      <c r="B1816">
        <v>8</v>
      </c>
      <c r="C1816" t="s">
        <v>160</v>
      </c>
      <c r="D1816">
        <v>358</v>
      </c>
      <c r="E1816">
        <v>78</v>
      </c>
      <c r="F1816" t="s">
        <v>45</v>
      </c>
    </row>
    <row r="1817" spans="1:6" x14ac:dyDescent="0.3">
      <c r="A1817" s="20">
        <v>45790</v>
      </c>
      <c r="B1817">
        <v>8</v>
      </c>
      <c r="C1817" t="s">
        <v>160</v>
      </c>
      <c r="D1817">
        <v>122</v>
      </c>
      <c r="E1817">
        <v>43</v>
      </c>
      <c r="F1817" t="s">
        <v>161</v>
      </c>
    </row>
    <row r="1818" spans="1:6" x14ac:dyDescent="0.3">
      <c r="A1818" s="20">
        <v>45790</v>
      </c>
      <c r="B1818">
        <v>8</v>
      </c>
      <c r="C1818" t="s">
        <v>125</v>
      </c>
      <c r="D1818">
        <v>99832</v>
      </c>
      <c r="E1818">
        <v>9117</v>
      </c>
      <c r="F1818" t="s">
        <v>38</v>
      </c>
    </row>
    <row r="1819" spans="1:6" x14ac:dyDescent="0.3">
      <c r="A1819" s="20">
        <v>45790</v>
      </c>
      <c r="B1819">
        <v>8</v>
      </c>
      <c r="C1819" t="s">
        <v>235</v>
      </c>
      <c r="D1819">
        <v>16716</v>
      </c>
      <c r="E1819">
        <v>1852</v>
      </c>
      <c r="F1819" t="s">
        <v>75</v>
      </c>
    </row>
    <row r="1820" spans="1:6" x14ac:dyDescent="0.3">
      <c r="A1820" s="20">
        <v>45790</v>
      </c>
      <c r="B1820">
        <v>9</v>
      </c>
      <c r="C1820" t="s">
        <v>73</v>
      </c>
      <c r="D1820">
        <v>0</v>
      </c>
      <c r="E1820">
        <v>0</v>
      </c>
      <c r="F1820" t="s">
        <v>86</v>
      </c>
    </row>
    <row r="1821" spans="1:6" x14ac:dyDescent="0.3">
      <c r="A1821" s="20">
        <v>45790</v>
      </c>
      <c r="B1821">
        <v>9</v>
      </c>
      <c r="C1821" t="s">
        <v>263</v>
      </c>
      <c r="D1821">
        <v>9488</v>
      </c>
      <c r="E1821">
        <v>0</v>
      </c>
      <c r="F1821" t="s">
        <v>43</v>
      </c>
    </row>
    <row r="1822" spans="1:6" x14ac:dyDescent="0.3">
      <c r="A1822" s="20">
        <v>45790</v>
      </c>
      <c r="B1822">
        <v>9</v>
      </c>
      <c r="C1822" t="s">
        <v>228</v>
      </c>
      <c r="D1822">
        <v>9045</v>
      </c>
      <c r="E1822">
        <v>1660</v>
      </c>
      <c r="F1822" t="s">
        <v>45</v>
      </c>
    </row>
    <row r="1823" spans="1:6" x14ac:dyDescent="0.3">
      <c r="A1823" s="20">
        <v>45790</v>
      </c>
      <c r="B1823">
        <v>9</v>
      </c>
      <c r="C1823" t="s">
        <v>157</v>
      </c>
      <c r="D1823">
        <v>15364</v>
      </c>
      <c r="E1823">
        <v>3806</v>
      </c>
      <c r="F1823" t="s">
        <v>31</v>
      </c>
    </row>
    <row r="1824" spans="1:6" x14ac:dyDescent="0.3">
      <c r="A1824" s="20">
        <v>45790</v>
      </c>
      <c r="B1824">
        <v>9</v>
      </c>
      <c r="C1824" t="s">
        <v>53</v>
      </c>
      <c r="D1824">
        <v>2255</v>
      </c>
      <c r="E1824">
        <v>118</v>
      </c>
      <c r="F1824" t="s">
        <v>31</v>
      </c>
    </row>
    <row r="1825" spans="1:6" x14ac:dyDescent="0.3">
      <c r="A1825" s="20">
        <v>45790</v>
      </c>
      <c r="B1825">
        <v>9</v>
      </c>
      <c r="C1825" t="s">
        <v>49</v>
      </c>
      <c r="D1825">
        <v>17299</v>
      </c>
      <c r="E1825">
        <v>1361</v>
      </c>
      <c r="F1825" t="s">
        <v>42</v>
      </c>
    </row>
    <row r="1826" spans="1:6" x14ac:dyDescent="0.3">
      <c r="A1826" s="20">
        <v>45790</v>
      </c>
      <c r="B1826">
        <v>9</v>
      </c>
      <c r="C1826" t="s">
        <v>36</v>
      </c>
      <c r="D1826">
        <v>985</v>
      </c>
      <c r="E1826">
        <v>172</v>
      </c>
      <c r="F1826" t="s">
        <v>31</v>
      </c>
    </row>
    <row r="1827" spans="1:6" x14ac:dyDescent="0.3">
      <c r="A1827" s="20">
        <v>45790</v>
      </c>
      <c r="B1827">
        <v>9</v>
      </c>
      <c r="C1827" t="s">
        <v>245</v>
      </c>
      <c r="D1827">
        <v>54723</v>
      </c>
      <c r="E1827">
        <v>8237</v>
      </c>
      <c r="F1827" t="s">
        <v>31</v>
      </c>
    </row>
    <row r="1828" spans="1:6" x14ac:dyDescent="0.3">
      <c r="A1828" s="20">
        <v>45790</v>
      </c>
      <c r="B1828">
        <v>9</v>
      </c>
      <c r="C1828" t="s">
        <v>265</v>
      </c>
      <c r="D1828">
        <v>153</v>
      </c>
      <c r="E1828">
        <v>16</v>
      </c>
      <c r="F1828" t="s">
        <v>42</v>
      </c>
    </row>
    <row r="1829" spans="1:6" x14ac:dyDescent="0.3">
      <c r="A1829" s="20">
        <v>45790</v>
      </c>
      <c r="B1829">
        <v>9</v>
      </c>
      <c r="C1829" t="s">
        <v>255</v>
      </c>
      <c r="D1829">
        <v>11865</v>
      </c>
      <c r="E1829">
        <v>1635</v>
      </c>
      <c r="F1829" t="s">
        <v>39</v>
      </c>
    </row>
    <row r="1830" spans="1:6" x14ac:dyDescent="0.3">
      <c r="A1830" s="20">
        <v>45790</v>
      </c>
      <c r="B1830">
        <v>9</v>
      </c>
      <c r="C1830" t="s">
        <v>262</v>
      </c>
      <c r="D1830">
        <v>20977</v>
      </c>
      <c r="E1830">
        <v>663</v>
      </c>
      <c r="F1830" t="s">
        <v>86</v>
      </c>
    </row>
    <row r="1831" spans="1:6" x14ac:dyDescent="0.3">
      <c r="A1831" s="20">
        <v>45790</v>
      </c>
      <c r="B1831">
        <v>9</v>
      </c>
      <c r="C1831" t="s">
        <v>250</v>
      </c>
      <c r="D1831">
        <v>6323</v>
      </c>
      <c r="E1831">
        <v>1628</v>
      </c>
      <c r="F1831" t="s">
        <v>43</v>
      </c>
    </row>
    <row r="1832" spans="1:6" x14ac:dyDescent="0.3">
      <c r="A1832" s="20">
        <v>45790</v>
      </c>
      <c r="B1832">
        <v>9</v>
      </c>
      <c r="C1832" t="s">
        <v>124</v>
      </c>
      <c r="D1832">
        <v>55325</v>
      </c>
      <c r="E1832">
        <v>4497</v>
      </c>
      <c r="F1832" t="s">
        <v>38</v>
      </c>
    </row>
    <row r="1833" spans="1:6" x14ac:dyDescent="0.3">
      <c r="A1833" s="20">
        <v>45790</v>
      </c>
      <c r="B1833">
        <v>9</v>
      </c>
      <c r="C1833" t="s">
        <v>51</v>
      </c>
      <c r="D1833">
        <v>52122</v>
      </c>
      <c r="E1833">
        <v>2255</v>
      </c>
      <c r="F1833" t="s">
        <v>38</v>
      </c>
    </row>
    <row r="1834" spans="1:6" x14ac:dyDescent="0.3">
      <c r="A1834" s="20">
        <v>45790</v>
      </c>
      <c r="B1834">
        <v>9</v>
      </c>
      <c r="C1834" t="s">
        <v>251</v>
      </c>
      <c r="D1834">
        <v>2728</v>
      </c>
      <c r="E1834">
        <v>380</v>
      </c>
      <c r="F1834" t="s">
        <v>47</v>
      </c>
    </row>
    <row r="1835" spans="1:6" x14ac:dyDescent="0.3">
      <c r="A1835" s="20">
        <v>45790</v>
      </c>
      <c r="B1835">
        <v>10</v>
      </c>
      <c r="C1835" t="s">
        <v>230</v>
      </c>
      <c r="D1835">
        <v>32349</v>
      </c>
      <c r="E1835">
        <v>2791</v>
      </c>
      <c r="F1835" t="s">
        <v>31</v>
      </c>
    </row>
    <row r="1836" spans="1:6" x14ac:dyDescent="0.3">
      <c r="A1836" s="20">
        <v>45790</v>
      </c>
      <c r="B1836">
        <v>10</v>
      </c>
      <c r="C1836" t="s">
        <v>48</v>
      </c>
      <c r="D1836">
        <v>60795</v>
      </c>
      <c r="E1836">
        <v>4376</v>
      </c>
      <c r="F1836" t="s">
        <v>31</v>
      </c>
    </row>
    <row r="1837" spans="1:6" x14ac:dyDescent="0.3">
      <c r="A1837" s="20">
        <v>45790</v>
      </c>
      <c r="B1837">
        <v>10</v>
      </c>
      <c r="C1837" t="s">
        <v>242</v>
      </c>
      <c r="D1837">
        <v>45930</v>
      </c>
      <c r="E1837">
        <v>4792</v>
      </c>
      <c r="F1837" t="s">
        <v>31</v>
      </c>
    </row>
    <row r="1838" spans="1:6" x14ac:dyDescent="0.3">
      <c r="A1838" s="20">
        <v>45790</v>
      </c>
      <c r="B1838">
        <v>10</v>
      </c>
      <c r="C1838" t="s">
        <v>50</v>
      </c>
      <c r="D1838">
        <v>475</v>
      </c>
      <c r="E1838">
        <v>113</v>
      </c>
      <c r="F1838" t="s">
        <v>31</v>
      </c>
    </row>
    <row r="1839" spans="1:6" x14ac:dyDescent="0.3">
      <c r="A1839" s="20">
        <v>45790</v>
      </c>
      <c r="B1839">
        <v>10</v>
      </c>
      <c r="C1839" t="s">
        <v>246</v>
      </c>
      <c r="D1839">
        <v>44794</v>
      </c>
      <c r="E1839">
        <v>5843</v>
      </c>
      <c r="F1839" t="s">
        <v>31</v>
      </c>
    </row>
    <row r="1840" spans="1:6" x14ac:dyDescent="0.3">
      <c r="A1840" s="20">
        <v>45790</v>
      </c>
      <c r="B1840">
        <v>10</v>
      </c>
      <c r="C1840" t="s">
        <v>233</v>
      </c>
      <c r="D1840">
        <v>17013</v>
      </c>
      <c r="E1840">
        <v>2337</v>
      </c>
      <c r="F1840" t="s">
        <v>34</v>
      </c>
    </row>
    <row r="1841" spans="1:6" x14ac:dyDescent="0.3">
      <c r="A1841" s="20">
        <v>45790</v>
      </c>
      <c r="B1841">
        <v>10</v>
      </c>
      <c r="C1841" t="s">
        <v>233</v>
      </c>
      <c r="D1841">
        <v>8466</v>
      </c>
      <c r="E1841">
        <v>763</v>
      </c>
      <c r="F1841" t="s">
        <v>39</v>
      </c>
    </row>
    <row r="1842" spans="1:6" x14ac:dyDescent="0.3">
      <c r="A1842" s="20">
        <v>45790</v>
      </c>
      <c r="B1842">
        <v>10</v>
      </c>
      <c r="C1842" t="s">
        <v>238</v>
      </c>
      <c r="D1842">
        <v>10798</v>
      </c>
      <c r="E1842">
        <v>1102</v>
      </c>
      <c r="F1842" t="s">
        <v>229</v>
      </c>
    </row>
    <row r="1843" spans="1:6" x14ac:dyDescent="0.3">
      <c r="A1843" s="20">
        <v>45790</v>
      </c>
      <c r="B1843">
        <v>10</v>
      </c>
      <c r="C1843" t="s">
        <v>250</v>
      </c>
      <c r="D1843">
        <v>11473</v>
      </c>
      <c r="E1843">
        <v>1788</v>
      </c>
      <c r="F1843" t="s">
        <v>164</v>
      </c>
    </row>
    <row r="1844" spans="1:6" x14ac:dyDescent="0.3">
      <c r="A1844" s="20">
        <v>45790</v>
      </c>
      <c r="B1844">
        <v>10</v>
      </c>
      <c r="C1844" t="s">
        <v>250</v>
      </c>
      <c r="D1844">
        <v>2985</v>
      </c>
      <c r="E1844">
        <v>873</v>
      </c>
      <c r="F1844" t="s">
        <v>72</v>
      </c>
    </row>
    <row r="1845" spans="1:6" x14ac:dyDescent="0.3">
      <c r="A1845" s="20">
        <v>45790</v>
      </c>
      <c r="B1845">
        <v>10</v>
      </c>
      <c r="C1845" t="s">
        <v>162</v>
      </c>
      <c r="D1845">
        <v>15027</v>
      </c>
      <c r="E1845">
        <v>1833</v>
      </c>
      <c r="F1845" t="s">
        <v>44</v>
      </c>
    </row>
    <row r="1846" spans="1:6" x14ac:dyDescent="0.3">
      <c r="A1846" s="20">
        <v>45790</v>
      </c>
      <c r="B1846">
        <v>10</v>
      </c>
      <c r="C1846" t="s">
        <v>37</v>
      </c>
      <c r="D1846">
        <v>84130</v>
      </c>
      <c r="E1846">
        <v>2741</v>
      </c>
      <c r="F1846" t="s">
        <v>38</v>
      </c>
    </row>
    <row r="1847" spans="1:6" x14ac:dyDescent="0.3">
      <c r="A1847" s="20">
        <v>45790</v>
      </c>
      <c r="B1847">
        <v>10</v>
      </c>
      <c r="C1847" t="s">
        <v>126</v>
      </c>
      <c r="D1847">
        <v>50</v>
      </c>
      <c r="E1847">
        <v>50</v>
      </c>
      <c r="F1847" t="s">
        <v>38</v>
      </c>
    </row>
    <row r="1848" spans="1:6" x14ac:dyDescent="0.3">
      <c r="A1848" s="20">
        <v>45790</v>
      </c>
      <c r="B1848">
        <v>11</v>
      </c>
      <c r="C1848" t="s">
        <v>73</v>
      </c>
      <c r="D1848">
        <v>0</v>
      </c>
      <c r="E1848">
        <v>0</v>
      </c>
      <c r="F1848" t="s">
        <v>39</v>
      </c>
    </row>
    <row r="1849" spans="1:6" x14ac:dyDescent="0.3">
      <c r="A1849" s="20">
        <v>45790</v>
      </c>
      <c r="B1849">
        <v>11</v>
      </c>
      <c r="C1849" t="s">
        <v>73</v>
      </c>
      <c r="D1849">
        <v>0</v>
      </c>
      <c r="E1849">
        <v>0</v>
      </c>
      <c r="F1849" t="s">
        <v>72</v>
      </c>
    </row>
    <row r="1850" spans="1:6" x14ac:dyDescent="0.3">
      <c r="A1850" s="20">
        <v>45790</v>
      </c>
      <c r="B1850">
        <v>11</v>
      </c>
      <c r="C1850" t="s">
        <v>73</v>
      </c>
      <c r="D1850">
        <v>0</v>
      </c>
      <c r="E1850">
        <v>0</v>
      </c>
      <c r="F1850" t="s">
        <v>43</v>
      </c>
    </row>
    <row r="1851" spans="1:6" x14ac:dyDescent="0.3">
      <c r="A1851" s="20">
        <v>45790</v>
      </c>
      <c r="B1851">
        <v>11</v>
      </c>
      <c r="C1851" t="s">
        <v>263</v>
      </c>
      <c r="D1851">
        <v>12764</v>
      </c>
      <c r="E1851">
        <v>681</v>
      </c>
      <c r="F1851" t="s">
        <v>229</v>
      </c>
    </row>
    <row r="1852" spans="1:6" x14ac:dyDescent="0.3">
      <c r="A1852" s="20">
        <v>45790</v>
      </c>
      <c r="B1852">
        <v>11</v>
      </c>
      <c r="C1852" t="s">
        <v>67</v>
      </c>
      <c r="D1852">
        <v>13572</v>
      </c>
      <c r="E1852">
        <v>715</v>
      </c>
      <c r="F1852" t="s">
        <v>31</v>
      </c>
    </row>
    <row r="1853" spans="1:6" x14ac:dyDescent="0.3">
      <c r="A1853" s="20">
        <v>45790</v>
      </c>
      <c r="B1853">
        <v>11</v>
      </c>
      <c r="C1853" t="s">
        <v>67</v>
      </c>
      <c r="D1853">
        <v>6862</v>
      </c>
      <c r="E1853">
        <v>235</v>
      </c>
      <c r="F1853" t="s">
        <v>42</v>
      </c>
    </row>
    <row r="1854" spans="1:6" x14ac:dyDescent="0.3">
      <c r="A1854" s="20">
        <v>45790</v>
      </c>
      <c r="B1854">
        <v>11</v>
      </c>
      <c r="C1854" t="s">
        <v>67</v>
      </c>
      <c r="D1854">
        <v>0</v>
      </c>
      <c r="E1854">
        <v>0</v>
      </c>
      <c r="F1854" t="s">
        <v>77</v>
      </c>
    </row>
    <row r="1855" spans="1:6" x14ac:dyDescent="0.3">
      <c r="A1855" s="20">
        <v>45790</v>
      </c>
      <c r="B1855">
        <v>11</v>
      </c>
      <c r="C1855" t="s">
        <v>52</v>
      </c>
      <c r="D1855">
        <v>34714</v>
      </c>
      <c r="E1855">
        <v>1622</v>
      </c>
      <c r="F1855" t="s">
        <v>31</v>
      </c>
    </row>
    <row r="1856" spans="1:6" x14ac:dyDescent="0.3">
      <c r="A1856" s="20">
        <v>45790</v>
      </c>
      <c r="B1856">
        <v>11</v>
      </c>
      <c r="C1856" t="s">
        <v>48</v>
      </c>
      <c r="D1856">
        <v>0</v>
      </c>
      <c r="E1856">
        <v>0</v>
      </c>
      <c r="F1856" t="s">
        <v>259</v>
      </c>
    </row>
    <row r="1857" spans="1:6" x14ac:dyDescent="0.3">
      <c r="A1857" s="20">
        <v>45790</v>
      </c>
      <c r="B1857">
        <v>11</v>
      </c>
      <c r="C1857" t="s">
        <v>232</v>
      </c>
      <c r="D1857">
        <v>5505</v>
      </c>
      <c r="E1857">
        <v>338</v>
      </c>
      <c r="F1857" t="s">
        <v>74</v>
      </c>
    </row>
    <row r="1858" spans="1:6" x14ac:dyDescent="0.3">
      <c r="A1858" s="20">
        <v>45790</v>
      </c>
      <c r="B1858">
        <v>11</v>
      </c>
      <c r="C1858" t="s">
        <v>232</v>
      </c>
      <c r="D1858">
        <v>23391</v>
      </c>
      <c r="E1858">
        <v>3248</v>
      </c>
      <c r="F1858" t="s">
        <v>229</v>
      </c>
    </row>
    <row r="1859" spans="1:6" x14ac:dyDescent="0.3">
      <c r="A1859" s="20">
        <v>45790</v>
      </c>
      <c r="B1859">
        <v>11</v>
      </c>
      <c r="C1859" t="s">
        <v>238</v>
      </c>
      <c r="D1859">
        <v>8333</v>
      </c>
      <c r="E1859">
        <v>902</v>
      </c>
      <c r="F1859" t="s">
        <v>47</v>
      </c>
    </row>
    <row r="1860" spans="1:6" x14ac:dyDescent="0.3">
      <c r="A1860" s="20">
        <v>45790</v>
      </c>
      <c r="B1860">
        <v>11</v>
      </c>
      <c r="C1860" t="s">
        <v>255</v>
      </c>
      <c r="D1860">
        <v>4046</v>
      </c>
      <c r="E1860">
        <v>746</v>
      </c>
      <c r="F1860" t="s">
        <v>74</v>
      </c>
    </row>
    <row r="1861" spans="1:6" x14ac:dyDescent="0.3">
      <c r="A1861" s="20">
        <v>45790</v>
      </c>
      <c r="B1861">
        <v>11</v>
      </c>
      <c r="C1861" t="s">
        <v>155</v>
      </c>
      <c r="D1861">
        <v>21</v>
      </c>
      <c r="E1861">
        <v>5</v>
      </c>
      <c r="F1861" t="s">
        <v>32</v>
      </c>
    </row>
    <row r="1862" spans="1:6" x14ac:dyDescent="0.3">
      <c r="A1862" s="20">
        <v>45790</v>
      </c>
      <c r="B1862">
        <v>11</v>
      </c>
      <c r="C1862" t="s">
        <v>160</v>
      </c>
      <c r="D1862">
        <v>1</v>
      </c>
      <c r="E1862">
        <v>0</v>
      </c>
      <c r="F1862" t="s">
        <v>68</v>
      </c>
    </row>
    <row r="1863" spans="1:6" x14ac:dyDescent="0.3">
      <c r="A1863" s="20">
        <v>45790</v>
      </c>
      <c r="B1863">
        <v>11</v>
      </c>
      <c r="C1863" t="s">
        <v>160</v>
      </c>
      <c r="D1863">
        <v>315</v>
      </c>
      <c r="E1863">
        <v>69</v>
      </c>
      <c r="F1863" t="s">
        <v>32</v>
      </c>
    </row>
    <row r="1864" spans="1:6" x14ac:dyDescent="0.3">
      <c r="A1864" s="20">
        <v>45790</v>
      </c>
      <c r="B1864">
        <v>11</v>
      </c>
      <c r="C1864" t="s">
        <v>160</v>
      </c>
      <c r="D1864">
        <v>10348</v>
      </c>
      <c r="E1864">
        <v>926</v>
      </c>
      <c r="F1864" t="s">
        <v>234</v>
      </c>
    </row>
    <row r="1865" spans="1:6" x14ac:dyDescent="0.3">
      <c r="A1865" s="20">
        <v>45790</v>
      </c>
      <c r="B1865">
        <v>11</v>
      </c>
      <c r="C1865" t="s">
        <v>160</v>
      </c>
      <c r="D1865">
        <v>318</v>
      </c>
      <c r="E1865">
        <v>73</v>
      </c>
      <c r="F1865" t="s">
        <v>45</v>
      </c>
    </row>
    <row r="1866" spans="1:6" x14ac:dyDescent="0.3">
      <c r="A1866" s="20">
        <v>45790</v>
      </c>
      <c r="B1866">
        <v>11</v>
      </c>
      <c r="C1866" t="s">
        <v>160</v>
      </c>
      <c r="D1866">
        <v>109</v>
      </c>
      <c r="E1866">
        <v>33</v>
      </c>
      <c r="F1866" t="s">
        <v>161</v>
      </c>
    </row>
    <row r="1867" spans="1:6" x14ac:dyDescent="0.3">
      <c r="A1867" s="20">
        <v>45790</v>
      </c>
      <c r="B1867">
        <v>11</v>
      </c>
      <c r="C1867" t="s">
        <v>125</v>
      </c>
      <c r="D1867">
        <v>102916</v>
      </c>
      <c r="E1867">
        <v>9520</v>
      </c>
      <c r="F1867" t="s">
        <v>38</v>
      </c>
    </row>
    <row r="1868" spans="1:6" x14ac:dyDescent="0.3">
      <c r="A1868" s="20">
        <v>45790</v>
      </c>
      <c r="B1868">
        <v>11</v>
      </c>
      <c r="C1868" t="s">
        <v>235</v>
      </c>
      <c r="D1868">
        <v>8444</v>
      </c>
      <c r="E1868">
        <v>856</v>
      </c>
      <c r="F1868" t="s">
        <v>229</v>
      </c>
    </row>
    <row r="1869" spans="1:6" x14ac:dyDescent="0.3">
      <c r="A1869" s="20">
        <v>45790</v>
      </c>
      <c r="B1869">
        <v>12</v>
      </c>
      <c r="C1869" t="s">
        <v>73</v>
      </c>
      <c r="D1869">
        <v>0</v>
      </c>
      <c r="E1869">
        <v>0</v>
      </c>
      <c r="F1869" t="s">
        <v>86</v>
      </c>
    </row>
    <row r="1870" spans="1:6" x14ac:dyDescent="0.3">
      <c r="A1870" s="20">
        <v>45790</v>
      </c>
      <c r="B1870">
        <v>12</v>
      </c>
      <c r="C1870" t="s">
        <v>153</v>
      </c>
      <c r="D1870">
        <v>8985</v>
      </c>
      <c r="E1870">
        <v>305</v>
      </c>
      <c r="F1870" t="s">
        <v>248</v>
      </c>
    </row>
    <row r="1871" spans="1:6" x14ac:dyDescent="0.3">
      <c r="A1871" s="20">
        <v>45790</v>
      </c>
      <c r="B1871">
        <v>12</v>
      </c>
      <c r="C1871" t="s">
        <v>66</v>
      </c>
      <c r="D1871">
        <v>29263</v>
      </c>
      <c r="E1871">
        <v>2464</v>
      </c>
      <c r="F1871" t="s">
        <v>31</v>
      </c>
    </row>
    <row r="1872" spans="1:6" x14ac:dyDescent="0.3">
      <c r="A1872" s="20">
        <v>45790</v>
      </c>
      <c r="B1872">
        <v>12</v>
      </c>
      <c r="C1872" t="s">
        <v>157</v>
      </c>
      <c r="D1872">
        <v>12822</v>
      </c>
      <c r="E1872">
        <v>3152</v>
      </c>
      <c r="F1872" t="s">
        <v>31</v>
      </c>
    </row>
    <row r="1873" spans="1:6" x14ac:dyDescent="0.3">
      <c r="A1873" s="20">
        <v>45790</v>
      </c>
      <c r="B1873">
        <v>12</v>
      </c>
      <c r="C1873" t="s">
        <v>53</v>
      </c>
      <c r="D1873">
        <v>2517</v>
      </c>
      <c r="E1873">
        <v>86</v>
      </c>
      <c r="F1873" t="s">
        <v>31</v>
      </c>
    </row>
    <row r="1874" spans="1:6" x14ac:dyDescent="0.3">
      <c r="A1874" s="20">
        <v>45790</v>
      </c>
      <c r="B1874">
        <v>12</v>
      </c>
      <c r="C1874" t="s">
        <v>49</v>
      </c>
      <c r="D1874">
        <v>19577</v>
      </c>
      <c r="E1874">
        <v>1434</v>
      </c>
      <c r="F1874" t="s">
        <v>42</v>
      </c>
    </row>
    <row r="1875" spans="1:6" x14ac:dyDescent="0.3">
      <c r="A1875" s="20">
        <v>45790</v>
      </c>
      <c r="B1875">
        <v>12</v>
      </c>
      <c r="C1875" t="s">
        <v>36</v>
      </c>
      <c r="D1875">
        <v>556</v>
      </c>
      <c r="E1875">
        <v>117</v>
      </c>
      <c r="F1875" t="s">
        <v>31</v>
      </c>
    </row>
    <row r="1876" spans="1:6" x14ac:dyDescent="0.3">
      <c r="A1876" s="20">
        <v>45790</v>
      </c>
      <c r="B1876">
        <v>12</v>
      </c>
      <c r="C1876" t="s">
        <v>245</v>
      </c>
      <c r="D1876">
        <v>61859</v>
      </c>
      <c r="E1876">
        <v>8241</v>
      </c>
      <c r="F1876" t="s">
        <v>31</v>
      </c>
    </row>
    <row r="1877" spans="1:6" x14ac:dyDescent="0.3">
      <c r="A1877" s="20">
        <v>45790</v>
      </c>
      <c r="B1877">
        <v>12</v>
      </c>
      <c r="C1877" t="s">
        <v>232</v>
      </c>
      <c r="D1877">
        <v>3211</v>
      </c>
      <c r="E1877">
        <v>190</v>
      </c>
      <c r="F1877" t="s">
        <v>39</v>
      </c>
    </row>
    <row r="1878" spans="1:6" x14ac:dyDescent="0.3">
      <c r="A1878" s="20">
        <v>45790</v>
      </c>
      <c r="B1878">
        <v>12</v>
      </c>
      <c r="C1878" t="s">
        <v>265</v>
      </c>
      <c r="D1878">
        <v>471</v>
      </c>
      <c r="E1878">
        <v>36</v>
      </c>
      <c r="F1878" t="s">
        <v>42</v>
      </c>
    </row>
    <row r="1879" spans="1:6" x14ac:dyDescent="0.3">
      <c r="A1879" s="20">
        <v>45790</v>
      </c>
      <c r="B1879">
        <v>12</v>
      </c>
      <c r="C1879" t="s">
        <v>155</v>
      </c>
      <c r="D1879">
        <v>234</v>
      </c>
      <c r="E1879">
        <v>58</v>
      </c>
      <c r="F1879" t="s">
        <v>229</v>
      </c>
    </row>
    <row r="1880" spans="1:6" x14ac:dyDescent="0.3">
      <c r="A1880" s="20">
        <v>45790</v>
      </c>
      <c r="B1880">
        <v>12</v>
      </c>
      <c r="C1880" t="s">
        <v>250</v>
      </c>
      <c r="D1880">
        <v>10144</v>
      </c>
      <c r="E1880">
        <v>2664</v>
      </c>
      <c r="F1880" t="s">
        <v>43</v>
      </c>
    </row>
    <row r="1881" spans="1:6" x14ac:dyDescent="0.3">
      <c r="A1881" s="20">
        <v>45790</v>
      </c>
      <c r="B1881">
        <v>12</v>
      </c>
      <c r="C1881" t="s">
        <v>124</v>
      </c>
      <c r="D1881">
        <v>71455</v>
      </c>
      <c r="E1881">
        <v>6365</v>
      </c>
      <c r="F1881" t="s">
        <v>38</v>
      </c>
    </row>
    <row r="1882" spans="1:6" x14ac:dyDescent="0.3">
      <c r="A1882" s="20">
        <v>45790</v>
      </c>
      <c r="B1882">
        <v>12</v>
      </c>
      <c r="C1882" t="s">
        <v>51</v>
      </c>
      <c r="D1882">
        <v>61709</v>
      </c>
      <c r="E1882">
        <v>2287</v>
      </c>
      <c r="F1882" t="s">
        <v>38</v>
      </c>
    </row>
    <row r="1883" spans="1:6" x14ac:dyDescent="0.3">
      <c r="A1883" s="20">
        <v>45790</v>
      </c>
      <c r="B1883">
        <v>12</v>
      </c>
      <c r="C1883" t="s">
        <v>251</v>
      </c>
      <c r="D1883">
        <v>1766</v>
      </c>
      <c r="E1883">
        <v>258</v>
      </c>
      <c r="F1883" t="s">
        <v>47</v>
      </c>
    </row>
    <row r="1884" spans="1:6" x14ac:dyDescent="0.3">
      <c r="A1884" s="20">
        <v>45790</v>
      </c>
      <c r="B1884">
        <v>13</v>
      </c>
      <c r="C1884" t="s">
        <v>73</v>
      </c>
      <c r="D1884">
        <v>0</v>
      </c>
      <c r="E1884">
        <v>0</v>
      </c>
      <c r="F1884" t="s">
        <v>229</v>
      </c>
    </row>
    <row r="1885" spans="1:6" x14ac:dyDescent="0.3">
      <c r="A1885" s="20">
        <v>45790</v>
      </c>
      <c r="B1885">
        <v>13</v>
      </c>
      <c r="C1885" t="s">
        <v>242</v>
      </c>
      <c r="D1885">
        <v>35001</v>
      </c>
      <c r="E1885">
        <v>3830</v>
      </c>
      <c r="F1885" t="s">
        <v>31</v>
      </c>
    </row>
    <row r="1886" spans="1:6" x14ac:dyDescent="0.3">
      <c r="A1886" s="20">
        <v>45790</v>
      </c>
      <c r="B1886">
        <v>13</v>
      </c>
      <c r="C1886" t="s">
        <v>50</v>
      </c>
      <c r="D1886">
        <v>378</v>
      </c>
      <c r="E1886">
        <v>95</v>
      </c>
      <c r="F1886" t="s">
        <v>31</v>
      </c>
    </row>
    <row r="1887" spans="1:6" x14ac:dyDescent="0.3">
      <c r="A1887" s="20">
        <v>45790</v>
      </c>
      <c r="B1887">
        <v>13</v>
      </c>
      <c r="C1887" t="s">
        <v>246</v>
      </c>
      <c r="D1887">
        <v>38545</v>
      </c>
      <c r="E1887">
        <v>5317</v>
      </c>
      <c r="F1887" t="s">
        <v>31</v>
      </c>
    </row>
    <row r="1888" spans="1:6" x14ac:dyDescent="0.3">
      <c r="A1888" s="20">
        <v>45790</v>
      </c>
      <c r="B1888">
        <v>13</v>
      </c>
      <c r="C1888" t="s">
        <v>71</v>
      </c>
      <c r="D1888">
        <v>6553</v>
      </c>
      <c r="E1888">
        <v>719</v>
      </c>
      <c r="F1888" t="s">
        <v>229</v>
      </c>
    </row>
    <row r="1889" spans="1:6" x14ac:dyDescent="0.3">
      <c r="A1889" s="20">
        <v>45790</v>
      </c>
      <c r="B1889">
        <v>13</v>
      </c>
      <c r="C1889" t="s">
        <v>233</v>
      </c>
      <c r="D1889">
        <v>16908</v>
      </c>
      <c r="E1889">
        <v>2542</v>
      </c>
      <c r="F1889" t="s">
        <v>34</v>
      </c>
    </row>
    <row r="1890" spans="1:6" x14ac:dyDescent="0.3">
      <c r="A1890" s="20">
        <v>45790</v>
      </c>
      <c r="B1890">
        <v>13</v>
      </c>
      <c r="C1890" t="s">
        <v>233</v>
      </c>
      <c r="D1890">
        <v>9147</v>
      </c>
      <c r="E1890">
        <v>741</v>
      </c>
      <c r="F1890" t="s">
        <v>39</v>
      </c>
    </row>
    <row r="1891" spans="1:6" x14ac:dyDescent="0.3">
      <c r="A1891" s="20">
        <v>45790</v>
      </c>
      <c r="B1891">
        <v>13</v>
      </c>
      <c r="C1891" t="s">
        <v>250</v>
      </c>
      <c r="D1891">
        <v>8265</v>
      </c>
      <c r="E1891">
        <v>1227</v>
      </c>
      <c r="F1891" t="s">
        <v>164</v>
      </c>
    </row>
    <row r="1892" spans="1:6" x14ac:dyDescent="0.3">
      <c r="A1892" s="20">
        <v>45790</v>
      </c>
      <c r="B1892">
        <v>13</v>
      </c>
      <c r="C1892" t="s">
        <v>250</v>
      </c>
      <c r="D1892">
        <v>521</v>
      </c>
      <c r="E1892">
        <v>139</v>
      </c>
      <c r="F1892" t="s">
        <v>72</v>
      </c>
    </row>
    <row r="1893" spans="1:6" x14ac:dyDescent="0.3">
      <c r="A1893" s="20">
        <v>45790</v>
      </c>
      <c r="B1893">
        <v>13</v>
      </c>
      <c r="C1893" t="s">
        <v>160</v>
      </c>
      <c r="D1893">
        <v>117</v>
      </c>
      <c r="E1893">
        <v>14</v>
      </c>
      <c r="F1893" t="s">
        <v>44</v>
      </c>
    </row>
    <row r="1894" spans="1:6" x14ac:dyDescent="0.3">
      <c r="A1894" s="20">
        <v>45790</v>
      </c>
      <c r="B1894">
        <v>13</v>
      </c>
      <c r="C1894" t="s">
        <v>162</v>
      </c>
      <c r="D1894">
        <v>15384</v>
      </c>
      <c r="E1894">
        <v>1639</v>
      </c>
      <c r="F1894" t="s">
        <v>44</v>
      </c>
    </row>
    <row r="1895" spans="1:6" x14ac:dyDescent="0.3">
      <c r="A1895" s="20">
        <v>45790</v>
      </c>
      <c r="B1895">
        <v>13</v>
      </c>
      <c r="C1895" t="s">
        <v>37</v>
      </c>
      <c r="D1895">
        <v>67930</v>
      </c>
      <c r="E1895">
        <v>1759</v>
      </c>
      <c r="F1895" t="s">
        <v>38</v>
      </c>
    </row>
    <row r="1896" spans="1:6" x14ac:dyDescent="0.3">
      <c r="A1896" s="20">
        <v>45790</v>
      </c>
      <c r="B1896">
        <v>13</v>
      </c>
      <c r="C1896" t="s">
        <v>126</v>
      </c>
      <c r="D1896">
        <v>34</v>
      </c>
      <c r="E1896">
        <v>34</v>
      </c>
      <c r="F1896" t="s">
        <v>38</v>
      </c>
    </row>
    <row r="1897" spans="1:6" x14ac:dyDescent="0.3">
      <c r="A1897" s="20">
        <v>45790</v>
      </c>
      <c r="B1897">
        <v>14</v>
      </c>
      <c r="C1897" t="s">
        <v>73</v>
      </c>
      <c r="D1897">
        <v>0</v>
      </c>
      <c r="E1897">
        <v>0</v>
      </c>
      <c r="F1897" t="s">
        <v>39</v>
      </c>
    </row>
    <row r="1898" spans="1:6" x14ac:dyDescent="0.3">
      <c r="A1898" s="20">
        <v>45790</v>
      </c>
      <c r="B1898">
        <v>14</v>
      </c>
      <c r="C1898" t="s">
        <v>73</v>
      </c>
      <c r="D1898">
        <v>0</v>
      </c>
      <c r="E1898">
        <v>0</v>
      </c>
      <c r="F1898" t="s">
        <v>43</v>
      </c>
    </row>
    <row r="1899" spans="1:6" x14ac:dyDescent="0.3">
      <c r="A1899" s="20">
        <v>45790</v>
      </c>
      <c r="B1899">
        <v>14</v>
      </c>
      <c r="C1899" t="s">
        <v>263</v>
      </c>
      <c r="D1899">
        <v>14714</v>
      </c>
      <c r="E1899">
        <v>678</v>
      </c>
      <c r="F1899" t="s">
        <v>229</v>
      </c>
    </row>
    <row r="1900" spans="1:6" x14ac:dyDescent="0.3">
      <c r="A1900" s="20">
        <v>45790</v>
      </c>
      <c r="B1900">
        <v>14</v>
      </c>
      <c r="C1900" t="s">
        <v>67</v>
      </c>
      <c r="D1900">
        <v>4211</v>
      </c>
      <c r="E1900">
        <v>123</v>
      </c>
      <c r="F1900" t="s">
        <v>42</v>
      </c>
    </row>
    <row r="1901" spans="1:6" x14ac:dyDescent="0.3">
      <c r="A1901" s="20">
        <v>45790</v>
      </c>
      <c r="B1901">
        <v>14</v>
      </c>
      <c r="C1901" t="s">
        <v>52</v>
      </c>
      <c r="D1901">
        <v>44915</v>
      </c>
      <c r="E1901">
        <v>2546</v>
      </c>
      <c r="F1901" t="s">
        <v>31</v>
      </c>
    </row>
    <row r="1902" spans="1:6" x14ac:dyDescent="0.3">
      <c r="A1902" s="20">
        <v>45790</v>
      </c>
      <c r="B1902">
        <v>14</v>
      </c>
      <c r="C1902" t="s">
        <v>48</v>
      </c>
      <c r="D1902">
        <v>0</v>
      </c>
      <c r="E1902">
        <v>0</v>
      </c>
      <c r="F1902" t="s">
        <v>259</v>
      </c>
    </row>
    <row r="1903" spans="1:6" x14ac:dyDescent="0.3">
      <c r="A1903" s="20">
        <v>45790</v>
      </c>
      <c r="B1903">
        <v>14</v>
      </c>
      <c r="C1903" t="s">
        <v>139</v>
      </c>
      <c r="D1903">
        <v>34670</v>
      </c>
      <c r="E1903">
        <v>979</v>
      </c>
      <c r="F1903" t="s">
        <v>46</v>
      </c>
    </row>
    <row r="1904" spans="1:6" x14ac:dyDescent="0.3">
      <c r="A1904" s="20">
        <v>45790</v>
      </c>
      <c r="B1904">
        <v>14</v>
      </c>
      <c r="C1904" t="s">
        <v>232</v>
      </c>
      <c r="D1904">
        <v>5911</v>
      </c>
      <c r="E1904">
        <v>395</v>
      </c>
      <c r="F1904" t="s">
        <v>74</v>
      </c>
    </row>
    <row r="1905" spans="1:6" x14ac:dyDescent="0.3">
      <c r="A1905" s="20">
        <v>45790</v>
      </c>
      <c r="B1905">
        <v>14</v>
      </c>
      <c r="C1905" t="s">
        <v>265</v>
      </c>
      <c r="D1905">
        <v>20243</v>
      </c>
      <c r="E1905">
        <v>901</v>
      </c>
      <c r="F1905" t="s">
        <v>31</v>
      </c>
    </row>
    <row r="1906" spans="1:6" x14ac:dyDescent="0.3">
      <c r="A1906" s="20">
        <v>45790</v>
      </c>
      <c r="B1906">
        <v>14</v>
      </c>
      <c r="C1906" t="s">
        <v>155</v>
      </c>
      <c r="D1906">
        <v>38</v>
      </c>
      <c r="E1906">
        <v>35</v>
      </c>
      <c r="F1906" t="s">
        <v>32</v>
      </c>
    </row>
    <row r="1907" spans="1:6" x14ac:dyDescent="0.3">
      <c r="A1907" s="20">
        <v>45790</v>
      </c>
      <c r="B1907">
        <v>14</v>
      </c>
      <c r="C1907" t="s">
        <v>160</v>
      </c>
      <c r="D1907">
        <v>3</v>
      </c>
      <c r="E1907">
        <v>0</v>
      </c>
      <c r="F1907" t="s">
        <v>68</v>
      </c>
    </row>
    <row r="1908" spans="1:6" x14ac:dyDescent="0.3">
      <c r="A1908" s="20">
        <v>45790</v>
      </c>
      <c r="B1908">
        <v>14</v>
      </c>
      <c r="C1908" t="s">
        <v>160</v>
      </c>
      <c r="D1908">
        <v>182</v>
      </c>
      <c r="E1908">
        <v>47</v>
      </c>
      <c r="F1908" t="s">
        <v>32</v>
      </c>
    </row>
    <row r="1909" spans="1:6" x14ac:dyDescent="0.3">
      <c r="A1909" s="20">
        <v>45790</v>
      </c>
      <c r="B1909">
        <v>14</v>
      </c>
      <c r="C1909" t="s">
        <v>160</v>
      </c>
      <c r="D1909">
        <v>14120</v>
      </c>
      <c r="E1909">
        <v>1427</v>
      </c>
      <c r="F1909" t="s">
        <v>234</v>
      </c>
    </row>
    <row r="1910" spans="1:6" x14ac:dyDescent="0.3">
      <c r="A1910" s="20">
        <v>45790</v>
      </c>
      <c r="B1910">
        <v>14</v>
      </c>
      <c r="C1910" t="s">
        <v>160</v>
      </c>
      <c r="D1910">
        <v>370</v>
      </c>
      <c r="E1910">
        <v>95</v>
      </c>
      <c r="F1910" t="s">
        <v>45</v>
      </c>
    </row>
    <row r="1911" spans="1:6" x14ac:dyDescent="0.3">
      <c r="A1911" s="20">
        <v>45790</v>
      </c>
      <c r="B1911">
        <v>14</v>
      </c>
      <c r="C1911" t="s">
        <v>160</v>
      </c>
      <c r="D1911">
        <v>125</v>
      </c>
      <c r="E1911">
        <v>45</v>
      </c>
      <c r="F1911" t="s">
        <v>161</v>
      </c>
    </row>
    <row r="1912" spans="1:6" x14ac:dyDescent="0.3">
      <c r="A1912" s="20">
        <v>45790</v>
      </c>
      <c r="B1912">
        <v>14</v>
      </c>
      <c r="C1912" t="s">
        <v>160</v>
      </c>
      <c r="D1912">
        <v>2000</v>
      </c>
      <c r="E1912">
        <v>577</v>
      </c>
      <c r="F1912" t="s">
        <v>72</v>
      </c>
    </row>
    <row r="1913" spans="1:6" x14ac:dyDescent="0.3">
      <c r="A1913" s="20">
        <v>45790</v>
      </c>
      <c r="B1913">
        <v>14</v>
      </c>
      <c r="C1913" t="s">
        <v>125</v>
      </c>
      <c r="D1913">
        <v>105128</v>
      </c>
      <c r="E1913">
        <v>7030</v>
      </c>
      <c r="F1913" t="s">
        <v>38</v>
      </c>
    </row>
    <row r="1914" spans="1:6" x14ac:dyDescent="0.3">
      <c r="A1914" s="20">
        <v>45790</v>
      </c>
      <c r="B1914">
        <v>14</v>
      </c>
      <c r="C1914" t="s">
        <v>253</v>
      </c>
      <c r="D1914">
        <v>805</v>
      </c>
      <c r="E1914">
        <v>159</v>
      </c>
      <c r="F1914" t="s">
        <v>44</v>
      </c>
    </row>
    <row r="1915" spans="1:6" x14ac:dyDescent="0.3">
      <c r="A1915" s="20">
        <v>45790</v>
      </c>
      <c r="B1915">
        <v>14</v>
      </c>
      <c r="C1915" t="s">
        <v>235</v>
      </c>
      <c r="D1915">
        <v>7205</v>
      </c>
      <c r="E1915">
        <v>756</v>
      </c>
      <c r="F1915" t="s">
        <v>229</v>
      </c>
    </row>
    <row r="1916" spans="1:6" x14ac:dyDescent="0.3">
      <c r="A1916" s="20">
        <v>45790</v>
      </c>
      <c r="B1916">
        <v>15</v>
      </c>
      <c r="C1916" t="s">
        <v>73</v>
      </c>
      <c r="D1916">
        <v>0</v>
      </c>
      <c r="E1916">
        <v>0</v>
      </c>
    </row>
    <row r="1917" spans="1:6" x14ac:dyDescent="0.3">
      <c r="A1917" s="20">
        <v>45790</v>
      </c>
      <c r="B1917">
        <v>15</v>
      </c>
      <c r="C1917" t="s">
        <v>73</v>
      </c>
      <c r="D1917">
        <v>7</v>
      </c>
      <c r="E1917">
        <v>7</v>
      </c>
      <c r="F1917" t="s">
        <v>31</v>
      </c>
    </row>
    <row r="1918" spans="1:6" x14ac:dyDescent="0.3">
      <c r="A1918" s="20">
        <v>45790</v>
      </c>
      <c r="B1918">
        <v>15</v>
      </c>
      <c r="C1918" t="s">
        <v>73</v>
      </c>
      <c r="D1918">
        <v>0</v>
      </c>
      <c r="E1918">
        <v>0</v>
      </c>
      <c r="F1918" t="s">
        <v>86</v>
      </c>
    </row>
    <row r="1919" spans="1:6" x14ac:dyDescent="0.3">
      <c r="A1919" s="20">
        <v>45790</v>
      </c>
      <c r="B1919">
        <v>15</v>
      </c>
      <c r="C1919" t="s">
        <v>153</v>
      </c>
      <c r="D1919">
        <v>8920</v>
      </c>
      <c r="E1919">
        <v>329</v>
      </c>
      <c r="F1919" t="s">
        <v>248</v>
      </c>
    </row>
    <row r="1920" spans="1:6" x14ac:dyDescent="0.3">
      <c r="A1920" s="20">
        <v>45790</v>
      </c>
      <c r="B1920">
        <v>15</v>
      </c>
      <c r="C1920" t="s">
        <v>66</v>
      </c>
      <c r="D1920">
        <v>24799</v>
      </c>
      <c r="E1920">
        <v>1848</v>
      </c>
      <c r="F1920" t="s">
        <v>31</v>
      </c>
    </row>
    <row r="1921" spans="1:6" x14ac:dyDescent="0.3">
      <c r="A1921" s="20">
        <v>45790</v>
      </c>
      <c r="B1921">
        <v>15</v>
      </c>
      <c r="C1921" t="s">
        <v>157</v>
      </c>
      <c r="D1921">
        <v>11395</v>
      </c>
      <c r="E1921">
        <v>2844</v>
      </c>
      <c r="F1921" t="s">
        <v>31</v>
      </c>
    </row>
    <row r="1922" spans="1:6" x14ac:dyDescent="0.3">
      <c r="A1922" s="20">
        <v>45790</v>
      </c>
      <c r="B1922">
        <v>15</v>
      </c>
      <c r="C1922" t="s">
        <v>53</v>
      </c>
      <c r="D1922">
        <v>2437</v>
      </c>
      <c r="E1922">
        <v>83</v>
      </c>
      <c r="F1922" t="s">
        <v>31</v>
      </c>
    </row>
    <row r="1923" spans="1:6" x14ac:dyDescent="0.3">
      <c r="A1923" s="20">
        <v>45790</v>
      </c>
      <c r="B1923">
        <v>15</v>
      </c>
      <c r="C1923" t="s">
        <v>49</v>
      </c>
      <c r="D1923">
        <v>41311</v>
      </c>
      <c r="E1923">
        <v>2403</v>
      </c>
      <c r="F1923" t="s">
        <v>42</v>
      </c>
    </row>
    <row r="1924" spans="1:6" x14ac:dyDescent="0.3">
      <c r="A1924" s="20">
        <v>45790</v>
      </c>
      <c r="B1924">
        <v>15</v>
      </c>
      <c r="C1924" t="s">
        <v>245</v>
      </c>
      <c r="D1924">
        <v>52442</v>
      </c>
      <c r="E1924">
        <v>6836</v>
      </c>
      <c r="F1924" t="s">
        <v>31</v>
      </c>
    </row>
    <row r="1925" spans="1:6" x14ac:dyDescent="0.3">
      <c r="A1925" s="20">
        <v>45790</v>
      </c>
      <c r="B1925">
        <v>15</v>
      </c>
      <c r="C1925" t="s">
        <v>232</v>
      </c>
      <c r="D1925">
        <v>3583</v>
      </c>
      <c r="E1925">
        <v>347</v>
      </c>
      <c r="F1925" t="s">
        <v>39</v>
      </c>
    </row>
    <row r="1926" spans="1:6" x14ac:dyDescent="0.3">
      <c r="A1926" s="20">
        <v>45790</v>
      </c>
      <c r="B1926">
        <v>15</v>
      </c>
      <c r="C1926" t="s">
        <v>265</v>
      </c>
      <c r="D1926">
        <v>490</v>
      </c>
      <c r="E1926">
        <v>25</v>
      </c>
      <c r="F1926" t="s">
        <v>42</v>
      </c>
    </row>
    <row r="1927" spans="1:6" x14ac:dyDescent="0.3">
      <c r="A1927" s="20">
        <v>45790</v>
      </c>
      <c r="B1927">
        <v>15</v>
      </c>
      <c r="C1927" t="s">
        <v>155</v>
      </c>
      <c r="D1927">
        <v>234</v>
      </c>
      <c r="E1927">
        <v>58</v>
      </c>
      <c r="F1927" t="s">
        <v>229</v>
      </c>
    </row>
    <row r="1928" spans="1:6" x14ac:dyDescent="0.3">
      <c r="A1928" s="20">
        <v>45790</v>
      </c>
      <c r="B1928">
        <v>15</v>
      </c>
      <c r="C1928" t="s">
        <v>250</v>
      </c>
      <c r="D1928">
        <v>76</v>
      </c>
      <c r="E1928">
        <v>10</v>
      </c>
      <c r="F1928" t="s">
        <v>74</v>
      </c>
    </row>
    <row r="1929" spans="1:6" x14ac:dyDescent="0.3">
      <c r="A1929" s="20">
        <v>45790</v>
      </c>
      <c r="B1929">
        <v>15</v>
      </c>
      <c r="C1929" t="s">
        <v>51</v>
      </c>
      <c r="D1929">
        <v>39639</v>
      </c>
      <c r="E1929">
        <v>1363</v>
      </c>
      <c r="F1929" t="s">
        <v>38</v>
      </c>
    </row>
    <row r="1930" spans="1:6" x14ac:dyDescent="0.3">
      <c r="A1930" s="20">
        <v>45790</v>
      </c>
      <c r="B1930">
        <v>15</v>
      </c>
      <c r="C1930" t="s">
        <v>251</v>
      </c>
      <c r="D1930">
        <v>3673</v>
      </c>
      <c r="E1930">
        <v>439</v>
      </c>
      <c r="F1930" t="s">
        <v>47</v>
      </c>
    </row>
    <row r="1931" spans="1:6" x14ac:dyDescent="0.3">
      <c r="A1931" s="20">
        <v>45790</v>
      </c>
      <c r="B1931">
        <v>15</v>
      </c>
      <c r="C1931" t="s">
        <v>235</v>
      </c>
      <c r="D1931">
        <v>11051</v>
      </c>
      <c r="E1931">
        <v>829</v>
      </c>
      <c r="F1931" t="s">
        <v>39</v>
      </c>
    </row>
    <row r="1932" spans="1:6" x14ac:dyDescent="0.3">
      <c r="A1932" s="20">
        <v>45790</v>
      </c>
      <c r="B1932">
        <v>16</v>
      </c>
      <c r="C1932" t="s">
        <v>73</v>
      </c>
      <c r="D1932">
        <v>0</v>
      </c>
      <c r="E1932">
        <v>0</v>
      </c>
      <c r="F1932" t="s">
        <v>229</v>
      </c>
    </row>
    <row r="1933" spans="1:6" x14ac:dyDescent="0.3">
      <c r="A1933" s="20">
        <v>45790</v>
      </c>
      <c r="B1933">
        <v>16</v>
      </c>
      <c r="C1933" t="s">
        <v>242</v>
      </c>
      <c r="D1933">
        <v>38983</v>
      </c>
      <c r="E1933">
        <v>3826</v>
      </c>
      <c r="F1933" t="s">
        <v>31</v>
      </c>
    </row>
    <row r="1934" spans="1:6" x14ac:dyDescent="0.3">
      <c r="A1934" s="20">
        <v>45790</v>
      </c>
      <c r="B1934">
        <v>16</v>
      </c>
      <c r="C1934" t="s">
        <v>35</v>
      </c>
      <c r="D1934">
        <v>4630</v>
      </c>
      <c r="E1934">
        <v>208</v>
      </c>
      <c r="F1934" t="s">
        <v>31</v>
      </c>
    </row>
    <row r="1935" spans="1:6" x14ac:dyDescent="0.3">
      <c r="A1935" s="20">
        <v>45790</v>
      </c>
      <c r="B1935">
        <v>16</v>
      </c>
      <c r="C1935" t="s">
        <v>35</v>
      </c>
      <c r="D1935">
        <v>146</v>
      </c>
      <c r="E1935">
        <v>22</v>
      </c>
      <c r="F1935" t="s">
        <v>42</v>
      </c>
    </row>
    <row r="1936" spans="1:6" x14ac:dyDescent="0.3">
      <c r="A1936" s="20">
        <v>45790</v>
      </c>
      <c r="B1936">
        <v>16</v>
      </c>
      <c r="C1936" t="s">
        <v>50</v>
      </c>
      <c r="D1936">
        <v>323</v>
      </c>
      <c r="E1936">
        <v>55</v>
      </c>
      <c r="F1936" t="s">
        <v>31</v>
      </c>
    </row>
    <row r="1937" spans="1:6" x14ac:dyDescent="0.3">
      <c r="A1937" s="20">
        <v>45790</v>
      </c>
      <c r="B1937">
        <v>16</v>
      </c>
      <c r="C1937" t="s">
        <v>246</v>
      </c>
      <c r="D1937">
        <v>37846</v>
      </c>
      <c r="E1937">
        <v>5023</v>
      </c>
      <c r="F1937" t="s">
        <v>31</v>
      </c>
    </row>
    <row r="1938" spans="1:6" x14ac:dyDescent="0.3">
      <c r="A1938" s="20">
        <v>45790</v>
      </c>
      <c r="B1938">
        <v>16</v>
      </c>
      <c r="C1938" t="s">
        <v>71</v>
      </c>
      <c r="D1938">
        <v>6636</v>
      </c>
      <c r="E1938">
        <v>702</v>
      </c>
      <c r="F1938" t="s">
        <v>229</v>
      </c>
    </row>
    <row r="1939" spans="1:6" x14ac:dyDescent="0.3">
      <c r="A1939" s="20">
        <v>45790</v>
      </c>
      <c r="B1939">
        <v>16</v>
      </c>
      <c r="C1939" t="s">
        <v>232</v>
      </c>
      <c r="D1939">
        <v>421</v>
      </c>
      <c r="E1939">
        <v>46</v>
      </c>
      <c r="F1939" t="s">
        <v>68</v>
      </c>
    </row>
    <row r="1940" spans="1:6" x14ac:dyDescent="0.3">
      <c r="A1940" s="20">
        <v>45790</v>
      </c>
      <c r="B1940">
        <v>16</v>
      </c>
      <c r="C1940" t="s">
        <v>233</v>
      </c>
      <c r="D1940">
        <v>15362</v>
      </c>
      <c r="E1940">
        <v>2463</v>
      </c>
      <c r="F1940" t="s">
        <v>34</v>
      </c>
    </row>
    <row r="1941" spans="1:6" x14ac:dyDescent="0.3">
      <c r="A1941" s="20">
        <v>45790</v>
      </c>
      <c r="B1941">
        <v>16</v>
      </c>
      <c r="C1941" t="s">
        <v>238</v>
      </c>
      <c r="D1941">
        <v>8572</v>
      </c>
      <c r="E1941">
        <v>795</v>
      </c>
      <c r="F1941" t="s">
        <v>32</v>
      </c>
    </row>
    <row r="1942" spans="1:6" x14ac:dyDescent="0.3">
      <c r="A1942" s="20">
        <v>45790</v>
      </c>
      <c r="B1942">
        <v>16</v>
      </c>
      <c r="C1942" t="s">
        <v>250</v>
      </c>
      <c r="D1942">
        <v>2104</v>
      </c>
      <c r="E1942">
        <v>305</v>
      </c>
      <c r="F1942" t="s">
        <v>164</v>
      </c>
    </row>
    <row r="1943" spans="1:6" x14ac:dyDescent="0.3">
      <c r="A1943" s="20">
        <v>45790</v>
      </c>
      <c r="B1943">
        <v>16</v>
      </c>
      <c r="C1943" t="s">
        <v>160</v>
      </c>
      <c r="D1943">
        <v>188</v>
      </c>
      <c r="E1943">
        <v>16</v>
      </c>
      <c r="F1943" t="s">
        <v>44</v>
      </c>
    </row>
    <row r="1944" spans="1:6" x14ac:dyDescent="0.3">
      <c r="A1944" s="20">
        <v>45790</v>
      </c>
      <c r="B1944">
        <v>16</v>
      </c>
      <c r="C1944" t="s">
        <v>37</v>
      </c>
      <c r="D1944">
        <v>49308</v>
      </c>
      <c r="E1944">
        <v>1245</v>
      </c>
      <c r="F1944" t="s">
        <v>38</v>
      </c>
    </row>
    <row r="1945" spans="1:6" x14ac:dyDescent="0.3">
      <c r="A1945" s="20">
        <v>45790</v>
      </c>
      <c r="B1945">
        <v>16</v>
      </c>
      <c r="C1945" t="s">
        <v>126</v>
      </c>
      <c r="D1945">
        <v>6</v>
      </c>
      <c r="E1945">
        <v>6</v>
      </c>
      <c r="F1945" t="s">
        <v>38</v>
      </c>
    </row>
    <row r="1946" spans="1:6" x14ac:dyDescent="0.3">
      <c r="A1946" s="20">
        <v>45790</v>
      </c>
      <c r="B1946">
        <v>17</v>
      </c>
      <c r="C1946" t="s">
        <v>73</v>
      </c>
      <c r="D1946">
        <v>0</v>
      </c>
      <c r="E1946">
        <v>0</v>
      </c>
      <c r="F1946" t="s">
        <v>39</v>
      </c>
    </row>
    <row r="1947" spans="1:6" x14ac:dyDescent="0.3">
      <c r="A1947" s="20">
        <v>45790</v>
      </c>
      <c r="B1947">
        <v>17</v>
      </c>
      <c r="C1947" t="s">
        <v>73</v>
      </c>
      <c r="D1947">
        <v>0</v>
      </c>
      <c r="E1947">
        <v>0</v>
      </c>
      <c r="F1947" t="s">
        <v>231</v>
      </c>
    </row>
    <row r="1948" spans="1:6" x14ac:dyDescent="0.3">
      <c r="A1948" s="20">
        <v>45790</v>
      </c>
      <c r="B1948">
        <v>17</v>
      </c>
      <c r="C1948" t="s">
        <v>73</v>
      </c>
      <c r="D1948">
        <v>0</v>
      </c>
      <c r="E1948">
        <v>0</v>
      </c>
      <c r="F1948" t="s">
        <v>38</v>
      </c>
    </row>
    <row r="1949" spans="1:6" x14ac:dyDescent="0.3">
      <c r="A1949" s="20">
        <v>45790</v>
      </c>
      <c r="B1949">
        <v>17</v>
      </c>
      <c r="C1949" t="s">
        <v>73</v>
      </c>
      <c r="D1949">
        <v>0</v>
      </c>
      <c r="E1949">
        <v>0</v>
      </c>
      <c r="F1949" t="s">
        <v>43</v>
      </c>
    </row>
    <row r="1950" spans="1:6" x14ac:dyDescent="0.3">
      <c r="A1950" s="20">
        <v>45790</v>
      </c>
      <c r="B1950">
        <v>17</v>
      </c>
      <c r="C1950" t="s">
        <v>263</v>
      </c>
      <c r="D1950">
        <v>15393</v>
      </c>
      <c r="E1950">
        <v>1143</v>
      </c>
      <c r="F1950" t="s">
        <v>45</v>
      </c>
    </row>
    <row r="1951" spans="1:6" x14ac:dyDescent="0.3">
      <c r="A1951" s="20">
        <v>45790</v>
      </c>
      <c r="B1951">
        <v>17</v>
      </c>
      <c r="C1951" t="s">
        <v>228</v>
      </c>
      <c r="D1951">
        <v>16742</v>
      </c>
      <c r="E1951">
        <v>2698</v>
      </c>
      <c r="F1951" t="s">
        <v>231</v>
      </c>
    </row>
    <row r="1952" spans="1:6" x14ac:dyDescent="0.3">
      <c r="A1952" s="20">
        <v>45790</v>
      </c>
      <c r="B1952">
        <v>17</v>
      </c>
      <c r="C1952" t="s">
        <v>159</v>
      </c>
      <c r="D1952">
        <v>22703</v>
      </c>
      <c r="E1952">
        <v>620</v>
      </c>
      <c r="F1952" t="s">
        <v>31</v>
      </c>
    </row>
    <row r="1953" spans="1:6" x14ac:dyDescent="0.3">
      <c r="A1953" s="20">
        <v>45790</v>
      </c>
      <c r="B1953">
        <v>17</v>
      </c>
      <c r="C1953" t="s">
        <v>52</v>
      </c>
      <c r="D1953">
        <v>41452</v>
      </c>
      <c r="E1953">
        <v>2012</v>
      </c>
      <c r="F1953" t="s">
        <v>31</v>
      </c>
    </row>
    <row r="1954" spans="1:6" x14ac:dyDescent="0.3">
      <c r="A1954" s="20">
        <v>45790</v>
      </c>
      <c r="B1954">
        <v>17</v>
      </c>
      <c r="C1954" t="s">
        <v>48</v>
      </c>
      <c r="D1954">
        <v>0</v>
      </c>
      <c r="E1954">
        <v>0</v>
      </c>
      <c r="F1954" t="s">
        <v>259</v>
      </c>
    </row>
    <row r="1955" spans="1:6" x14ac:dyDescent="0.3">
      <c r="A1955" s="20">
        <v>45790</v>
      </c>
      <c r="B1955">
        <v>17</v>
      </c>
      <c r="C1955" t="s">
        <v>139</v>
      </c>
      <c r="D1955">
        <v>30273</v>
      </c>
      <c r="E1955">
        <v>501</v>
      </c>
      <c r="F1955" t="s">
        <v>46</v>
      </c>
    </row>
    <row r="1956" spans="1:6" x14ac:dyDescent="0.3">
      <c r="A1956" s="20">
        <v>45790</v>
      </c>
      <c r="B1956">
        <v>17</v>
      </c>
      <c r="C1956" t="s">
        <v>155</v>
      </c>
      <c r="D1956">
        <v>6</v>
      </c>
      <c r="E1956">
        <v>1</v>
      </c>
      <c r="F1956" t="s">
        <v>32</v>
      </c>
    </row>
    <row r="1957" spans="1:6" x14ac:dyDescent="0.3">
      <c r="A1957" s="20">
        <v>45790</v>
      </c>
      <c r="B1957">
        <v>17</v>
      </c>
      <c r="C1957" t="s">
        <v>160</v>
      </c>
      <c r="D1957">
        <v>5</v>
      </c>
      <c r="E1957">
        <v>1</v>
      </c>
      <c r="F1957" t="s">
        <v>68</v>
      </c>
    </row>
    <row r="1958" spans="1:6" x14ac:dyDescent="0.3">
      <c r="A1958" s="20">
        <v>45790</v>
      </c>
      <c r="B1958">
        <v>17</v>
      </c>
      <c r="C1958" t="s">
        <v>160</v>
      </c>
      <c r="D1958">
        <v>169</v>
      </c>
      <c r="E1958">
        <v>33</v>
      </c>
      <c r="F1958" t="s">
        <v>32</v>
      </c>
    </row>
    <row r="1959" spans="1:6" x14ac:dyDescent="0.3">
      <c r="A1959" s="20">
        <v>45790</v>
      </c>
      <c r="B1959">
        <v>17</v>
      </c>
      <c r="C1959" t="s">
        <v>160</v>
      </c>
      <c r="D1959">
        <v>4281</v>
      </c>
      <c r="E1959">
        <v>419</v>
      </c>
      <c r="F1959" t="s">
        <v>234</v>
      </c>
    </row>
    <row r="1960" spans="1:6" x14ac:dyDescent="0.3">
      <c r="A1960" s="20">
        <v>45790</v>
      </c>
      <c r="B1960">
        <v>17</v>
      </c>
      <c r="C1960" t="s">
        <v>160</v>
      </c>
      <c r="D1960">
        <v>79</v>
      </c>
      <c r="E1960">
        <v>16</v>
      </c>
      <c r="F1960" t="s">
        <v>161</v>
      </c>
    </row>
    <row r="1961" spans="1:6" x14ac:dyDescent="0.3">
      <c r="A1961" s="20">
        <v>45790</v>
      </c>
      <c r="B1961">
        <v>17</v>
      </c>
      <c r="C1961" t="s">
        <v>160</v>
      </c>
      <c r="D1961">
        <v>1932</v>
      </c>
      <c r="E1961">
        <v>536</v>
      </c>
      <c r="F1961" t="s">
        <v>72</v>
      </c>
    </row>
    <row r="1962" spans="1:6" x14ac:dyDescent="0.3">
      <c r="A1962" s="20">
        <v>45790</v>
      </c>
      <c r="B1962">
        <v>17</v>
      </c>
      <c r="C1962" t="s">
        <v>162</v>
      </c>
      <c r="D1962">
        <v>9271</v>
      </c>
      <c r="E1962">
        <v>1008</v>
      </c>
      <c r="F1962" t="s">
        <v>47</v>
      </c>
    </row>
    <row r="1963" spans="1:6" x14ac:dyDescent="0.3">
      <c r="A1963" s="20">
        <v>45790</v>
      </c>
      <c r="B1963">
        <v>17</v>
      </c>
      <c r="C1963" t="s">
        <v>125</v>
      </c>
      <c r="D1963">
        <v>109340</v>
      </c>
      <c r="E1963">
        <v>6275</v>
      </c>
      <c r="F1963" t="s">
        <v>38</v>
      </c>
    </row>
    <row r="1964" spans="1:6" x14ac:dyDescent="0.3">
      <c r="A1964" s="20">
        <v>45790</v>
      </c>
      <c r="B1964">
        <v>17</v>
      </c>
      <c r="C1964" t="s">
        <v>240</v>
      </c>
      <c r="D1964">
        <v>20083</v>
      </c>
      <c r="E1964">
        <v>888</v>
      </c>
      <c r="F1964" t="s">
        <v>38</v>
      </c>
    </row>
    <row r="1965" spans="1:6" x14ac:dyDescent="0.3">
      <c r="A1965" s="20">
        <v>45790</v>
      </c>
      <c r="B1965">
        <v>17</v>
      </c>
      <c r="C1965" t="s">
        <v>40</v>
      </c>
      <c r="D1965">
        <v>108162</v>
      </c>
      <c r="E1965">
        <v>6604</v>
      </c>
      <c r="F1965" t="s">
        <v>38</v>
      </c>
    </row>
    <row r="1966" spans="1:6" x14ac:dyDescent="0.3">
      <c r="A1966" s="20">
        <v>45790</v>
      </c>
      <c r="B1966">
        <v>17</v>
      </c>
      <c r="C1966" t="s">
        <v>235</v>
      </c>
      <c r="D1966">
        <v>7566</v>
      </c>
      <c r="E1966">
        <v>859</v>
      </c>
      <c r="F1966" t="s">
        <v>229</v>
      </c>
    </row>
    <row r="1967" spans="1:6" x14ac:dyDescent="0.3">
      <c r="A1967" s="20">
        <v>45790</v>
      </c>
      <c r="B1967">
        <v>18</v>
      </c>
      <c r="C1967" t="s">
        <v>73</v>
      </c>
      <c r="D1967">
        <v>5</v>
      </c>
      <c r="E1967">
        <v>5</v>
      </c>
      <c r="F1967" t="s">
        <v>31</v>
      </c>
    </row>
    <row r="1968" spans="1:6" x14ac:dyDescent="0.3">
      <c r="A1968" s="20">
        <v>45790</v>
      </c>
      <c r="B1968">
        <v>18</v>
      </c>
      <c r="C1968" t="s">
        <v>153</v>
      </c>
      <c r="D1968">
        <v>3514</v>
      </c>
      <c r="E1968">
        <v>121</v>
      </c>
      <c r="F1968" t="s">
        <v>248</v>
      </c>
    </row>
    <row r="1969" spans="1:6" x14ac:dyDescent="0.3">
      <c r="A1969" s="20">
        <v>45790</v>
      </c>
      <c r="B1969">
        <v>18</v>
      </c>
      <c r="C1969" t="s">
        <v>156</v>
      </c>
      <c r="D1969">
        <v>3455</v>
      </c>
      <c r="E1969">
        <v>491</v>
      </c>
      <c r="F1969" t="s">
        <v>229</v>
      </c>
    </row>
    <row r="1970" spans="1:6" x14ac:dyDescent="0.3">
      <c r="A1970" s="20">
        <v>45790</v>
      </c>
      <c r="B1970">
        <v>18</v>
      </c>
      <c r="C1970" t="s">
        <v>228</v>
      </c>
      <c r="D1970">
        <v>1</v>
      </c>
      <c r="E1970">
        <v>1</v>
      </c>
      <c r="F1970" t="s">
        <v>77</v>
      </c>
    </row>
    <row r="1971" spans="1:6" x14ac:dyDescent="0.3">
      <c r="A1971" s="20">
        <v>45790</v>
      </c>
      <c r="B1971">
        <v>18</v>
      </c>
      <c r="C1971" t="s">
        <v>66</v>
      </c>
      <c r="D1971">
        <v>67865</v>
      </c>
      <c r="E1971">
        <v>2737</v>
      </c>
      <c r="F1971" t="s">
        <v>31</v>
      </c>
    </row>
    <row r="1972" spans="1:6" x14ac:dyDescent="0.3">
      <c r="A1972" s="20">
        <v>45790</v>
      </c>
      <c r="B1972">
        <v>18</v>
      </c>
      <c r="C1972" t="s">
        <v>52</v>
      </c>
      <c r="D1972">
        <v>37</v>
      </c>
      <c r="E1972">
        <v>37</v>
      </c>
      <c r="F1972" t="s">
        <v>259</v>
      </c>
    </row>
    <row r="1973" spans="1:6" x14ac:dyDescent="0.3">
      <c r="A1973" s="20">
        <v>45790</v>
      </c>
      <c r="B1973">
        <v>18</v>
      </c>
      <c r="C1973" t="s">
        <v>53</v>
      </c>
      <c r="D1973">
        <v>958</v>
      </c>
      <c r="E1973">
        <v>23</v>
      </c>
      <c r="F1973" t="s">
        <v>31</v>
      </c>
    </row>
    <row r="1974" spans="1:6" x14ac:dyDescent="0.3">
      <c r="A1974" s="20">
        <v>45790</v>
      </c>
      <c r="B1974">
        <v>18</v>
      </c>
      <c r="C1974" t="s">
        <v>152</v>
      </c>
      <c r="D1974">
        <v>6274</v>
      </c>
      <c r="E1974">
        <v>947</v>
      </c>
      <c r="F1974" t="s">
        <v>252</v>
      </c>
    </row>
    <row r="1975" spans="1:6" x14ac:dyDescent="0.3">
      <c r="A1975" s="20">
        <v>45790</v>
      </c>
      <c r="B1975">
        <v>18</v>
      </c>
      <c r="C1975" t="s">
        <v>232</v>
      </c>
      <c r="D1975">
        <v>3150</v>
      </c>
      <c r="E1975">
        <v>210</v>
      </c>
      <c r="F1975" t="s">
        <v>39</v>
      </c>
    </row>
    <row r="1976" spans="1:6" x14ac:dyDescent="0.3">
      <c r="A1976" s="20">
        <v>45790</v>
      </c>
      <c r="B1976">
        <v>18</v>
      </c>
      <c r="C1976" t="s">
        <v>250</v>
      </c>
      <c r="D1976">
        <v>45</v>
      </c>
      <c r="E1976">
        <v>5</v>
      </c>
      <c r="F1976" t="s">
        <v>74</v>
      </c>
    </row>
    <row r="1977" spans="1:6" x14ac:dyDescent="0.3">
      <c r="A1977" s="20">
        <v>45790</v>
      </c>
      <c r="B1977">
        <v>18</v>
      </c>
      <c r="C1977" t="s">
        <v>40</v>
      </c>
      <c r="D1977">
        <v>4665</v>
      </c>
      <c r="E1977">
        <v>284</v>
      </c>
    </row>
    <row r="1978" spans="1:6" x14ac:dyDescent="0.3">
      <c r="A1978" s="20">
        <v>45790</v>
      </c>
      <c r="B1978">
        <v>18</v>
      </c>
      <c r="C1978" t="s">
        <v>251</v>
      </c>
      <c r="D1978">
        <v>556</v>
      </c>
      <c r="E1978">
        <v>52</v>
      </c>
      <c r="F1978" t="s">
        <v>47</v>
      </c>
    </row>
    <row r="1979" spans="1:6" x14ac:dyDescent="0.3">
      <c r="A1979" s="20">
        <v>45790</v>
      </c>
      <c r="B1979">
        <v>18</v>
      </c>
      <c r="C1979" t="s">
        <v>235</v>
      </c>
      <c r="D1979">
        <v>5233</v>
      </c>
      <c r="E1979">
        <v>420</v>
      </c>
      <c r="F1979" t="s">
        <v>39</v>
      </c>
    </row>
    <row r="1980" spans="1:6" x14ac:dyDescent="0.3">
      <c r="A1980" s="20">
        <v>45790</v>
      </c>
      <c r="B1980">
        <v>19</v>
      </c>
      <c r="C1980" t="s">
        <v>73</v>
      </c>
      <c r="D1980">
        <v>0</v>
      </c>
      <c r="E1980">
        <v>0</v>
      </c>
      <c r="F1980" t="s">
        <v>229</v>
      </c>
    </row>
    <row r="1981" spans="1:6" x14ac:dyDescent="0.3">
      <c r="A1981" s="20">
        <v>45790</v>
      </c>
      <c r="B1981">
        <v>19</v>
      </c>
      <c r="C1981" t="s">
        <v>242</v>
      </c>
      <c r="D1981">
        <v>21761</v>
      </c>
      <c r="E1981">
        <v>1720</v>
      </c>
      <c r="F1981" t="s">
        <v>31</v>
      </c>
    </row>
    <row r="1982" spans="1:6" x14ac:dyDescent="0.3">
      <c r="A1982" s="20">
        <v>45790</v>
      </c>
      <c r="B1982">
        <v>19</v>
      </c>
      <c r="C1982" t="s">
        <v>236</v>
      </c>
      <c r="D1982">
        <v>49027</v>
      </c>
      <c r="E1982">
        <v>3673</v>
      </c>
      <c r="F1982" t="s">
        <v>31</v>
      </c>
    </row>
    <row r="1983" spans="1:6" x14ac:dyDescent="0.3">
      <c r="A1983" s="20">
        <v>45790</v>
      </c>
      <c r="B1983">
        <v>19</v>
      </c>
      <c r="C1983" t="s">
        <v>35</v>
      </c>
      <c r="D1983">
        <v>2611</v>
      </c>
      <c r="E1983">
        <v>67</v>
      </c>
      <c r="F1983" t="s">
        <v>31</v>
      </c>
    </row>
    <row r="1984" spans="1:6" x14ac:dyDescent="0.3">
      <c r="A1984" s="20">
        <v>45790</v>
      </c>
      <c r="B1984">
        <v>19</v>
      </c>
      <c r="C1984" t="s">
        <v>237</v>
      </c>
      <c r="D1984">
        <v>20427</v>
      </c>
      <c r="E1984">
        <v>1688</v>
      </c>
      <c r="F1984" t="s">
        <v>31</v>
      </c>
    </row>
    <row r="1985" spans="1:6" x14ac:dyDescent="0.3">
      <c r="A1985" s="20">
        <v>45790</v>
      </c>
      <c r="B1985">
        <v>19</v>
      </c>
      <c r="C1985" t="s">
        <v>50</v>
      </c>
      <c r="D1985">
        <v>200</v>
      </c>
      <c r="E1985">
        <v>34</v>
      </c>
      <c r="F1985" t="s">
        <v>31</v>
      </c>
    </row>
    <row r="1986" spans="1:6" x14ac:dyDescent="0.3">
      <c r="A1986" s="20">
        <v>45790</v>
      </c>
      <c r="B1986">
        <v>19</v>
      </c>
      <c r="C1986" t="s">
        <v>232</v>
      </c>
      <c r="D1986">
        <v>268</v>
      </c>
      <c r="E1986">
        <v>17</v>
      </c>
      <c r="F1986" t="s">
        <v>68</v>
      </c>
    </row>
    <row r="1987" spans="1:6" x14ac:dyDescent="0.3">
      <c r="A1987" s="20">
        <v>45790</v>
      </c>
      <c r="B1987">
        <v>19</v>
      </c>
      <c r="C1987" t="s">
        <v>238</v>
      </c>
      <c r="D1987">
        <v>4412</v>
      </c>
      <c r="E1987">
        <v>199</v>
      </c>
      <c r="F1987" t="s">
        <v>32</v>
      </c>
    </row>
    <row r="1988" spans="1:6" x14ac:dyDescent="0.3">
      <c r="A1988" s="20">
        <v>45790</v>
      </c>
      <c r="B1988">
        <v>19</v>
      </c>
      <c r="C1988" t="s">
        <v>250</v>
      </c>
      <c r="D1988">
        <v>14</v>
      </c>
      <c r="E1988">
        <v>1</v>
      </c>
      <c r="F1988" t="s">
        <v>85</v>
      </c>
    </row>
    <row r="1989" spans="1:6" x14ac:dyDescent="0.3">
      <c r="A1989" s="20">
        <v>45790</v>
      </c>
      <c r="B1989">
        <v>19</v>
      </c>
      <c r="C1989" t="s">
        <v>250</v>
      </c>
      <c r="D1989">
        <v>1426</v>
      </c>
      <c r="E1989">
        <v>122</v>
      </c>
      <c r="F1989" t="s">
        <v>164</v>
      </c>
    </row>
    <row r="1990" spans="1:6" x14ac:dyDescent="0.3">
      <c r="A1990" s="20">
        <v>45790</v>
      </c>
      <c r="B1990">
        <v>19</v>
      </c>
      <c r="C1990" t="s">
        <v>160</v>
      </c>
      <c r="D1990">
        <v>311</v>
      </c>
      <c r="E1990">
        <v>14</v>
      </c>
      <c r="F1990" t="s">
        <v>44</v>
      </c>
    </row>
    <row r="1991" spans="1:6" x14ac:dyDescent="0.3">
      <c r="A1991" s="20">
        <v>45790</v>
      </c>
      <c r="B1991">
        <v>19</v>
      </c>
      <c r="C1991" t="s">
        <v>126</v>
      </c>
      <c r="D1991">
        <v>10</v>
      </c>
      <c r="E1991">
        <v>10</v>
      </c>
      <c r="F1991" t="s">
        <v>38</v>
      </c>
    </row>
    <row r="1992" spans="1:6" x14ac:dyDescent="0.3">
      <c r="A1992" s="20">
        <v>45790</v>
      </c>
      <c r="B1992">
        <v>19</v>
      </c>
      <c r="C1992" t="s">
        <v>165</v>
      </c>
      <c r="D1992">
        <v>1</v>
      </c>
      <c r="E1992">
        <v>1</v>
      </c>
      <c r="F1992" t="s">
        <v>38</v>
      </c>
    </row>
    <row r="1993" spans="1:6" x14ac:dyDescent="0.3">
      <c r="A1993" s="20">
        <v>45790</v>
      </c>
      <c r="B1993">
        <v>20</v>
      </c>
      <c r="C1993" t="s">
        <v>73</v>
      </c>
      <c r="D1993">
        <v>0</v>
      </c>
      <c r="E1993">
        <v>0</v>
      </c>
      <c r="F1993" t="s">
        <v>39</v>
      </c>
    </row>
    <row r="1994" spans="1:6" x14ac:dyDescent="0.3">
      <c r="A1994" s="20">
        <v>45790</v>
      </c>
      <c r="B1994">
        <v>20</v>
      </c>
      <c r="C1994" t="s">
        <v>73</v>
      </c>
      <c r="D1994">
        <v>0</v>
      </c>
      <c r="E1994">
        <v>0</v>
      </c>
      <c r="F1994" t="s">
        <v>74</v>
      </c>
    </row>
    <row r="1995" spans="1:6" x14ac:dyDescent="0.3">
      <c r="A1995" s="20">
        <v>45790</v>
      </c>
      <c r="B1995">
        <v>20</v>
      </c>
      <c r="C1995" t="s">
        <v>73</v>
      </c>
      <c r="D1995">
        <v>0</v>
      </c>
      <c r="E1995">
        <v>0</v>
      </c>
      <c r="F1995" t="s">
        <v>231</v>
      </c>
    </row>
    <row r="1996" spans="1:6" x14ac:dyDescent="0.3">
      <c r="A1996" s="20">
        <v>45790</v>
      </c>
      <c r="B1996">
        <v>20</v>
      </c>
      <c r="C1996" t="s">
        <v>73</v>
      </c>
      <c r="D1996">
        <v>0</v>
      </c>
      <c r="E1996">
        <v>0</v>
      </c>
      <c r="F1996" t="s">
        <v>38</v>
      </c>
    </row>
    <row r="1997" spans="1:6" x14ac:dyDescent="0.3">
      <c r="A1997" s="20">
        <v>45790</v>
      </c>
      <c r="B1997">
        <v>20</v>
      </c>
      <c r="C1997" t="s">
        <v>73</v>
      </c>
      <c r="D1997">
        <v>0</v>
      </c>
      <c r="E1997">
        <v>0</v>
      </c>
      <c r="F1997" t="s">
        <v>43</v>
      </c>
    </row>
    <row r="1998" spans="1:6" x14ac:dyDescent="0.3">
      <c r="A1998" s="20">
        <v>45790</v>
      </c>
      <c r="B1998">
        <v>20</v>
      </c>
      <c r="C1998" t="s">
        <v>156</v>
      </c>
      <c r="D1998">
        <v>3677</v>
      </c>
      <c r="E1998">
        <v>695</v>
      </c>
      <c r="F1998" t="s">
        <v>45</v>
      </c>
    </row>
    <row r="1999" spans="1:6" x14ac:dyDescent="0.3">
      <c r="A1999" s="20">
        <v>45790</v>
      </c>
      <c r="B1999">
        <v>20</v>
      </c>
      <c r="C1999" t="s">
        <v>228</v>
      </c>
      <c r="D1999">
        <v>3458</v>
      </c>
      <c r="E1999">
        <v>497</v>
      </c>
      <c r="F1999" t="s">
        <v>231</v>
      </c>
    </row>
    <row r="2000" spans="1:6" x14ac:dyDescent="0.3">
      <c r="A2000" s="20">
        <v>45790</v>
      </c>
      <c r="B2000">
        <v>20</v>
      </c>
      <c r="C2000" t="s">
        <v>159</v>
      </c>
      <c r="D2000">
        <v>15396</v>
      </c>
      <c r="E2000">
        <v>287</v>
      </c>
      <c r="F2000" t="s">
        <v>31</v>
      </c>
    </row>
    <row r="2001" spans="1:6" x14ac:dyDescent="0.3">
      <c r="A2001" s="20">
        <v>45790</v>
      </c>
      <c r="B2001">
        <v>20</v>
      </c>
      <c r="C2001" t="s">
        <v>158</v>
      </c>
      <c r="D2001">
        <v>1836</v>
      </c>
      <c r="E2001">
        <v>69</v>
      </c>
      <c r="F2001" t="s">
        <v>31</v>
      </c>
    </row>
    <row r="2002" spans="1:6" x14ac:dyDescent="0.3">
      <c r="A2002" s="20">
        <v>45790</v>
      </c>
      <c r="B2002">
        <v>20</v>
      </c>
      <c r="C2002" t="s">
        <v>52</v>
      </c>
      <c r="D2002">
        <v>27330</v>
      </c>
      <c r="E2002">
        <v>704</v>
      </c>
      <c r="F2002" t="s">
        <v>31</v>
      </c>
    </row>
    <row r="2003" spans="1:6" x14ac:dyDescent="0.3">
      <c r="A2003" s="20">
        <v>45790</v>
      </c>
      <c r="B2003">
        <v>20</v>
      </c>
      <c r="C2003" t="s">
        <v>48</v>
      </c>
      <c r="D2003">
        <v>0</v>
      </c>
      <c r="E2003">
        <v>0</v>
      </c>
      <c r="F2003" t="s">
        <v>259</v>
      </c>
    </row>
    <row r="2004" spans="1:6" x14ac:dyDescent="0.3">
      <c r="A2004" s="20">
        <v>45790</v>
      </c>
      <c r="B2004">
        <v>20</v>
      </c>
      <c r="C2004" t="s">
        <v>160</v>
      </c>
      <c r="D2004">
        <v>1462</v>
      </c>
      <c r="E2004">
        <v>352</v>
      </c>
      <c r="F2004" t="s">
        <v>72</v>
      </c>
    </row>
    <row r="2005" spans="1:6" x14ac:dyDescent="0.3">
      <c r="A2005" s="20">
        <v>45790</v>
      </c>
      <c r="B2005">
        <v>20</v>
      </c>
      <c r="C2005" t="s">
        <v>160</v>
      </c>
      <c r="D2005">
        <v>4688</v>
      </c>
      <c r="E2005">
        <v>929</v>
      </c>
      <c r="F2005" t="s">
        <v>43</v>
      </c>
    </row>
    <row r="2006" spans="1:6" x14ac:dyDescent="0.3">
      <c r="A2006" s="20">
        <v>45790</v>
      </c>
      <c r="B2006">
        <v>20</v>
      </c>
      <c r="C2006" t="s">
        <v>162</v>
      </c>
      <c r="D2006">
        <v>1116</v>
      </c>
      <c r="E2006">
        <v>233</v>
      </c>
      <c r="F2006" t="s">
        <v>47</v>
      </c>
    </row>
    <row r="2007" spans="1:6" x14ac:dyDescent="0.3">
      <c r="A2007" s="20">
        <v>45790</v>
      </c>
      <c r="B2007">
        <v>20</v>
      </c>
      <c r="C2007" t="s">
        <v>40</v>
      </c>
      <c r="D2007">
        <v>62321</v>
      </c>
      <c r="E2007">
        <v>2888</v>
      </c>
      <c r="F2007" t="s">
        <v>38</v>
      </c>
    </row>
    <row r="2008" spans="1:6" x14ac:dyDescent="0.3">
      <c r="A2008" s="20">
        <v>45790</v>
      </c>
      <c r="B2008">
        <v>20</v>
      </c>
      <c r="C2008" t="s">
        <v>76</v>
      </c>
      <c r="D2008">
        <v>55039</v>
      </c>
      <c r="E2008">
        <v>2652</v>
      </c>
      <c r="F2008" t="s">
        <v>38</v>
      </c>
    </row>
    <row r="2009" spans="1:6" x14ac:dyDescent="0.3">
      <c r="A2009" s="20">
        <v>45790</v>
      </c>
      <c r="B2009">
        <v>20</v>
      </c>
      <c r="C2009" t="s">
        <v>81</v>
      </c>
      <c r="D2009">
        <v>47813</v>
      </c>
      <c r="E2009">
        <v>2104</v>
      </c>
      <c r="F2009" t="s">
        <v>38</v>
      </c>
    </row>
    <row r="2010" spans="1:6" x14ac:dyDescent="0.3">
      <c r="A2010" s="20">
        <v>45790</v>
      </c>
      <c r="B2010">
        <v>20</v>
      </c>
      <c r="C2010" t="s">
        <v>235</v>
      </c>
      <c r="D2010">
        <v>2541</v>
      </c>
      <c r="E2010">
        <v>164</v>
      </c>
      <c r="F2010" t="s">
        <v>229</v>
      </c>
    </row>
    <row r="2011" spans="1:6" x14ac:dyDescent="0.3">
      <c r="A2011" s="20">
        <v>45790</v>
      </c>
      <c r="B2011">
        <v>21</v>
      </c>
      <c r="C2011" t="s">
        <v>73</v>
      </c>
      <c r="D2011">
        <v>0</v>
      </c>
      <c r="E2011">
        <v>0</v>
      </c>
      <c r="F2011" t="s">
        <v>31</v>
      </c>
    </row>
    <row r="2012" spans="1:6" x14ac:dyDescent="0.3">
      <c r="A2012" s="20">
        <v>45790</v>
      </c>
      <c r="B2012">
        <v>21</v>
      </c>
      <c r="C2012" t="s">
        <v>66</v>
      </c>
      <c r="D2012">
        <v>3</v>
      </c>
      <c r="E2012">
        <v>0</v>
      </c>
      <c r="F2012" t="s">
        <v>31</v>
      </c>
    </row>
    <row r="2013" spans="1:6" x14ac:dyDescent="0.3">
      <c r="A2013" s="20">
        <v>45790</v>
      </c>
      <c r="B2013">
        <v>8</v>
      </c>
      <c r="C2013" t="s">
        <v>73</v>
      </c>
      <c r="D2013">
        <v>0</v>
      </c>
      <c r="E2013">
        <v>0</v>
      </c>
      <c r="F2013" t="s">
        <v>43</v>
      </c>
    </row>
    <row r="2014" spans="1:6" x14ac:dyDescent="0.3">
      <c r="A2014" s="20">
        <v>45790</v>
      </c>
      <c r="B2014">
        <v>8</v>
      </c>
      <c r="C2014" t="s">
        <v>153</v>
      </c>
      <c r="D2014">
        <v>4749</v>
      </c>
      <c r="E2014">
        <v>179</v>
      </c>
      <c r="F2014" t="s">
        <v>248</v>
      </c>
    </row>
    <row r="2015" spans="1:6" x14ac:dyDescent="0.3">
      <c r="A2015" s="20">
        <v>45790</v>
      </c>
      <c r="B2015">
        <v>8</v>
      </c>
      <c r="C2015" t="s">
        <v>156</v>
      </c>
      <c r="D2015">
        <v>7818</v>
      </c>
      <c r="E2015">
        <v>1327</v>
      </c>
      <c r="F2015" t="s">
        <v>45</v>
      </c>
    </row>
    <row r="2016" spans="1:6" x14ac:dyDescent="0.3">
      <c r="A2016" s="20">
        <v>45790</v>
      </c>
      <c r="B2016">
        <v>8</v>
      </c>
      <c r="C2016" t="s">
        <v>228</v>
      </c>
      <c r="D2016">
        <v>13935</v>
      </c>
      <c r="E2016">
        <v>2236</v>
      </c>
      <c r="F2016" t="s">
        <v>231</v>
      </c>
    </row>
    <row r="2017" spans="1:6" x14ac:dyDescent="0.3">
      <c r="A2017" s="20">
        <v>45790</v>
      </c>
      <c r="B2017">
        <v>8</v>
      </c>
      <c r="C2017" t="s">
        <v>159</v>
      </c>
      <c r="D2017">
        <v>26836</v>
      </c>
      <c r="E2017">
        <v>936</v>
      </c>
      <c r="F2017" t="s">
        <v>31</v>
      </c>
    </row>
    <row r="2018" spans="1:6" x14ac:dyDescent="0.3">
      <c r="A2018" s="20">
        <v>45790</v>
      </c>
      <c r="B2018">
        <v>8</v>
      </c>
      <c r="C2018" t="s">
        <v>233</v>
      </c>
      <c r="D2018">
        <v>3912</v>
      </c>
      <c r="E2018">
        <v>390</v>
      </c>
      <c r="F2018" t="s">
        <v>39</v>
      </c>
    </row>
    <row r="2019" spans="1:6" x14ac:dyDescent="0.3">
      <c r="A2019" s="20">
        <v>45790</v>
      </c>
      <c r="B2019">
        <v>8</v>
      </c>
      <c r="C2019" t="s">
        <v>155</v>
      </c>
      <c r="D2019">
        <v>33</v>
      </c>
      <c r="E2019">
        <v>8</v>
      </c>
      <c r="F2019" t="s">
        <v>32</v>
      </c>
    </row>
    <row r="2020" spans="1:6" x14ac:dyDescent="0.3">
      <c r="A2020" s="20">
        <v>45790</v>
      </c>
      <c r="B2020">
        <v>8</v>
      </c>
      <c r="C2020" t="s">
        <v>155</v>
      </c>
      <c r="D2020">
        <v>22</v>
      </c>
      <c r="E2020">
        <v>1</v>
      </c>
      <c r="F2020" t="s">
        <v>33</v>
      </c>
    </row>
    <row r="2021" spans="1:6" x14ac:dyDescent="0.3">
      <c r="A2021" s="20">
        <v>45790</v>
      </c>
      <c r="B2021">
        <v>8</v>
      </c>
      <c r="C2021" t="s">
        <v>250</v>
      </c>
      <c r="D2021">
        <v>1202</v>
      </c>
      <c r="E2021">
        <v>146</v>
      </c>
      <c r="F2021" t="s">
        <v>75</v>
      </c>
    </row>
    <row r="2022" spans="1:6" x14ac:dyDescent="0.3">
      <c r="A2022" s="20">
        <v>45790</v>
      </c>
      <c r="B2022">
        <v>8</v>
      </c>
      <c r="C2022" t="s">
        <v>51</v>
      </c>
      <c r="D2022">
        <v>45800</v>
      </c>
      <c r="E2022">
        <v>2347</v>
      </c>
      <c r="F2022" t="s">
        <v>38</v>
      </c>
    </row>
    <row r="2023" spans="1:6" x14ac:dyDescent="0.3">
      <c r="A2023" s="20">
        <v>45790</v>
      </c>
      <c r="B2023">
        <v>8</v>
      </c>
      <c r="C2023" t="s">
        <v>81</v>
      </c>
      <c r="D2023">
        <v>67425</v>
      </c>
      <c r="E2023">
        <v>2987</v>
      </c>
      <c r="F2023" t="s">
        <v>38</v>
      </c>
    </row>
    <row r="2024" spans="1:6" x14ac:dyDescent="0.3">
      <c r="A2024" s="20">
        <v>45790</v>
      </c>
      <c r="B2024">
        <v>8</v>
      </c>
      <c r="C2024" t="s">
        <v>235</v>
      </c>
      <c r="D2024">
        <v>3002</v>
      </c>
      <c r="E2024">
        <v>248</v>
      </c>
      <c r="F2024" t="s">
        <v>229</v>
      </c>
    </row>
    <row r="2025" spans="1:6" x14ac:dyDescent="0.3">
      <c r="A2025" s="20">
        <v>45790</v>
      </c>
      <c r="B2025">
        <v>9</v>
      </c>
      <c r="C2025" t="s">
        <v>73</v>
      </c>
      <c r="D2025">
        <v>0</v>
      </c>
      <c r="E2025">
        <v>0</v>
      </c>
      <c r="F2025" t="s">
        <v>161</v>
      </c>
    </row>
    <row r="2026" spans="1:6" x14ac:dyDescent="0.3">
      <c r="A2026" s="20">
        <v>45790</v>
      </c>
      <c r="B2026">
        <v>9</v>
      </c>
      <c r="C2026" t="s">
        <v>73</v>
      </c>
      <c r="D2026">
        <v>0</v>
      </c>
      <c r="E2026">
        <v>0</v>
      </c>
      <c r="F2026" t="s">
        <v>72</v>
      </c>
    </row>
    <row r="2027" spans="1:6" x14ac:dyDescent="0.3">
      <c r="A2027" s="20">
        <v>45790</v>
      </c>
      <c r="B2027">
        <v>9</v>
      </c>
      <c r="C2027" t="s">
        <v>156</v>
      </c>
      <c r="D2027">
        <v>153</v>
      </c>
      <c r="E2027">
        <v>24</v>
      </c>
      <c r="F2027" t="s">
        <v>72</v>
      </c>
    </row>
    <row r="2028" spans="1:6" x14ac:dyDescent="0.3">
      <c r="A2028" s="20">
        <v>45790</v>
      </c>
      <c r="B2028">
        <v>9</v>
      </c>
      <c r="C2028" t="s">
        <v>67</v>
      </c>
      <c r="D2028">
        <v>4661</v>
      </c>
      <c r="E2028">
        <v>178</v>
      </c>
      <c r="F2028" t="s">
        <v>42</v>
      </c>
    </row>
    <row r="2029" spans="1:6" x14ac:dyDescent="0.3">
      <c r="A2029" s="20">
        <v>45790</v>
      </c>
      <c r="B2029">
        <v>9</v>
      </c>
      <c r="C2029" t="s">
        <v>241</v>
      </c>
      <c r="D2029">
        <v>11747</v>
      </c>
      <c r="E2029">
        <v>759</v>
      </c>
      <c r="F2029" t="s">
        <v>31</v>
      </c>
    </row>
    <row r="2030" spans="1:6" x14ac:dyDescent="0.3">
      <c r="A2030" s="20">
        <v>45790</v>
      </c>
      <c r="B2030">
        <v>9</v>
      </c>
      <c r="C2030" t="s">
        <v>66</v>
      </c>
      <c r="D2030">
        <v>22562</v>
      </c>
      <c r="E2030">
        <v>2090</v>
      </c>
      <c r="F2030" t="s">
        <v>31</v>
      </c>
    </row>
    <row r="2031" spans="1:6" x14ac:dyDescent="0.3">
      <c r="A2031" s="20">
        <v>45790</v>
      </c>
      <c r="B2031">
        <v>9</v>
      </c>
      <c r="C2031" t="s">
        <v>158</v>
      </c>
      <c r="D2031">
        <v>11214</v>
      </c>
      <c r="E2031">
        <v>715</v>
      </c>
      <c r="F2031" t="s">
        <v>31</v>
      </c>
    </row>
    <row r="2032" spans="1:6" x14ac:dyDescent="0.3">
      <c r="A2032" s="20">
        <v>45790</v>
      </c>
      <c r="B2032">
        <v>9</v>
      </c>
      <c r="C2032" t="s">
        <v>239</v>
      </c>
      <c r="D2032">
        <v>61462</v>
      </c>
      <c r="E2032">
        <v>7102</v>
      </c>
      <c r="F2032" t="s">
        <v>31</v>
      </c>
    </row>
    <row r="2033" spans="1:6" x14ac:dyDescent="0.3">
      <c r="A2033" s="20">
        <v>45790</v>
      </c>
      <c r="B2033">
        <v>9</v>
      </c>
      <c r="C2033" t="s">
        <v>152</v>
      </c>
      <c r="D2033">
        <v>4245</v>
      </c>
      <c r="E2033">
        <v>548</v>
      </c>
      <c r="F2033" t="s">
        <v>252</v>
      </c>
    </row>
    <row r="2034" spans="1:6" x14ac:dyDescent="0.3">
      <c r="A2034" s="20">
        <v>45790</v>
      </c>
      <c r="B2034">
        <v>9</v>
      </c>
      <c r="C2034" t="s">
        <v>238</v>
      </c>
      <c r="D2034">
        <v>8375</v>
      </c>
      <c r="E2034">
        <v>986</v>
      </c>
      <c r="F2034" t="s">
        <v>47</v>
      </c>
    </row>
    <row r="2035" spans="1:6" x14ac:dyDescent="0.3">
      <c r="A2035" s="20">
        <v>45790</v>
      </c>
      <c r="B2035">
        <v>9</v>
      </c>
      <c r="C2035" t="s">
        <v>250</v>
      </c>
      <c r="D2035">
        <v>195</v>
      </c>
      <c r="E2035">
        <v>45</v>
      </c>
      <c r="F2035" t="s">
        <v>34</v>
      </c>
    </row>
    <row r="2036" spans="1:6" x14ac:dyDescent="0.3">
      <c r="A2036" s="20">
        <v>45790</v>
      </c>
      <c r="B2036">
        <v>9</v>
      </c>
      <c r="C2036" t="s">
        <v>250</v>
      </c>
      <c r="D2036">
        <v>1911</v>
      </c>
      <c r="E2036">
        <v>569</v>
      </c>
      <c r="F2036" t="s">
        <v>72</v>
      </c>
    </row>
    <row r="2037" spans="1:6" x14ac:dyDescent="0.3">
      <c r="A2037" s="20">
        <v>45790</v>
      </c>
      <c r="B2037">
        <v>9</v>
      </c>
      <c r="C2037" t="s">
        <v>162</v>
      </c>
      <c r="D2037">
        <v>14605</v>
      </c>
      <c r="E2037">
        <v>1818</v>
      </c>
      <c r="F2037" t="s">
        <v>44</v>
      </c>
    </row>
    <row r="2038" spans="1:6" x14ac:dyDescent="0.3">
      <c r="A2038" s="20">
        <v>45790</v>
      </c>
      <c r="B2038">
        <v>9</v>
      </c>
      <c r="C2038" t="s">
        <v>37</v>
      </c>
      <c r="D2038">
        <v>81466</v>
      </c>
      <c r="E2038">
        <v>2970</v>
      </c>
      <c r="F2038" t="s">
        <v>38</v>
      </c>
    </row>
    <row r="2039" spans="1:6" x14ac:dyDescent="0.3">
      <c r="A2039" s="20">
        <v>45790</v>
      </c>
      <c r="B2039">
        <v>9</v>
      </c>
      <c r="C2039" t="s">
        <v>37</v>
      </c>
      <c r="D2039">
        <v>0</v>
      </c>
      <c r="E2039">
        <v>0</v>
      </c>
      <c r="F2039" t="s">
        <v>77</v>
      </c>
    </row>
    <row r="2040" spans="1:6" x14ac:dyDescent="0.3">
      <c r="A2040" s="20">
        <v>45790</v>
      </c>
      <c r="B2040">
        <v>9</v>
      </c>
      <c r="C2040" t="s">
        <v>235</v>
      </c>
      <c r="D2040">
        <v>14987</v>
      </c>
      <c r="E2040">
        <v>1445</v>
      </c>
      <c r="F2040" t="s">
        <v>234</v>
      </c>
    </row>
    <row r="2041" spans="1:6" x14ac:dyDescent="0.3">
      <c r="A2041" s="20">
        <v>45790</v>
      </c>
      <c r="B2041">
        <v>9</v>
      </c>
      <c r="C2041" t="s">
        <v>235</v>
      </c>
      <c r="D2041">
        <v>2427</v>
      </c>
      <c r="E2041">
        <v>316</v>
      </c>
      <c r="F2041" t="s">
        <v>75</v>
      </c>
    </row>
    <row r="2042" spans="1:6" x14ac:dyDescent="0.3">
      <c r="A2042" s="20">
        <v>45790</v>
      </c>
      <c r="B2042">
        <v>10</v>
      </c>
      <c r="C2042" t="s">
        <v>73</v>
      </c>
      <c r="D2042">
        <v>0</v>
      </c>
      <c r="E2042">
        <v>0</v>
      </c>
      <c r="F2042" t="s">
        <v>39</v>
      </c>
    </row>
    <row r="2043" spans="1:6" x14ac:dyDescent="0.3">
      <c r="A2043" s="20">
        <v>45790</v>
      </c>
      <c r="B2043">
        <v>10</v>
      </c>
      <c r="C2043" t="s">
        <v>73</v>
      </c>
      <c r="D2043">
        <v>0</v>
      </c>
      <c r="E2043">
        <v>0</v>
      </c>
      <c r="F2043" t="s">
        <v>46</v>
      </c>
    </row>
    <row r="2044" spans="1:6" x14ac:dyDescent="0.3">
      <c r="A2044" s="20">
        <v>45790</v>
      </c>
      <c r="B2044">
        <v>10</v>
      </c>
      <c r="C2044" t="s">
        <v>228</v>
      </c>
      <c r="D2044">
        <v>574</v>
      </c>
      <c r="E2044">
        <v>82</v>
      </c>
      <c r="F2044" t="s">
        <v>43</v>
      </c>
    </row>
    <row r="2045" spans="1:6" x14ac:dyDescent="0.3">
      <c r="A2045" s="20">
        <v>45790</v>
      </c>
      <c r="B2045">
        <v>10</v>
      </c>
      <c r="C2045" t="s">
        <v>52</v>
      </c>
      <c r="D2045">
        <v>36763</v>
      </c>
      <c r="E2045">
        <v>1676</v>
      </c>
      <c r="F2045" t="s">
        <v>31</v>
      </c>
    </row>
    <row r="2046" spans="1:6" x14ac:dyDescent="0.3">
      <c r="A2046" s="20">
        <v>45790</v>
      </c>
      <c r="B2046">
        <v>10</v>
      </c>
      <c r="C2046" t="s">
        <v>236</v>
      </c>
      <c r="D2046">
        <v>57371</v>
      </c>
      <c r="E2046">
        <v>5052</v>
      </c>
      <c r="F2046" t="s">
        <v>31</v>
      </c>
    </row>
    <row r="2047" spans="1:6" x14ac:dyDescent="0.3">
      <c r="A2047" s="20">
        <v>45790</v>
      </c>
      <c r="B2047">
        <v>10</v>
      </c>
      <c r="C2047" t="s">
        <v>35</v>
      </c>
      <c r="D2047">
        <v>52</v>
      </c>
      <c r="E2047">
        <v>8</v>
      </c>
      <c r="F2047" t="s">
        <v>42</v>
      </c>
    </row>
    <row r="2048" spans="1:6" x14ac:dyDescent="0.3">
      <c r="A2048" s="20">
        <v>45790</v>
      </c>
      <c r="B2048">
        <v>10</v>
      </c>
      <c r="C2048" t="s">
        <v>54</v>
      </c>
      <c r="D2048">
        <v>192</v>
      </c>
      <c r="E2048">
        <v>32</v>
      </c>
      <c r="F2048" t="s">
        <v>31</v>
      </c>
    </row>
    <row r="2049" spans="1:6" x14ac:dyDescent="0.3">
      <c r="A2049" s="20">
        <v>45790</v>
      </c>
      <c r="B2049">
        <v>10</v>
      </c>
      <c r="C2049" t="s">
        <v>237</v>
      </c>
      <c r="D2049">
        <v>17652</v>
      </c>
      <c r="E2049">
        <v>1580</v>
      </c>
      <c r="F2049" t="s">
        <v>31</v>
      </c>
    </row>
    <row r="2050" spans="1:6" x14ac:dyDescent="0.3">
      <c r="A2050" s="20">
        <v>45790</v>
      </c>
      <c r="B2050">
        <v>10</v>
      </c>
      <c r="C2050" t="s">
        <v>49</v>
      </c>
      <c r="D2050">
        <v>18802</v>
      </c>
      <c r="E2050">
        <v>1924</v>
      </c>
      <c r="F2050" t="s">
        <v>42</v>
      </c>
    </row>
    <row r="2051" spans="1:6" x14ac:dyDescent="0.3">
      <c r="A2051" s="20">
        <v>45790</v>
      </c>
      <c r="B2051">
        <v>10</v>
      </c>
      <c r="C2051" t="s">
        <v>245</v>
      </c>
      <c r="D2051">
        <v>55256</v>
      </c>
      <c r="E2051">
        <v>7301</v>
      </c>
      <c r="F2051" t="s">
        <v>31</v>
      </c>
    </row>
    <row r="2052" spans="1:6" x14ac:dyDescent="0.3">
      <c r="A2052" s="20">
        <v>45790</v>
      </c>
      <c r="B2052">
        <v>10</v>
      </c>
      <c r="C2052" t="s">
        <v>264</v>
      </c>
      <c r="D2052">
        <v>3478</v>
      </c>
      <c r="E2052">
        <v>328</v>
      </c>
      <c r="F2052" t="s">
        <v>31</v>
      </c>
    </row>
    <row r="2053" spans="1:6" x14ac:dyDescent="0.3">
      <c r="A2053" s="20">
        <v>45790</v>
      </c>
      <c r="B2053">
        <v>10</v>
      </c>
      <c r="C2053" t="s">
        <v>71</v>
      </c>
      <c r="D2053">
        <v>3330</v>
      </c>
      <c r="E2053">
        <v>275</v>
      </c>
      <c r="F2053" t="s">
        <v>32</v>
      </c>
    </row>
    <row r="2054" spans="1:6" x14ac:dyDescent="0.3">
      <c r="A2054" s="20">
        <v>45790</v>
      </c>
      <c r="B2054">
        <v>10</v>
      </c>
      <c r="C2054" t="s">
        <v>71</v>
      </c>
      <c r="D2054">
        <v>30880</v>
      </c>
      <c r="E2054">
        <v>2979</v>
      </c>
      <c r="F2054" t="s">
        <v>164</v>
      </c>
    </row>
    <row r="2055" spans="1:6" x14ac:dyDescent="0.3">
      <c r="A2055" s="20">
        <v>45790</v>
      </c>
      <c r="B2055">
        <v>10</v>
      </c>
      <c r="C2055" t="s">
        <v>233</v>
      </c>
      <c r="D2055">
        <v>3776</v>
      </c>
      <c r="E2055">
        <v>521</v>
      </c>
      <c r="F2055" t="s">
        <v>85</v>
      </c>
    </row>
    <row r="2056" spans="1:6" x14ac:dyDescent="0.3">
      <c r="A2056" s="20">
        <v>45790</v>
      </c>
      <c r="B2056">
        <v>10</v>
      </c>
      <c r="C2056" t="s">
        <v>256</v>
      </c>
      <c r="D2056">
        <v>4092</v>
      </c>
      <c r="E2056">
        <v>161</v>
      </c>
      <c r="F2056" t="s">
        <v>163</v>
      </c>
    </row>
    <row r="2057" spans="1:6" x14ac:dyDescent="0.3">
      <c r="A2057" s="20">
        <v>45790</v>
      </c>
      <c r="B2057">
        <v>10</v>
      </c>
      <c r="C2057" t="s">
        <v>160</v>
      </c>
      <c r="D2057">
        <v>368</v>
      </c>
      <c r="E2057">
        <v>74</v>
      </c>
      <c r="F2057" t="s">
        <v>74</v>
      </c>
    </row>
    <row r="2058" spans="1:6" x14ac:dyDescent="0.3">
      <c r="A2058" s="20">
        <v>45790</v>
      </c>
      <c r="B2058">
        <v>10</v>
      </c>
      <c r="C2058" t="s">
        <v>160</v>
      </c>
      <c r="D2058">
        <v>13244</v>
      </c>
      <c r="E2058">
        <v>1118</v>
      </c>
      <c r="F2058" t="s">
        <v>234</v>
      </c>
    </row>
    <row r="2059" spans="1:6" x14ac:dyDescent="0.3">
      <c r="A2059" s="20">
        <v>45790</v>
      </c>
      <c r="B2059">
        <v>10</v>
      </c>
      <c r="C2059" t="s">
        <v>160</v>
      </c>
      <c r="D2059">
        <v>343</v>
      </c>
      <c r="E2059">
        <v>101</v>
      </c>
      <c r="F2059" t="s">
        <v>45</v>
      </c>
    </row>
    <row r="2060" spans="1:6" x14ac:dyDescent="0.3">
      <c r="A2060" s="20">
        <v>45790</v>
      </c>
      <c r="B2060">
        <v>10</v>
      </c>
      <c r="C2060" t="s">
        <v>124</v>
      </c>
      <c r="D2060">
        <v>57996</v>
      </c>
      <c r="E2060">
        <v>4690</v>
      </c>
      <c r="F2060" t="s">
        <v>38</v>
      </c>
    </row>
    <row r="2061" spans="1:6" x14ac:dyDescent="0.3">
      <c r="A2061" s="20">
        <v>45790</v>
      </c>
      <c r="B2061">
        <v>10</v>
      </c>
      <c r="C2061" t="s">
        <v>125</v>
      </c>
      <c r="D2061">
        <v>104543</v>
      </c>
      <c r="E2061">
        <v>9445</v>
      </c>
      <c r="F2061" t="s">
        <v>38</v>
      </c>
    </row>
    <row r="2062" spans="1:6" x14ac:dyDescent="0.3">
      <c r="A2062" s="20">
        <v>45790</v>
      </c>
      <c r="B2062">
        <v>10</v>
      </c>
      <c r="C2062" t="s">
        <v>253</v>
      </c>
      <c r="D2062">
        <v>1170</v>
      </c>
      <c r="E2062">
        <v>243</v>
      </c>
      <c r="F2062" t="s">
        <v>47</v>
      </c>
    </row>
    <row r="2063" spans="1:6" x14ac:dyDescent="0.3">
      <c r="A2063" s="20">
        <v>45790</v>
      </c>
      <c r="B2063">
        <v>10</v>
      </c>
      <c r="C2063" t="s">
        <v>253</v>
      </c>
      <c r="D2063">
        <v>690</v>
      </c>
      <c r="E2063">
        <v>150</v>
      </c>
      <c r="F2063" t="s">
        <v>44</v>
      </c>
    </row>
    <row r="2064" spans="1:6" x14ac:dyDescent="0.3">
      <c r="A2064" s="20">
        <v>45790</v>
      </c>
      <c r="B2064">
        <v>11</v>
      </c>
      <c r="C2064" t="s">
        <v>73</v>
      </c>
      <c r="D2064">
        <v>12</v>
      </c>
      <c r="E2064">
        <v>12</v>
      </c>
      <c r="F2064" t="s">
        <v>31</v>
      </c>
    </row>
    <row r="2065" spans="1:6" x14ac:dyDescent="0.3">
      <c r="A2065" s="20">
        <v>45790</v>
      </c>
      <c r="B2065">
        <v>11</v>
      </c>
      <c r="C2065" t="s">
        <v>153</v>
      </c>
      <c r="D2065">
        <v>8091</v>
      </c>
      <c r="E2065">
        <v>317</v>
      </c>
      <c r="F2065" t="s">
        <v>248</v>
      </c>
    </row>
    <row r="2066" spans="1:6" x14ac:dyDescent="0.3">
      <c r="A2066" s="20">
        <v>45790</v>
      </c>
      <c r="B2066">
        <v>11</v>
      </c>
      <c r="C2066" t="s">
        <v>228</v>
      </c>
      <c r="D2066">
        <v>17511</v>
      </c>
      <c r="E2066">
        <v>2405</v>
      </c>
      <c r="F2066" t="s">
        <v>231</v>
      </c>
    </row>
    <row r="2067" spans="1:6" x14ac:dyDescent="0.3">
      <c r="A2067" s="20">
        <v>45790</v>
      </c>
      <c r="B2067">
        <v>11</v>
      </c>
      <c r="C2067" t="s">
        <v>159</v>
      </c>
      <c r="D2067">
        <v>37052</v>
      </c>
      <c r="E2067">
        <v>1395</v>
      </c>
      <c r="F2067" t="s">
        <v>31</v>
      </c>
    </row>
    <row r="2068" spans="1:6" x14ac:dyDescent="0.3">
      <c r="A2068" s="20">
        <v>45790</v>
      </c>
      <c r="B2068">
        <v>11</v>
      </c>
      <c r="C2068" t="s">
        <v>139</v>
      </c>
      <c r="D2068">
        <v>32550</v>
      </c>
      <c r="E2068">
        <v>932</v>
      </c>
      <c r="F2068" t="s">
        <v>46</v>
      </c>
    </row>
    <row r="2069" spans="1:6" x14ac:dyDescent="0.3">
      <c r="A2069" s="20">
        <v>45790</v>
      </c>
      <c r="B2069">
        <v>11</v>
      </c>
      <c r="C2069" t="s">
        <v>246</v>
      </c>
      <c r="D2069">
        <v>38785</v>
      </c>
      <c r="E2069">
        <v>5242</v>
      </c>
      <c r="F2069" t="s">
        <v>31</v>
      </c>
    </row>
    <row r="2070" spans="1:6" x14ac:dyDescent="0.3">
      <c r="A2070" s="20">
        <v>45790</v>
      </c>
      <c r="B2070">
        <v>11</v>
      </c>
      <c r="C2070" t="s">
        <v>233</v>
      </c>
      <c r="D2070">
        <v>8157</v>
      </c>
      <c r="E2070">
        <v>647</v>
      </c>
      <c r="F2070" t="s">
        <v>39</v>
      </c>
    </row>
    <row r="2071" spans="1:6" x14ac:dyDescent="0.3">
      <c r="A2071" s="20">
        <v>45790</v>
      </c>
      <c r="B2071">
        <v>11</v>
      </c>
      <c r="C2071" t="s">
        <v>250</v>
      </c>
      <c r="D2071">
        <v>810</v>
      </c>
      <c r="E2071">
        <v>116</v>
      </c>
      <c r="F2071" t="s">
        <v>75</v>
      </c>
    </row>
    <row r="2072" spans="1:6" x14ac:dyDescent="0.3">
      <c r="A2072" s="20">
        <v>45790</v>
      </c>
      <c r="B2072">
        <v>11</v>
      </c>
      <c r="C2072" t="s">
        <v>160</v>
      </c>
      <c r="D2072">
        <v>217</v>
      </c>
      <c r="E2072">
        <v>53</v>
      </c>
      <c r="F2072" t="s">
        <v>43</v>
      </c>
    </row>
    <row r="2073" spans="1:6" x14ac:dyDescent="0.3">
      <c r="A2073" s="20">
        <v>45790</v>
      </c>
      <c r="B2073">
        <v>11</v>
      </c>
      <c r="C2073" t="s">
        <v>51</v>
      </c>
      <c r="D2073">
        <v>57944</v>
      </c>
      <c r="E2073">
        <v>2624</v>
      </c>
      <c r="F2073" t="s">
        <v>38</v>
      </c>
    </row>
    <row r="2074" spans="1:6" x14ac:dyDescent="0.3">
      <c r="A2074" s="20">
        <v>45790</v>
      </c>
      <c r="B2074">
        <v>11</v>
      </c>
      <c r="C2074" t="s">
        <v>81</v>
      </c>
      <c r="D2074">
        <v>79690</v>
      </c>
      <c r="E2074">
        <v>4137</v>
      </c>
      <c r="F2074" t="s">
        <v>38</v>
      </c>
    </row>
    <row r="2075" spans="1:6" x14ac:dyDescent="0.3">
      <c r="A2075" s="20">
        <v>45790</v>
      </c>
      <c r="B2075">
        <v>12</v>
      </c>
      <c r="C2075" t="s">
        <v>73</v>
      </c>
      <c r="D2075">
        <v>0</v>
      </c>
      <c r="E2075">
        <v>0</v>
      </c>
      <c r="F2075" t="s">
        <v>72</v>
      </c>
    </row>
    <row r="2076" spans="1:6" x14ac:dyDescent="0.3">
      <c r="A2076" s="20">
        <v>45790</v>
      </c>
      <c r="B2076">
        <v>12</v>
      </c>
      <c r="C2076" t="s">
        <v>67</v>
      </c>
      <c r="D2076">
        <v>6217</v>
      </c>
      <c r="E2076">
        <v>191</v>
      </c>
      <c r="F2076" t="s">
        <v>42</v>
      </c>
    </row>
    <row r="2077" spans="1:6" x14ac:dyDescent="0.3">
      <c r="A2077" s="20">
        <v>45790</v>
      </c>
      <c r="B2077">
        <v>12</v>
      </c>
      <c r="C2077" t="s">
        <v>241</v>
      </c>
      <c r="D2077">
        <v>12345</v>
      </c>
      <c r="E2077">
        <v>778</v>
      </c>
      <c r="F2077" t="s">
        <v>31</v>
      </c>
    </row>
    <row r="2078" spans="1:6" x14ac:dyDescent="0.3">
      <c r="A2078" s="20">
        <v>45790</v>
      </c>
      <c r="B2078">
        <v>12</v>
      </c>
      <c r="C2078" t="s">
        <v>239</v>
      </c>
      <c r="D2078">
        <v>73843</v>
      </c>
      <c r="E2078">
        <v>6500</v>
      </c>
      <c r="F2078" t="s">
        <v>31</v>
      </c>
    </row>
    <row r="2079" spans="1:6" x14ac:dyDescent="0.3">
      <c r="A2079" s="20">
        <v>45790</v>
      </c>
      <c r="B2079">
        <v>12</v>
      </c>
      <c r="C2079" t="s">
        <v>152</v>
      </c>
      <c r="D2079">
        <v>11547</v>
      </c>
      <c r="E2079">
        <v>1487</v>
      </c>
      <c r="F2079" t="s">
        <v>252</v>
      </c>
    </row>
    <row r="2080" spans="1:6" x14ac:dyDescent="0.3">
      <c r="A2080" s="20">
        <v>45790</v>
      </c>
      <c r="B2080">
        <v>12</v>
      </c>
      <c r="C2080" t="s">
        <v>238</v>
      </c>
      <c r="D2080">
        <v>8507</v>
      </c>
      <c r="E2080">
        <v>817</v>
      </c>
      <c r="F2080" t="s">
        <v>47</v>
      </c>
    </row>
    <row r="2081" spans="1:6" x14ac:dyDescent="0.3">
      <c r="A2081" s="20">
        <v>45790</v>
      </c>
      <c r="B2081">
        <v>12</v>
      </c>
      <c r="C2081" t="s">
        <v>238</v>
      </c>
      <c r="D2081">
        <v>2145</v>
      </c>
      <c r="E2081">
        <v>153</v>
      </c>
      <c r="F2081" t="s">
        <v>44</v>
      </c>
    </row>
    <row r="2082" spans="1:6" x14ac:dyDescent="0.3">
      <c r="A2082" s="20">
        <v>45790</v>
      </c>
      <c r="B2082">
        <v>12</v>
      </c>
      <c r="C2082" t="s">
        <v>238</v>
      </c>
      <c r="D2082">
        <v>15363</v>
      </c>
      <c r="E2082">
        <v>1360</v>
      </c>
      <c r="F2082" t="s">
        <v>32</v>
      </c>
    </row>
    <row r="2083" spans="1:6" x14ac:dyDescent="0.3">
      <c r="A2083" s="20">
        <v>45790</v>
      </c>
      <c r="B2083">
        <v>12</v>
      </c>
      <c r="C2083" t="s">
        <v>255</v>
      </c>
      <c r="D2083">
        <v>6334</v>
      </c>
      <c r="E2083">
        <v>1064</v>
      </c>
      <c r="F2083" t="s">
        <v>39</v>
      </c>
    </row>
    <row r="2084" spans="1:6" x14ac:dyDescent="0.3">
      <c r="A2084" s="20">
        <v>45790</v>
      </c>
      <c r="B2084">
        <v>12</v>
      </c>
      <c r="C2084" t="s">
        <v>160</v>
      </c>
      <c r="D2084">
        <v>3</v>
      </c>
      <c r="E2084">
        <v>0</v>
      </c>
      <c r="F2084" t="s">
        <v>68</v>
      </c>
    </row>
    <row r="2085" spans="1:6" x14ac:dyDescent="0.3">
      <c r="A2085" s="20">
        <v>45790</v>
      </c>
      <c r="B2085">
        <v>12</v>
      </c>
      <c r="C2085" t="s">
        <v>160</v>
      </c>
      <c r="D2085">
        <v>94</v>
      </c>
      <c r="E2085">
        <v>19</v>
      </c>
      <c r="F2085" t="s">
        <v>161</v>
      </c>
    </row>
    <row r="2086" spans="1:6" x14ac:dyDescent="0.3">
      <c r="A2086" s="20">
        <v>45790</v>
      </c>
      <c r="B2086">
        <v>12</v>
      </c>
      <c r="C2086" t="s">
        <v>37</v>
      </c>
      <c r="D2086">
        <v>67732</v>
      </c>
      <c r="E2086">
        <v>1993</v>
      </c>
      <c r="F2086" t="s">
        <v>38</v>
      </c>
    </row>
    <row r="2087" spans="1:6" x14ac:dyDescent="0.3">
      <c r="A2087" s="20">
        <v>45790</v>
      </c>
      <c r="B2087">
        <v>12</v>
      </c>
      <c r="C2087" t="s">
        <v>235</v>
      </c>
      <c r="D2087">
        <v>11699</v>
      </c>
      <c r="E2087">
        <v>1149</v>
      </c>
      <c r="F2087" t="s">
        <v>234</v>
      </c>
    </row>
    <row r="2088" spans="1:6" x14ac:dyDescent="0.3">
      <c r="A2088" s="20">
        <v>45790</v>
      </c>
      <c r="B2088">
        <v>12</v>
      </c>
      <c r="C2088" t="s">
        <v>235</v>
      </c>
      <c r="D2088">
        <v>1121</v>
      </c>
      <c r="E2088">
        <v>144</v>
      </c>
      <c r="F2088" t="s">
        <v>75</v>
      </c>
    </row>
    <row r="2089" spans="1:6" x14ac:dyDescent="0.3">
      <c r="A2089" s="20">
        <v>45790</v>
      </c>
      <c r="B2089">
        <v>13</v>
      </c>
      <c r="C2089" t="s">
        <v>73</v>
      </c>
      <c r="D2089">
        <v>0</v>
      </c>
      <c r="E2089">
        <v>0</v>
      </c>
      <c r="F2089" t="s">
        <v>39</v>
      </c>
    </row>
    <row r="2090" spans="1:6" x14ac:dyDescent="0.3">
      <c r="A2090" s="20">
        <v>45790</v>
      </c>
      <c r="B2090">
        <v>13</v>
      </c>
      <c r="C2090" t="s">
        <v>73</v>
      </c>
      <c r="D2090">
        <v>0</v>
      </c>
      <c r="E2090">
        <v>0</v>
      </c>
      <c r="F2090" t="s">
        <v>231</v>
      </c>
    </row>
    <row r="2091" spans="1:6" x14ac:dyDescent="0.3">
      <c r="A2091" s="20">
        <v>45790</v>
      </c>
      <c r="B2091">
        <v>13</v>
      </c>
      <c r="C2091" t="s">
        <v>73</v>
      </c>
      <c r="D2091">
        <v>0</v>
      </c>
      <c r="E2091">
        <v>0</v>
      </c>
      <c r="F2091" t="s">
        <v>46</v>
      </c>
    </row>
    <row r="2092" spans="1:6" x14ac:dyDescent="0.3">
      <c r="A2092" s="20">
        <v>45790</v>
      </c>
      <c r="B2092">
        <v>13</v>
      </c>
      <c r="C2092" t="s">
        <v>228</v>
      </c>
      <c r="D2092">
        <v>626</v>
      </c>
      <c r="E2092">
        <v>89</v>
      </c>
      <c r="F2092" t="s">
        <v>43</v>
      </c>
    </row>
    <row r="2093" spans="1:6" x14ac:dyDescent="0.3">
      <c r="A2093" s="20">
        <v>45790</v>
      </c>
      <c r="B2093">
        <v>13</v>
      </c>
      <c r="C2093" t="s">
        <v>230</v>
      </c>
      <c r="D2093">
        <v>31792</v>
      </c>
      <c r="E2093">
        <v>2633</v>
      </c>
      <c r="F2093" t="s">
        <v>31</v>
      </c>
    </row>
    <row r="2094" spans="1:6" x14ac:dyDescent="0.3">
      <c r="A2094" s="20">
        <v>45790</v>
      </c>
      <c r="B2094">
        <v>13</v>
      </c>
      <c r="C2094" t="s">
        <v>52</v>
      </c>
      <c r="D2094">
        <v>47658</v>
      </c>
      <c r="E2094">
        <v>2571</v>
      </c>
      <c r="F2094" t="s">
        <v>31</v>
      </c>
    </row>
    <row r="2095" spans="1:6" x14ac:dyDescent="0.3">
      <c r="A2095" s="20">
        <v>45790</v>
      </c>
      <c r="B2095">
        <v>13</v>
      </c>
      <c r="C2095" t="s">
        <v>236</v>
      </c>
      <c r="D2095">
        <v>66340</v>
      </c>
      <c r="E2095">
        <v>7327</v>
      </c>
      <c r="F2095" t="s">
        <v>31</v>
      </c>
    </row>
    <row r="2096" spans="1:6" x14ac:dyDescent="0.3">
      <c r="A2096" s="20">
        <v>45790</v>
      </c>
      <c r="B2096">
        <v>13</v>
      </c>
      <c r="C2096" t="s">
        <v>35</v>
      </c>
      <c r="D2096">
        <v>85</v>
      </c>
      <c r="E2096">
        <v>11</v>
      </c>
      <c r="F2096" t="s">
        <v>42</v>
      </c>
    </row>
    <row r="2097" spans="1:6" x14ac:dyDescent="0.3">
      <c r="A2097" s="20">
        <v>45790</v>
      </c>
      <c r="B2097">
        <v>13</v>
      </c>
      <c r="C2097" t="s">
        <v>41</v>
      </c>
      <c r="D2097">
        <v>3498</v>
      </c>
      <c r="E2097">
        <v>281</v>
      </c>
      <c r="F2097" t="s">
        <v>31</v>
      </c>
    </row>
    <row r="2098" spans="1:6" x14ac:dyDescent="0.3">
      <c r="A2098" s="20">
        <v>45790</v>
      </c>
      <c r="B2098">
        <v>13</v>
      </c>
      <c r="C2098" t="s">
        <v>54</v>
      </c>
      <c r="D2098">
        <v>146</v>
      </c>
      <c r="E2098">
        <v>21</v>
      </c>
      <c r="F2098" t="s">
        <v>31</v>
      </c>
    </row>
    <row r="2099" spans="1:6" x14ac:dyDescent="0.3">
      <c r="A2099" s="20">
        <v>45790</v>
      </c>
      <c r="B2099">
        <v>13</v>
      </c>
      <c r="C2099" t="s">
        <v>237</v>
      </c>
      <c r="D2099">
        <v>41265</v>
      </c>
      <c r="E2099">
        <v>4060</v>
      </c>
      <c r="F2099" t="s">
        <v>31</v>
      </c>
    </row>
    <row r="2100" spans="1:6" x14ac:dyDescent="0.3">
      <c r="A2100" s="20">
        <v>45790</v>
      </c>
      <c r="B2100">
        <v>13</v>
      </c>
      <c r="C2100" t="s">
        <v>49</v>
      </c>
      <c r="D2100">
        <v>36759</v>
      </c>
      <c r="E2100">
        <v>1632</v>
      </c>
      <c r="F2100" t="s">
        <v>42</v>
      </c>
    </row>
    <row r="2101" spans="1:6" x14ac:dyDescent="0.3">
      <c r="A2101" s="20">
        <v>45790</v>
      </c>
      <c r="B2101">
        <v>13</v>
      </c>
      <c r="C2101" t="s">
        <v>245</v>
      </c>
      <c r="D2101">
        <v>48963</v>
      </c>
      <c r="E2101">
        <v>7194</v>
      </c>
      <c r="F2101" t="s">
        <v>31</v>
      </c>
    </row>
    <row r="2102" spans="1:6" x14ac:dyDescent="0.3">
      <c r="A2102" s="20">
        <v>45790</v>
      </c>
      <c r="B2102">
        <v>13</v>
      </c>
      <c r="C2102" t="s">
        <v>264</v>
      </c>
      <c r="D2102">
        <v>421</v>
      </c>
      <c r="E2102">
        <v>83</v>
      </c>
      <c r="F2102" t="s">
        <v>31</v>
      </c>
    </row>
    <row r="2103" spans="1:6" x14ac:dyDescent="0.3">
      <c r="A2103" s="20">
        <v>45790</v>
      </c>
      <c r="B2103">
        <v>13</v>
      </c>
      <c r="C2103" t="s">
        <v>71</v>
      </c>
      <c r="D2103">
        <v>7270</v>
      </c>
      <c r="E2103">
        <v>930</v>
      </c>
      <c r="F2103" t="s">
        <v>32</v>
      </c>
    </row>
    <row r="2104" spans="1:6" x14ac:dyDescent="0.3">
      <c r="A2104" s="20">
        <v>45790</v>
      </c>
      <c r="B2104">
        <v>13</v>
      </c>
      <c r="C2104" t="s">
        <v>71</v>
      </c>
      <c r="D2104">
        <v>23509</v>
      </c>
      <c r="E2104">
        <v>2588</v>
      </c>
      <c r="F2104" t="s">
        <v>164</v>
      </c>
    </row>
    <row r="2105" spans="1:6" x14ac:dyDescent="0.3">
      <c r="A2105" s="20">
        <v>45790</v>
      </c>
      <c r="B2105">
        <v>13</v>
      </c>
      <c r="C2105" t="s">
        <v>233</v>
      </c>
      <c r="D2105">
        <v>3904</v>
      </c>
      <c r="E2105">
        <v>576</v>
      </c>
      <c r="F2105" t="s">
        <v>85</v>
      </c>
    </row>
    <row r="2106" spans="1:6" x14ac:dyDescent="0.3">
      <c r="A2106" s="20">
        <v>45790</v>
      </c>
      <c r="B2106">
        <v>13</v>
      </c>
      <c r="C2106" t="s">
        <v>265</v>
      </c>
      <c r="D2106">
        <v>222</v>
      </c>
      <c r="E2106">
        <v>7</v>
      </c>
      <c r="F2106" t="s">
        <v>42</v>
      </c>
    </row>
    <row r="2107" spans="1:6" x14ac:dyDescent="0.3">
      <c r="A2107" s="20">
        <v>45790</v>
      </c>
      <c r="B2107">
        <v>13</v>
      </c>
      <c r="C2107" t="s">
        <v>160</v>
      </c>
      <c r="D2107">
        <v>15059</v>
      </c>
      <c r="E2107">
        <v>1160</v>
      </c>
      <c r="F2107" t="s">
        <v>234</v>
      </c>
    </row>
    <row r="2108" spans="1:6" x14ac:dyDescent="0.3">
      <c r="A2108" s="20">
        <v>45790</v>
      </c>
      <c r="B2108">
        <v>13</v>
      </c>
      <c r="C2108" t="s">
        <v>124</v>
      </c>
      <c r="D2108">
        <v>70864</v>
      </c>
      <c r="E2108">
        <v>5389</v>
      </c>
      <c r="F2108" t="s">
        <v>38</v>
      </c>
    </row>
    <row r="2109" spans="1:6" x14ac:dyDescent="0.3">
      <c r="A2109" s="20">
        <v>45790</v>
      </c>
      <c r="B2109">
        <v>13</v>
      </c>
      <c r="C2109" t="s">
        <v>125</v>
      </c>
      <c r="D2109">
        <v>105860</v>
      </c>
      <c r="E2109">
        <v>7897</v>
      </c>
      <c r="F2109" t="s">
        <v>38</v>
      </c>
    </row>
    <row r="2110" spans="1:6" x14ac:dyDescent="0.3">
      <c r="A2110" s="20">
        <v>45790</v>
      </c>
      <c r="B2110">
        <v>13</v>
      </c>
      <c r="C2110" t="s">
        <v>253</v>
      </c>
      <c r="D2110">
        <v>1097</v>
      </c>
      <c r="E2110">
        <v>238</v>
      </c>
      <c r="F2110" t="s">
        <v>47</v>
      </c>
    </row>
    <row r="2111" spans="1:6" x14ac:dyDescent="0.3">
      <c r="A2111" s="20">
        <v>45790</v>
      </c>
      <c r="B2111">
        <v>13</v>
      </c>
      <c r="C2111" t="s">
        <v>253</v>
      </c>
      <c r="D2111">
        <v>680</v>
      </c>
      <c r="E2111">
        <v>138</v>
      </c>
      <c r="F2111" t="s">
        <v>44</v>
      </c>
    </row>
    <row r="2112" spans="1:6" x14ac:dyDescent="0.3">
      <c r="A2112" s="20">
        <v>45790</v>
      </c>
      <c r="B2112">
        <v>14</v>
      </c>
      <c r="C2112" t="s">
        <v>73</v>
      </c>
      <c r="D2112">
        <v>12</v>
      </c>
      <c r="E2112">
        <v>12</v>
      </c>
      <c r="F2112" t="s">
        <v>31</v>
      </c>
    </row>
    <row r="2113" spans="1:6" x14ac:dyDescent="0.3">
      <c r="A2113" s="20">
        <v>45790</v>
      </c>
      <c r="B2113">
        <v>14</v>
      </c>
      <c r="C2113" t="s">
        <v>153</v>
      </c>
      <c r="D2113">
        <v>8988</v>
      </c>
      <c r="E2113">
        <v>293</v>
      </c>
      <c r="F2113" t="s">
        <v>248</v>
      </c>
    </row>
    <row r="2114" spans="1:6" x14ac:dyDescent="0.3">
      <c r="A2114" s="20">
        <v>45790</v>
      </c>
      <c r="B2114">
        <v>14</v>
      </c>
      <c r="C2114" t="s">
        <v>156</v>
      </c>
      <c r="D2114">
        <v>12932</v>
      </c>
      <c r="E2114">
        <v>1976</v>
      </c>
      <c r="F2114" t="s">
        <v>75</v>
      </c>
    </row>
    <row r="2115" spans="1:6" x14ac:dyDescent="0.3">
      <c r="A2115" s="20">
        <v>45790</v>
      </c>
      <c r="B2115">
        <v>14</v>
      </c>
      <c r="C2115" t="s">
        <v>228</v>
      </c>
      <c r="D2115">
        <v>18266</v>
      </c>
      <c r="E2115">
        <v>2376</v>
      </c>
      <c r="F2115" t="s">
        <v>231</v>
      </c>
    </row>
    <row r="2116" spans="1:6" x14ac:dyDescent="0.3">
      <c r="A2116" s="20">
        <v>45790</v>
      </c>
      <c r="B2116">
        <v>14</v>
      </c>
      <c r="C2116" t="s">
        <v>159</v>
      </c>
      <c r="D2116">
        <v>32129</v>
      </c>
      <c r="E2116">
        <v>1116</v>
      </c>
      <c r="F2116" t="s">
        <v>31</v>
      </c>
    </row>
    <row r="2117" spans="1:6" x14ac:dyDescent="0.3">
      <c r="A2117" s="20">
        <v>45790</v>
      </c>
      <c r="B2117">
        <v>14</v>
      </c>
      <c r="C2117" t="s">
        <v>249</v>
      </c>
      <c r="D2117">
        <v>15949</v>
      </c>
      <c r="E2117">
        <v>575</v>
      </c>
      <c r="F2117" t="s">
        <v>31</v>
      </c>
    </row>
    <row r="2118" spans="1:6" x14ac:dyDescent="0.3">
      <c r="A2118" s="20">
        <v>45790</v>
      </c>
      <c r="B2118">
        <v>14</v>
      </c>
      <c r="C2118" t="s">
        <v>242</v>
      </c>
      <c r="D2118">
        <v>37343</v>
      </c>
      <c r="E2118">
        <v>3745</v>
      </c>
      <c r="F2118" t="s">
        <v>31</v>
      </c>
    </row>
    <row r="2119" spans="1:6" x14ac:dyDescent="0.3">
      <c r="A2119" s="20">
        <v>45790</v>
      </c>
      <c r="B2119">
        <v>14</v>
      </c>
      <c r="C2119" t="s">
        <v>246</v>
      </c>
      <c r="D2119">
        <v>32070</v>
      </c>
      <c r="E2119">
        <v>4653</v>
      </c>
      <c r="F2119" t="s">
        <v>31</v>
      </c>
    </row>
    <row r="2120" spans="1:6" x14ac:dyDescent="0.3">
      <c r="A2120" s="20">
        <v>45790</v>
      </c>
      <c r="B2120">
        <v>14</v>
      </c>
      <c r="C2120" t="s">
        <v>232</v>
      </c>
      <c r="D2120">
        <v>22175</v>
      </c>
      <c r="E2120">
        <v>2727</v>
      </c>
      <c r="F2120" t="s">
        <v>229</v>
      </c>
    </row>
    <row r="2121" spans="1:6" x14ac:dyDescent="0.3">
      <c r="A2121" s="20">
        <v>45790</v>
      </c>
      <c r="B2121">
        <v>14</v>
      </c>
      <c r="C2121" t="s">
        <v>233</v>
      </c>
      <c r="D2121">
        <v>6233</v>
      </c>
      <c r="E2121">
        <v>498</v>
      </c>
      <c r="F2121" t="s">
        <v>39</v>
      </c>
    </row>
    <row r="2122" spans="1:6" x14ac:dyDescent="0.3">
      <c r="A2122" s="20">
        <v>45790</v>
      </c>
      <c r="B2122">
        <v>14</v>
      </c>
      <c r="C2122" t="s">
        <v>250</v>
      </c>
      <c r="D2122">
        <v>90</v>
      </c>
      <c r="E2122">
        <v>15</v>
      </c>
      <c r="F2122" t="s">
        <v>74</v>
      </c>
    </row>
    <row r="2123" spans="1:6" x14ac:dyDescent="0.3">
      <c r="A2123" s="20">
        <v>45790</v>
      </c>
      <c r="B2123">
        <v>14</v>
      </c>
      <c r="C2123" t="s">
        <v>250</v>
      </c>
      <c r="D2123">
        <v>7374</v>
      </c>
      <c r="E2123">
        <v>1202</v>
      </c>
      <c r="F2123" t="s">
        <v>164</v>
      </c>
    </row>
    <row r="2124" spans="1:6" x14ac:dyDescent="0.3">
      <c r="A2124" s="20">
        <v>45790</v>
      </c>
      <c r="B2124">
        <v>14</v>
      </c>
      <c r="C2124" t="s">
        <v>250</v>
      </c>
      <c r="D2124">
        <v>996</v>
      </c>
      <c r="E2124">
        <v>113</v>
      </c>
      <c r="F2124" t="s">
        <v>75</v>
      </c>
    </row>
    <row r="2125" spans="1:6" x14ac:dyDescent="0.3">
      <c r="A2125" s="20">
        <v>45790</v>
      </c>
      <c r="B2125">
        <v>14</v>
      </c>
      <c r="C2125" t="s">
        <v>160</v>
      </c>
      <c r="D2125">
        <v>356</v>
      </c>
      <c r="E2125">
        <v>54</v>
      </c>
      <c r="F2125" t="s">
        <v>47</v>
      </c>
    </row>
    <row r="2126" spans="1:6" x14ac:dyDescent="0.3">
      <c r="A2126" s="20">
        <v>45790</v>
      </c>
      <c r="B2126">
        <v>14</v>
      </c>
      <c r="C2126" t="s">
        <v>160</v>
      </c>
      <c r="D2126">
        <v>10064</v>
      </c>
      <c r="E2126">
        <v>2359</v>
      </c>
      <c r="F2126" t="s">
        <v>43</v>
      </c>
    </row>
    <row r="2127" spans="1:6" x14ac:dyDescent="0.3">
      <c r="A2127" s="20">
        <v>45790</v>
      </c>
      <c r="B2127">
        <v>14</v>
      </c>
      <c r="C2127" t="s">
        <v>81</v>
      </c>
      <c r="D2127">
        <v>86543</v>
      </c>
      <c r="E2127">
        <v>4557</v>
      </c>
      <c r="F2127" t="s">
        <v>38</v>
      </c>
    </row>
    <row r="2128" spans="1:6" x14ac:dyDescent="0.3">
      <c r="A2128" s="20">
        <v>45790</v>
      </c>
      <c r="B2128">
        <v>14</v>
      </c>
      <c r="C2128" t="s">
        <v>235</v>
      </c>
      <c r="D2128">
        <v>880</v>
      </c>
      <c r="E2128">
        <v>184</v>
      </c>
      <c r="F2128" t="s">
        <v>161</v>
      </c>
    </row>
    <row r="2129" spans="1:6" x14ac:dyDescent="0.3">
      <c r="A2129" s="20">
        <v>45790</v>
      </c>
      <c r="B2129">
        <v>15</v>
      </c>
      <c r="C2129" t="s">
        <v>73</v>
      </c>
      <c r="D2129">
        <v>0</v>
      </c>
      <c r="E2129">
        <v>0</v>
      </c>
      <c r="F2129" t="s">
        <v>72</v>
      </c>
    </row>
    <row r="2130" spans="1:6" x14ac:dyDescent="0.3">
      <c r="A2130" s="20">
        <v>45790</v>
      </c>
      <c r="B2130">
        <v>15</v>
      </c>
      <c r="C2130" t="s">
        <v>67</v>
      </c>
      <c r="D2130">
        <v>5154</v>
      </c>
      <c r="E2130">
        <v>189</v>
      </c>
      <c r="F2130" t="s">
        <v>42</v>
      </c>
    </row>
    <row r="2131" spans="1:6" x14ac:dyDescent="0.3">
      <c r="A2131" s="20">
        <v>45790</v>
      </c>
      <c r="B2131">
        <v>15</v>
      </c>
      <c r="C2131" t="s">
        <v>241</v>
      </c>
      <c r="D2131">
        <v>0</v>
      </c>
      <c r="E2131">
        <v>0</v>
      </c>
      <c r="F2131" t="s">
        <v>31</v>
      </c>
    </row>
    <row r="2132" spans="1:6" x14ac:dyDescent="0.3">
      <c r="A2132" s="20">
        <v>45790</v>
      </c>
      <c r="B2132">
        <v>15</v>
      </c>
      <c r="C2132" t="s">
        <v>48</v>
      </c>
      <c r="D2132">
        <v>0</v>
      </c>
      <c r="E2132">
        <v>0</v>
      </c>
      <c r="F2132" t="s">
        <v>259</v>
      </c>
    </row>
    <row r="2133" spans="1:6" x14ac:dyDescent="0.3">
      <c r="A2133" s="20">
        <v>45790</v>
      </c>
      <c r="B2133">
        <v>15</v>
      </c>
      <c r="C2133" t="s">
        <v>239</v>
      </c>
      <c r="D2133">
        <v>75155</v>
      </c>
      <c r="E2133">
        <v>5862</v>
      </c>
      <c r="F2133" t="s">
        <v>31</v>
      </c>
    </row>
    <row r="2134" spans="1:6" x14ac:dyDescent="0.3">
      <c r="A2134" s="20">
        <v>45790</v>
      </c>
      <c r="B2134">
        <v>15</v>
      </c>
      <c r="C2134" t="s">
        <v>152</v>
      </c>
      <c r="D2134">
        <v>14914</v>
      </c>
      <c r="E2134">
        <v>1781</v>
      </c>
      <c r="F2134" t="s">
        <v>252</v>
      </c>
    </row>
    <row r="2135" spans="1:6" x14ac:dyDescent="0.3">
      <c r="A2135" s="20">
        <v>45790</v>
      </c>
      <c r="B2135">
        <v>15</v>
      </c>
      <c r="C2135" t="s">
        <v>238</v>
      </c>
      <c r="D2135">
        <v>5303</v>
      </c>
      <c r="E2135">
        <v>401</v>
      </c>
      <c r="F2135" t="s">
        <v>47</v>
      </c>
    </row>
    <row r="2136" spans="1:6" x14ac:dyDescent="0.3">
      <c r="A2136" s="20">
        <v>45790</v>
      </c>
      <c r="B2136">
        <v>15</v>
      </c>
      <c r="C2136" t="s">
        <v>238</v>
      </c>
      <c r="D2136">
        <v>2396</v>
      </c>
      <c r="E2136">
        <v>113</v>
      </c>
      <c r="F2136" t="s">
        <v>44</v>
      </c>
    </row>
    <row r="2137" spans="1:6" x14ac:dyDescent="0.3">
      <c r="A2137" s="20">
        <v>45790</v>
      </c>
      <c r="B2137">
        <v>15</v>
      </c>
      <c r="C2137" t="s">
        <v>238</v>
      </c>
      <c r="D2137">
        <v>9454</v>
      </c>
      <c r="E2137">
        <v>836</v>
      </c>
      <c r="F2137" t="s">
        <v>32</v>
      </c>
    </row>
    <row r="2138" spans="1:6" x14ac:dyDescent="0.3">
      <c r="A2138" s="20">
        <v>45790</v>
      </c>
      <c r="B2138">
        <v>15</v>
      </c>
      <c r="C2138" t="s">
        <v>255</v>
      </c>
      <c r="D2138">
        <v>13750</v>
      </c>
      <c r="E2138">
        <v>1832</v>
      </c>
      <c r="F2138" t="s">
        <v>39</v>
      </c>
    </row>
    <row r="2139" spans="1:6" x14ac:dyDescent="0.3">
      <c r="A2139" s="20">
        <v>45790</v>
      </c>
      <c r="B2139">
        <v>15</v>
      </c>
      <c r="C2139" t="s">
        <v>250</v>
      </c>
      <c r="D2139">
        <v>175</v>
      </c>
      <c r="E2139">
        <v>34</v>
      </c>
      <c r="F2139" t="s">
        <v>85</v>
      </c>
    </row>
    <row r="2140" spans="1:6" x14ac:dyDescent="0.3">
      <c r="A2140" s="20">
        <v>45790</v>
      </c>
      <c r="B2140">
        <v>15</v>
      </c>
      <c r="C2140" t="s">
        <v>160</v>
      </c>
      <c r="D2140">
        <v>3</v>
      </c>
      <c r="E2140">
        <v>0</v>
      </c>
      <c r="F2140" t="s">
        <v>68</v>
      </c>
    </row>
    <row r="2141" spans="1:6" x14ac:dyDescent="0.3">
      <c r="A2141" s="20">
        <v>45790</v>
      </c>
      <c r="B2141">
        <v>15</v>
      </c>
      <c r="C2141" t="s">
        <v>160</v>
      </c>
      <c r="D2141">
        <v>123</v>
      </c>
      <c r="E2141">
        <v>38</v>
      </c>
      <c r="F2141" t="s">
        <v>161</v>
      </c>
    </row>
    <row r="2142" spans="1:6" x14ac:dyDescent="0.3">
      <c r="A2142" s="20">
        <v>45790</v>
      </c>
      <c r="B2142">
        <v>15</v>
      </c>
      <c r="C2142" t="s">
        <v>165</v>
      </c>
      <c r="D2142">
        <v>5</v>
      </c>
      <c r="E2142">
        <v>5</v>
      </c>
      <c r="F2142" t="s">
        <v>38</v>
      </c>
    </row>
    <row r="2143" spans="1:6" x14ac:dyDescent="0.3">
      <c r="A2143" s="20">
        <v>45790</v>
      </c>
      <c r="B2143">
        <v>15</v>
      </c>
      <c r="C2143" t="s">
        <v>235</v>
      </c>
      <c r="D2143">
        <v>6968</v>
      </c>
      <c r="E2143">
        <v>652</v>
      </c>
      <c r="F2143" t="s">
        <v>234</v>
      </c>
    </row>
    <row r="2144" spans="1:6" x14ac:dyDescent="0.3">
      <c r="A2144" s="20">
        <v>45790</v>
      </c>
      <c r="B2144">
        <v>16</v>
      </c>
      <c r="C2144" t="s">
        <v>73</v>
      </c>
      <c r="D2144">
        <v>0</v>
      </c>
      <c r="E2144">
        <v>0</v>
      </c>
      <c r="F2144" t="s">
        <v>39</v>
      </c>
    </row>
    <row r="2145" spans="1:6" x14ac:dyDescent="0.3">
      <c r="A2145" s="20">
        <v>45790</v>
      </c>
      <c r="B2145">
        <v>16</v>
      </c>
      <c r="C2145" t="s">
        <v>73</v>
      </c>
      <c r="D2145">
        <v>0</v>
      </c>
      <c r="E2145">
        <v>0</v>
      </c>
      <c r="F2145" t="s">
        <v>231</v>
      </c>
    </row>
    <row r="2146" spans="1:6" x14ac:dyDescent="0.3">
      <c r="A2146" s="20">
        <v>45790</v>
      </c>
      <c r="B2146">
        <v>16</v>
      </c>
      <c r="C2146" t="s">
        <v>73</v>
      </c>
      <c r="D2146">
        <v>0</v>
      </c>
      <c r="E2146">
        <v>0</v>
      </c>
      <c r="F2146" t="s">
        <v>46</v>
      </c>
    </row>
    <row r="2147" spans="1:6" x14ac:dyDescent="0.3">
      <c r="A2147" s="20">
        <v>45790</v>
      </c>
      <c r="B2147">
        <v>16</v>
      </c>
      <c r="C2147" t="s">
        <v>228</v>
      </c>
      <c r="D2147">
        <v>655</v>
      </c>
      <c r="E2147">
        <v>88</v>
      </c>
      <c r="F2147" t="s">
        <v>43</v>
      </c>
    </row>
    <row r="2148" spans="1:6" x14ac:dyDescent="0.3">
      <c r="A2148" s="20">
        <v>45790</v>
      </c>
      <c r="B2148">
        <v>16</v>
      </c>
      <c r="C2148" t="s">
        <v>230</v>
      </c>
      <c r="D2148">
        <v>33990</v>
      </c>
      <c r="E2148">
        <v>2599</v>
      </c>
      <c r="F2148" t="s">
        <v>31</v>
      </c>
    </row>
    <row r="2149" spans="1:6" x14ac:dyDescent="0.3">
      <c r="A2149" s="20">
        <v>45790</v>
      </c>
      <c r="B2149">
        <v>16</v>
      </c>
      <c r="C2149" t="s">
        <v>52</v>
      </c>
      <c r="D2149">
        <v>40912</v>
      </c>
      <c r="E2149">
        <v>1946</v>
      </c>
      <c r="F2149" t="s">
        <v>31</v>
      </c>
    </row>
    <row r="2150" spans="1:6" x14ac:dyDescent="0.3">
      <c r="A2150" s="20">
        <v>45790</v>
      </c>
      <c r="B2150">
        <v>16</v>
      </c>
      <c r="C2150" t="s">
        <v>236</v>
      </c>
      <c r="D2150">
        <v>65961</v>
      </c>
      <c r="E2150">
        <v>6588</v>
      </c>
      <c r="F2150" t="s">
        <v>31</v>
      </c>
    </row>
    <row r="2151" spans="1:6" x14ac:dyDescent="0.3">
      <c r="A2151" s="20">
        <v>45790</v>
      </c>
      <c r="B2151">
        <v>16</v>
      </c>
      <c r="C2151" t="s">
        <v>41</v>
      </c>
      <c r="D2151">
        <v>3077</v>
      </c>
      <c r="E2151">
        <v>149</v>
      </c>
      <c r="F2151" t="s">
        <v>31</v>
      </c>
    </row>
    <row r="2152" spans="1:6" x14ac:dyDescent="0.3">
      <c r="A2152" s="20">
        <v>45790</v>
      </c>
      <c r="B2152">
        <v>16</v>
      </c>
      <c r="C2152" t="s">
        <v>54</v>
      </c>
      <c r="D2152">
        <v>162</v>
      </c>
      <c r="E2152">
        <v>22</v>
      </c>
      <c r="F2152" t="s">
        <v>31</v>
      </c>
    </row>
    <row r="2153" spans="1:6" x14ac:dyDescent="0.3">
      <c r="A2153" s="20">
        <v>45790</v>
      </c>
      <c r="B2153">
        <v>16</v>
      </c>
      <c r="C2153" t="s">
        <v>237</v>
      </c>
      <c r="D2153">
        <v>42691</v>
      </c>
      <c r="E2153">
        <v>4192</v>
      </c>
      <c r="F2153" t="s">
        <v>31</v>
      </c>
    </row>
    <row r="2154" spans="1:6" x14ac:dyDescent="0.3">
      <c r="A2154" s="20">
        <v>45790</v>
      </c>
      <c r="B2154">
        <v>16</v>
      </c>
      <c r="C2154" t="s">
        <v>49</v>
      </c>
      <c r="D2154">
        <v>41647</v>
      </c>
      <c r="E2154">
        <v>1953</v>
      </c>
      <c r="F2154" t="s">
        <v>42</v>
      </c>
    </row>
    <row r="2155" spans="1:6" x14ac:dyDescent="0.3">
      <c r="A2155" s="20">
        <v>45790</v>
      </c>
      <c r="B2155">
        <v>16</v>
      </c>
      <c r="C2155" t="s">
        <v>245</v>
      </c>
      <c r="D2155">
        <v>53718</v>
      </c>
      <c r="E2155">
        <v>6898</v>
      </c>
      <c r="F2155" t="s">
        <v>31</v>
      </c>
    </row>
    <row r="2156" spans="1:6" x14ac:dyDescent="0.3">
      <c r="A2156" s="20">
        <v>45790</v>
      </c>
      <c r="B2156">
        <v>16</v>
      </c>
      <c r="C2156" t="s">
        <v>264</v>
      </c>
      <c r="D2156">
        <v>277</v>
      </c>
      <c r="E2156">
        <v>29</v>
      </c>
      <c r="F2156" t="s">
        <v>31</v>
      </c>
    </row>
    <row r="2157" spans="1:6" x14ac:dyDescent="0.3">
      <c r="A2157" s="20">
        <v>45790</v>
      </c>
      <c r="B2157">
        <v>16</v>
      </c>
      <c r="C2157" t="s">
        <v>71</v>
      </c>
      <c r="D2157">
        <v>14874</v>
      </c>
      <c r="E2157">
        <v>2087</v>
      </c>
      <c r="F2157" t="s">
        <v>164</v>
      </c>
    </row>
    <row r="2158" spans="1:6" x14ac:dyDescent="0.3">
      <c r="A2158" s="20">
        <v>45790</v>
      </c>
      <c r="B2158">
        <v>16</v>
      </c>
      <c r="C2158" t="s">
        <v>232</v>
      </c>
      <c r="D2158">
        <v>3476</v>
      </c>
      <c r="E2158">
        <v>237</v>
      </c>
      <c r="F2158" t="s">
        <v>39</v>
      </c>
    </row>
    <row r="2159" spans="1:6" x14ac:dyDescent="0.3">
      <c r="A2159" s="20">
        <v>45790</v>
      </c>
      <c r="B2159">
        <v>16</v>
      </c>
      <c r="C2159" t="s">
        <v>233</v>
      </c>
      <c r="D2159">
        <v>4270</v>
      </c>
      <c r="E2159">
        <v>700</v>
      </c>
      <c r="F2159" t="s">
        <v>85</v>
      </c>
    </row>
    <row r="2160" spans="1:6" x14ac:dyDescent="0.3">
      <c r="A2160" s="20">
        <v>45790</v>
      </c>
      <c r="B2160">
        <v>16</v>
      </c>
      <c r="C2160" t="s">
        <v>265</v>
      </c>
      <c r="D2160">
        <v>385</v>
      </c>
      <c r="E2160">
        <v>20</v>
      </c>
      <c r="F2160" t="s">
        <v>42</v>
      </c>
    </row>
    <row r="2161" spans="1:6" x14ac:dyDescent="0.3">
      <c r="A2161" s="20">
        <v>45790</v>
      </c>
      <c r="B2161">
        <v>16</v>
      </c>
      <c r="C2161" t="s">
        <v>124</v>
      </c>
      <c r="D2161">
        <v>80675</v>
      </c>
      <c r="E2161">
        <v>5310</v>
      </c>
      <c r="F2161" t="s">
        <v>38</v>
      </c>
    </row>
    <row r="2162" spans="1:6" x14ac:dyDescent="0.3">
      <c r="A2162" s="20">
        <v>45790</v>
      </c>
      <c r="B2162">
        <v>16</v>
      </c>
      <c r="C2162" t="s">
        <v>40</v>
      </c>
      <c r="D2162">
        <v>110508</v>
      </c>
      <c r="E2162">
        <v>6666</v>
      </c>
      <c r="F2162" t="s">
        <v>38</v>
      </c>
    </row>
    <row r="2163" spans="1:6" x14ac:dyDescent="0.3">
      <c r="A2163" s="20">
        <v>45790</v>
      </c>
      <c r="B2163">
        <v>16</v>
      </c>
      <c r="C2163" t="s">
        <v>76</v>
      </c>
      <c r="D2163">
        <v>86385</v>
      </c>
      <c r="E2163">
        <v>4693</v>
      </c>
      <c r="F2163" t="s">
        <v>38</v>
      </c>
    </row>
    <row r="2164" spans="1:6" x14ac:dyDescent="0.3">
      <c r="A2164" s="20">
        <v>45790</v>
      </c>
      <c r="B2164">
        <v>16</v>
      </c>
      <c r="C2164" t="s">
        <v>253</v>
      </c>
      <c r="D2164">
        <v>1046</v>
      </c>
      <c r="E2164">
        <v>242</v>
      </c>
      <c r="F2164" t="s">
        <v>47</v>
      </c>
    </row>
    <row r="2165" spans="1:6" x14ac:dyDescent="0.3">
      <c r="A2165" s="20">
        <v>45790</v>
      </c>
      <c r="B2165">
        <v>16</v>
      </c>
      <c r="C2165" t="s">
        <v>253</v>
      </c>
      <c r="D2165">
        <v>0</v>
      </c>
      <c r="E2165">
        <v>0</v>
      </c>
      <c r="F2165" t="s">
        <v>44</v>
      </c>
    </row>
    <row r="2166" spans="1:6" x14ac:dyDescent="0.3">
      <c r="A2166" s="20">
        <v>45790</v>
      </c>
      <c r="B2166">
        <v>17</v>
      </c>
      <c r="C2166" t="s">
        <v>73</v>
      </c>
      <c r="D2166">
        <v>10</v>
      </c>
      <c r="E2166">
        <v>10</v>
      </c>
      <c r="F2166" t="s">
        <v>31</v>
      </c>
    </row>
    <row r="2167" spans="1:6" x14ac:dyDescent="0.3">
      <c r="A2167" s="20">
        <v>45790</v>
      </c>
      <c r="B2167">
        <v>17</v>
      </c>
      <c r="C2167" t="s">
        <v>73</v>
      </c>
      <c r="D2167">
        <v>0</v>
      </c>
      <c r="E2167">
        <v>0</v>
      </c>
      <c r="F2167" t="s">
        <v>229</v>
      </c>
    </row>
    <row r="2168" spans="1:6" x14ac:dyDescent="0.3">
      <c r="A2168" s="20">
        <v>45790</v>
      </c>
      <c r="B2168">
        <v>17</v>
      </c>
      <c r="C2168" t="s">
        <v>153</v>
      </c>
      <c r="D2168">
        <v>6764</v>
      </c>
      <c r="E2168">
        <v>220</v>
      </c>
      <c r="F2168" t="s">
        <v>248</v>
      </c>
    </row>
    <row r="2169" spans="1:6" x14ac:dyDescent="0.3">
      <c r="A2169" s="20">
        <v>45790</v>
      </c>
      <c r="B2169">
        <v>17</v>
      </c>
      <c r="C2169" t="s">
        <v>156</v>
      </c>
      <c r="D2169">
        <v>9973</v>
      </c>
      <c r="E2169">
        <v>1651</v>
      </c>
      <c r="F2169" t="s">
        <v>75</v>
      </c>
    </row>
    <row r="2170" spans="1:6" x14ac:dyDescent="0.3">
      <c r="A2170" s="20">
        <v>45790</v>
      </c>
      <c r="B2170">
        <v>17</v>
      </c>
      <c r="C2170" t="s">
        <v>249</v>
      </c>
      <c r="D2170">
        <v>9653</v>
      </c>
      <c r="E2170">
        <v>293</v>
      </c>
      <c r="F2170" t="s">
        <v>31</v>
      </c>
    </row>
    <row r="2171" spans="1:6" x14ac:dyDescent="0.3">
      <c r="A2171" s="20">
        <v>45790</v>
      </c>
      <c r="B2171">
        <v>17</v>
      </c>
      <c r="C2171" t="s">
        <v>242</v>
      </c>
      <c r="D2171">
        <v>36322</v>
      </c>
      <c r="E2171">
        <v>3265</v>
      </c>
      <c r="F2171" t="s">
        <v>31</v>
      </c>
    </row>
    <row r="2172" spans="1:6" x14ac:dyDescent="0.3">
      <c r="A2172" s="20">
        <v>45790</v>
      </c>
      <c r="B2172">
        <v>17</v>
      </c>
      <c r="C2172" t="s">
        <v>246</v>
      </c>
      <c r="D2172">
        <v>34662</v>
      </c>
      <c r="E2172">
        <v>4687</v>
      </c>
      <c r="F2172" t="s">
        <v>31</v>
      </c>
    </row>
    <row r="2173" spans="1:6" x14ac:dyDescent="0.3">
      <c r="A2173" s="20">
        <v>45790</v>
      </c>
      <c r="B2173">
        <v>17</v>
      </c>
      <c r="C2173" t="s">
        <v>254</v>
      </c>
      <c r="D2173">
        <v>33</v>
      </c>
      <c r="E2173">
        <v>0</v>
      </c>
      <c r="F2173" t="s">
        <v>31</v>
      </c>
    </row>
    <row r="2174" spans="1:6" x14ac:dyDescent="0.3">
      <c r="A2174" s="20">
        <v>45790</v>
      </c>
      <c r="B2174">
        <v>17</v>
      </c>
      <c r="C2174" t="s">
        <v>71</v>
      </c>
      <c r="D2174">
        <v>3192</v>
      </c>
      <c r="E2174">
        <v>364</v>
      </c>
      <c r="F2174" t="s">
        <v>229</v>
      </c>
    </row>
    <row r="2175" spans="1:6" x14ac:dyDescent="0.3">
      <c r="A2175" s="20">
        <v>45790</v>
      </c>
      <c r="B2175">
        <v>17</v>
      </c>
      <c r="C2175" t="s">
        <v>232</v>
      </c>
      <c r="D2175">
        <v>3531</v>
      </c>
      <c r="E2175">
        <v>242</v>
      </c>
      <c r="F2175" t="s">
        <v>74</v>
      </c>
    </row>
    <row r="2176" spans="1:6" x14ac:dyDescent="0.3">
      <c r="A2176" s="20">
        <v>45790</v>
      </c>
      <c r="B2176">
        <v>17</v>
      </c>
      <c r="C2176" t="s">
        <v>232</v>
      </c>
      <c r="D2176">
        <v>19815</v>
      </c>
      <c r="E2176">
        <v>3259</v>
      </c>
      <c r="F2176" t="s">
        <v>229</v>
      </c>
    </row>
    <row r="2177" spans="1:6" x14ac:dyDescent="0.3">
      <c r="A2177" s="20">
        <v>45790</v>
      </c>
      <c r="B2177">
        <v>17</v>
      </c>
      <c r="C2177" t="s">
        <v>250</v>
      </c>
      <c r="D2177">
        <v>61</v>
      </c>
      <c r="E2177">
        <v>3</v>
      </c>
      <c r="F2177" t="s">
        <v>74</v>
      </c>
    </row>
    <row r="2178" spans="1:6" x14ac:dyDescent="0.3">
      <c r="A2178" s="20">
        <v>45790</v>
      </c>
      <c r="B2178">
        <v>17</v>
      </c>
      <c r="C2178" t="s">
        <v>250</v>
      </c>
      <c r="D2178">
        <v>2262</v>
      </c>
      <c r="E2178">
        <v>243</v>
      </c>
      <c r="F2178" t="s">
        <v>164</v>
      </c>
    </row>
    <row r="2179" spans="1:6" x14ac:dyDescent="0.3">
      <c r="A2179" s="20">
        <v>45790</v>
      </c>
      <c r="B2179">
        <v>17</v>
      </c>
      <c r="C2179" t="s">
        <v>250</v>
      </c>
      <c r="D2179">
        <v>701</v>
      </c>
      <c r="E2179">
        <v>69</v>
      </c>
      <c r="F2179" t="s">
        <v>75</v>
      </c>
    </row>
    <row r="2180" spans="1:6" x14ac:dyDescent="0.3">
      <c r="A2180" s="20">
        <v>45790</v>
      </c>
      <c r="B2180">
        <v>17</v>
      </c>
      <c r="C2180" t="s">
        <v>160</v>
      </c>
      <c r="D2180">
        <v>283</v>
      </c>
      <c r="E2180">
        <v>40</v>
      </c>
      <c r="F2180" t="s">
        <v>47</v>
      </c>
    </row>
    <row r="2181" spans="1:6" x14ac:dyDescent="0.3">
      <c r="A2181" s="20">
        <v>45790</v>
      </c>
      <c r="B2181">
        <v>17</v>
      </c>
      <c r="C2181" t="s">
        <v>160</v>
      </c>
      <c r="D2181">
        <v>190</v>
      </c>
      <c r="E2181">
        <v>16</v>
      </c>
      <c r="F2181" t="s">
        <v>44</v>
      </c>
    </row>
    <row r="2182" spans="1:6" x14ac:dyDescent="0.3">
      <c r="A2182" s="20">
        <v>45790</v>
      </c>
      <c r="B2182">
        <v>17</v>
      </c>
      <c r="C2182" t="s">
        <v>160</v>
      </c>
      <c r="D2182">
        <v>8527</v>
      </c>
      <c r="E2182">
        <v>1883</v>
      </c>
      <c r="F2182" t="s">
        <v>43</v>
      </c>
    </row>
    <row r="2183" spans="1:6" x14ac:dyDescent="0.3">
      <c r="A2183" s="20">
        <v>45790</v>
      </c>
      <c r="B2183">
        <v>17</v>
      </c>
      <c r="C2183" t="s">
        <v>266</v>
      </c>
      <c r="D2183">
        <v>1947</v>
      </c>
      <c r="E2183">
        <v>103</v>
      </c>
      <c r="F2183" t="s">
        <v>38</v>
      </c>
    </row>
    <row r="2184" spans="1:6" x14ac:dyDescent="0.3">
      <c r="A2184" s="20">
        <v>45790</v>
      </c>
      <c r="B2184">
        <v>17</v>
      </c>
      <c r="C2184" t="s">
        <v>81</v>
      </c>
      <c r="D2184">
        <v>82363</v>
      </c>
      <c r="E2184">
        <v>4896</v>
      </c>
      <c r="F2184" t="s">
        <v>38</v>
      </c>
    </row>
    <row r="2185" spans="1:6" x14ac:dyDescent="0.3">
      <c r="A2185" s="20">
        <v>45790</v>
      </c>
      <c r="B2185">
        <v>17</v>
      </c>
      <c r="C2185" t="s">
        <v>235</v>
      </c>
      <c r="D2185">
        <v>735</v>
      </c>
      <c r="E2185">
        <v>123</v>
      </c>
      <c r="F2185" t="s">
        <v>161</v>
      </c>
    </row>
    <row r="2186" spans="1:6" x14ac:dyDescent="0.3">
      <c r="A2186" s="20">
        <v>45790</v>
      </c>
      <c r="B2186">
        <v>18</v>
      </c>
      <c r="C2186" t="s">
        <v>73</v>
      </c>
      <c r="D2186">
        <v>0</v>
      </c>
      <c r="E2186">
        <v>0</v>
      </c>
      <c r="F2186" t="s">
        <v>86</v>
      </c>
    </row>
    <row r="2187" spans="1:6" x14ac:dyDescent="0.3">
      <c r="A2187" s="20">
        <v>45790</v>
      </c>
      <c r="B2187">
        <v>18</v>
      </c>
      <c r="C2187" t="s">
        <v>73</v>
      </c>
      <c r="D2187">
        <v>0</v>
      </c>
      <c r="E2187">
        <v>0</v>
      </c>
      <c r="F2187" t="s">
        <v>75</v>
      </c>
    </row>
    <row r="2188" spans="1:6" x14ac:dyDescent="0.3">
      <c r="A2188" s="20">
        <v>45790</v>
      </c>
      <c r="B2188">
        <v>18</v>
      </c>
      <c r="C2188" t="s">
        <v>228</v>
      </c>
      <c r="D2188">
        <v>93</v>
      </c>
      <c r="E2188">
        <v>23</v>
      </c>
      <c r="F2188" t="s">
        <v>72</v>
      </c>
    </row>
    <row r="2189" spans="1:6" x14ac:dyDescent="0.3">
      <c r="A2189" s="20">
        <v>45790</v>
      </c>
      <c r="B2189">
        <v>18</v>
      </c>
      <c r="C2189" t="s">
        <v>157</v>
      </c>
      <c r="D2189">
        <v>6720</v>
      </c>
      <c r="E2189">
        <v>1843</v>
      </c>
      <c r="F2189" t="s">
        <v>31</v>
      </c>
    </row>
    <row r="2190" spans="1:6" x14ac:dyDescent="0.3">
      <c r="A2190" s="20">
        <v>45790</v>
      </c>
      <c r="B2190">
        <v>18</v>
      </c>
      <c r="C2190" t="s">
        <v>48</v>
      </c>
      <c r="D2190">
        <v>0</v>
      </c>
      <c r="E2190">
        <v>0</v>
      </c>
      <c r="F2190" t="s">
        <v>259</v>
      </c>
    </row>
    <row r="2191" spans="1:6" x14ac:dyDescent="0.3">
      <c r="A2191" s="20">
        <v>45790</v>
      </c>
      <c r="B2191">
        <v>18</v>
      </c>
      <c r="C2191" t="s">
        <v>238</v>
      </c>
      <c r="D2191">
        <v>4045</v>
      </c>
      <c r="E2191">
        <v>187</v>
      </c>
      <c r="F2191" t="s">
        <v>44</v>
      </c>
    </row>
    <row r="2192" spans="1:6" x14ac:dyDescent="0.3">
      <c r="A2192" s="20">
        <v>45790</v>
      </c>
      <c r="B2192">
        <v>18</v>
      </c>
      <c r="C2192" t="s">
        <v>238</v>
      </c>
      <c r="D2192">
        <v>9287</v>
      </c>
      <c r="E2192">
        <v>846</v>
      </c>
      <c r="F2192" t="s">
        <v>32</v>
      </c>
    </row>
    <row r="2193" spans="1:6" x14ac:dyDescent="0.3">
      <c r="A2193" s="20">
        <v>45790</v>
      </c>
      <c r="B2193">
        <v>18</v>
      </c>
      <c r="C2193" t="s">
        <v>255</v>
      </c>
      <c r="D2193">
        <v>12522</v>
      </c>
      <c r="E2193">
        <v>1699</v>
      </c>
      <c r="F2193" t="s">
        <v>39</v>
      </c>
    </row>
    <row r="2194" spans="1:6" x14ac:dyDescent="0.3">
      <c r="A2194" s="20">
        <v>45790</v>
      </c>
      <c r="B2194">
        <v>18</v>
      </c>
      <c r="C2194" t="s">
        <v>250</v>
      </c>
      <c r="D2194">
        <v>61</v>
      </c>
      <c r="E2194">
        <v>8</v>
      </c>
      <c r="F2194" t="s">
        <v>85</v>
      </c>
    </row>
    <row r="2195" spans="1:6" x14ac:dyDescent="0.3">
      <c r="A2195" s="20">
        <v>45790</v>
      </c>
      <c r="B2195">
        <v>18</v>
      </c>
      <c r="C2195" t="s">
        <v>160</v>
      </c>
      <c r="D2195">
        <v>0</v>
      </c>
      <c r="E2195">
        <v>0</v>
      </c>
      <c r="F2195" t="s">
        <v>68</v>
      </c>
    </row>
    <row r="2196" spans="1:6" x14ac:dyDescent="0.3">
      <c r="A2196" s="20">
        <v>45790</v>
      </c>
      <c r="B2196">
        <v>18</v>
      </c>
      <c r="C2196" t="s">
        <v>160</v>
      </c>
      <c r="D2196">
        <v>48</v>
      </c>
      <c r="E2196">
        <v>5</v>
      </c>
      <c r="F2196" t="s">
        <v>161</v>
      </c>
    </row>
    <row r="2197" spans="1:6" x14ac:dyDescent="0.3">
      <c r="A2197" s="20">
        <v>45790</v>
      </c>
      <c r="B2197">
        <v>18</v>
      </c>
      <c r="C2197" t="s">
        <v>160</v>
      </c>
      <c r="D2197">
        <v>1958</v>
      </c>
      <c r="E2197">
        <v>569</v>
      </c>
      <c r="F2197" t="s">
        <v>72</v>
      </c>
    </row>
    <row r="2198" spans="1:6" x14ac:dyDescent="0.3">
      <c r="A2198" s="20">
        <v>45790</v>
      </c>
      <c r="B2198">
        <v>18</v>
      </c>
      <c r="C2198" t="s">
        <v>165</v>
      </c>
      <c r="D2198">
        <v>5</v>
      </c>
      <c r="E2198">
        <v>5</v>
      </c>
      <c r="F2198" t="s">
        <v>38</v>
      </c>
    </row>
    <row r="2199" spans="1:6" x14ac:dyDescent="0.3">
      <c r="A2199" s="20">
        <v>45790</v>
      </c>
      <c r="B2199">
        <v>19</v>
      </c>
      <c r="C2199" t="s">
        <v>73</v>
      </c>
      <c r="D2199">
        <v>0</v>
      </c>
      <c r="E2199">
        <v>0</v>
      </c>
      <c r="F2199" t="s">
        <v>231</v>
      </c>
    </row>
    <row r="2200" spans="1:6" x14ac:dyDescent="0.3">
      <c r="A2200" s="20">
        <v>45790</v>
      </c>
      <c r="B2200">
        <v>19</v>
      </c>
      <c r="C2200" t="s">
        <v>230</v>
      </c>
      <c r="D2200">
        <v>26305</v>
      </c>
      <c r="E2200">
        <v>1544</v>
      </c>
      <c r="F2200" t="s">
        <v>31</v>
      </c>
    </row>
    <row r="2201" spans="1:6" x14ac:dyDescent="0.3">
      <c r="A2201" s="20">
        <v>45790</v>
      </c>
      <c r="B2201">
        <v>19</v>
      </c>
      <c r="C2201" t="s">
        <v>41</v>
      </c>
      <c r="D2201">
        <v>2117</v>
      </c>
      <c r="E2201">
        <v>121</v>
      </c>
      <c r="F2201" t="s">
        <v>31</v>
      </c>
    </row>
    <row r="2202" spans="1:6" x14ac:dyDescent="0.3">
      <c r="A2202" s="20">
        <v>45790</v>
      </c>
      <c r="B2202">
        <v>19</v>
      </c>
      <c r="C2202" t="s">
        <v>54</v>
      </c>
      <c r="D2202">
        <v>124</v>
      </c>
      <c r="E2202">
        <v>9</v>
      </c>
      <c r="F2202" t="s">
        <v>31</v>
      </c>
    </row>
    <row r="2203" spans="1:6" x14ac:dyDescent="0.3">
      <c r="A2203" s="20">
        <v>45790</v>
      </c>
      <c r="B2203">
        <v>19</v>
      </c>
      <c r="C2203" t="s">
        <v>245</v>
      </c>
      <c r="D2203">
        <v>30290</v>
      </c>
      <c r="E2203">
        <v>3798</v>
      </c>
      <c r="F2203" t="s">
        <v>31</v>
      </c>
    </row>
    <row r="2204" spans="1:6" x14ac:dyDescent="0.3">
      <c r="A2204" s="20">
        <v>45790</v>
      </c>
      <c r="B2204">
        <v>19</v>
      </c>
      <c r="C2204" t="s">
        <v>232</v>
      </c>
      <c r="D2204">
        <v>2050</v>
      </c>
      <c r="E2204">
        <v>144</v>
      </c>
      <c r="F2204" t="s">
        <v>39</v>
      </c>
    </row>
    <row r="2205" spans="1:6" x14ac:dyDescent="0.3">
      <c r="A2205" s="20">
        <v>45790</v>
      </c>
      <c r="B2205">
        <v>19</v>
      </c>
      <c r="C2205" t="s">
        <v>233</v>
      </c>
      <c r="D2205">
        <v>151</v>
      </c>
      <c r="E2205">
        <v>43</v>
      </c>
      <c r="F2205" t="s">
        <v>85</v>
      </c>
    </row>
    <row r="2206" spans="1:6" x14ac:dyDescent="0.3">
      <c r="A2206" s="20">
        <v>45790</v>
      </c>
      <c r="B2206">
        <v>19</v>
      </c>
      <c r="C2206" t="s">
        <v>160</v>
      </c>
      <c r="D2206">
        <v>979</v>
      </c>
      <c r="E2206">
        <v>154</v>
      </c>
      <c r="F2206" t="s">
        <v>39</v>
      </c>
    </row>
    <row r="2207" spans="1:6" x14ac:dyDescent="0.3">
      <c r="A2207" s="20">
        <v>45790</v>
      </c>
      <c r="B2207">
        <v>19</v>
      </c>
      <c r="C2207" t="s">
        <v>40</v>
      </c>
      <c r="D2207">
        <v>99003</v>
      </c>
      <c r="E2207">
        <v>4917</v>
      </c>
      <c r="F2207" t="s">
        <v>38</v>
      </c>
    </row>
    <row r="2208" spans="1:6" x14ac:dyDescent="0.3">
      <c r="A2208" s="20">
        <v>45790</v>
      </c>
      <c r="B2208">
        <v>19</v>
      </c>
      <c r="C2208" t="s">
        <v>76</v>
      </c>
      <c r="D2208">
        <v>94859</v>
      </c>
      <c r="E2208">
        <v>4625</v>
      </c>
      <c r="F2208" t="s">
        <v>38</v>
      </c>
    </row>
    <row r="2209" spans="1:6" x14ac:dyDescent="0.3">
      <c r="A2209" s="20">
        <v>45790</v>
      </c>
      <c r="B2209">
        <v>20</v>
      </c>
      <c r="C2209" t="s">
        <v>73</v>
      </c>
      <c r="D2209">
        <v>0</v>
      </c>
      <c r="E2209">
        <v>0</v>
      </c>
      <c r="F2209" t="s">
        <v>31</v>
      </c>
    </row>
    <row r="2210" spans="1:6" x14ac:dyDescent="0.3">
      <c r="A2210" s="20">
        <v>45790</v>
      </c>
      <c r="B2210">
        <v>20</v>
      </c>
      <c r="C2210" t="s">
        <v>73</v>
      </c>
      <c r="D2210">
        <v>0</v>
      </c>
      <c r="E2210">
        <v>0</v>
      </c>
      <c r="F2210" t="s">
        <v>229</v>
      </c>
    </row>
    <row r="2211" spans="1:6" x14ac:dyDescent="0.3">
      <c r="A2211" s="20">
        <v>45790</v>
      </c>
      <c r="B2211">
        <v>20</v>
      </c>
      <c r="C2211" t="s">
        <v>156</v>
      </c>
      <c r="D2211">
        <v>2698</v>
      </c>
      <c r="E2211">
        <v>280</v>
      </c>
      <c r="F2211" t="s">
        <v>229</v>
      </c>
    </row>
    <row r="2212" spans="1:6" x14ac:dyDescent="0.3">
      <c r="A2212" s="20">
        <v>45790</v>
      </c>
      <c r="B2212">
        <v>20</v>
      </c>
      <c r="C2212" t="s">
        <v>156</v>
      </c>
      <c r="D2212">
        <v>3114</v>
      </c>
      <c r="E2212">
        <v>473</v>
      </c>
      <c r="F2212" t="s">
        <v>75</v>
      </c>
    </row>
    <row r="2213" spans="1:6" x14ac:dyDescent="0.3">
      <c r="A2213" s="20">
        <v>45790</v>
      </c>
      <c r="B2213">
        <v>20</v>
      </c>
      <c r="C2213" t="s">
        <v>228</v>
      </c>
      <c r="D2213">
        <v>4238</v>
      </c>
      <c r="E2213">
        <v>795</v>
      </c>
      <c r="F2213" t="s">
        <v>45</v>
      </c>
    </row>
    <row r="2214" spans="1:6" x14ac:dyDescent="0.3">
      <c r="A2214" s="20">
        <v>45790</v>
      </c>
      <c r="B2214">
        <v>20</v>
      </c>
      <c r="C2214" t="s">
        <v>249</v>
      </c>
      <c r="D2214">
        <v>8257</v>
      </c>
      <c r="E2214">
        <v>288</v>
      </c>
      <c r="F2214" t="s">
        <v>31</v>
      </c>
    </row>
    <row r="2215" spans="1:6" x14ac:dyDescent="0.3">
      <c r="A2215" s="20">
        <v>45790</v>
      </c>
      <c r="B2215">
        <v>20</v>
      </c>
      <c r="C2215" t="s">
        <v>242</v>
      </c>
      <c r="D2215">
        <v>9185</v>
      </c>
      <c r="E2215">
        <v>681</v>
      </c>
      <c r="F2215" t="s">
        <v>31</v>
      </c>
    </row>
    <row r="2216" spans="1:6" x14ac:dyDescent="0.3">
      <c r="A2216" s="20">
        <v>45790</v>
      </c>
      <c r="B2216">
        <v>20</v>
      </c>
      <c r="C2216" t="s">
        <v>35</v>
      </c>
      <c r="D2216">
        <v>52</v>
      </c>
      <c r="E2216">
        <v>6</v>
      </c>
      <c r="F2216" t="s">
        <v>31</v>
      </c>
    </row>
    <row r="2217" spans="1:6" x14ac:dyDescent="0.3">
      <c r="A2217" s="20">
        <v>45790</v>
      </c>
      <c r="B2217">
        <v>20</v>
      </c>
      <c r="C2217" t="s">
        <v>246</v>
      </c>
      <c r="D2217">
        <v>35345</v>
      </c>
      <c r="E2217">
        <v>1236</v>
      </c>
      <c r="F2217" t="s">
        <v>31</v>
      </c>
    </row>
    <row r="2218" spans="1:6" x14ac:dyDescent="0.3">
      <c r="A2218" s="20">
        <v>45790</v>
      </c>
      <c r="B2218">
        <v>20</v>
      </c>
      <c r="C2218" t="s">
        <v>232</v>
      </c>
      <c r="D2218">
        <v>1274</v>
      </c>
      <c r="E2218">
        <v>66</v>
      </c>
      <c r="F2218" t="s">
        <v>74</v>
      </c>
    </row>
    <row r="2219" spans="1:6" x14ac:dyDescent="0.3">
      <c r="A2219" s="20">
        <v>45790</v>
      </c>
      <c r="B2219">
        <v>20</v>
      </c>
      <c r="C2219" t="s">
        <v>232</v>
      </c>
      <c r="D2219">
        <v>9070</v>
      </c>
      <c r="E2219">
        <v>894</v>
      </c>
      <c r="F2219" t="s">
        <v>229</v>
      </c>
    </row>
    <row r="2220" spans="1:6" x14ac:dyDescent="0.3">
      <c r="A2220" s="20">
        <v>45790</v>
      </c>
      <c r="B2220">
        <v>20</v>
      </c>
      <c r="C2220" t="s">
        <v>250</v>
      </c>
      <c r="D2220">
        <v>31</v>
      </c>
      <c r="E2220">
        <v>3</v>
      </c>
      <c r="F2220" t="s">
        <v>74</v>
      </c>
    </row>
    <row r="2221" spans="1:6" x14ac:dyDescent="0.3">
      <c r="A2221" s="20">
        <v>45790</v>
      </c>
      <c r="B2221">
        <v>20</v>
      </c>
      <c r="C2221" t="s">
        <v>250</v>
      </c>
      <c r="D2221">
        <v>514</v>
      </c>
      <c r="E2221">
        <v>13</v>
      </c>
      <c r="F2221" t="s">
        <v>164</v>
      </c>
    </row>
    <row r="2222" spans="1:6" x14ac:dyDescent="0.3">
      <c r="A2222" s="20">
        <v>45790</v>
      </c>
      <c r="B2222">
        <v>20</v>
      </c>
      <c r="C2222" t="s">
        <v>160</v>
      </c>
      <c r="D2222">
        <v>259</v>
      </c>
      <c r="E2222">
        <v>13</v>
      </c>
      <c r="F2222" t="s">
        <v>47</v>
      </c>
    </row>
    <row r="2223" spans="1:6" x14ac:dyDescent="0.3">
      <c r="A2223" s="20">
        <v>45790</v>
      </c>
      <c r="B2223">
        <v>20</v>
      </c>
      <c r="C2223" t="s">
        <v>160</v>
      </c>
      <c r="D2223">
        <v>0</v>
      </c>
      <c r="E2223">
        <v>0</v>
      </c>
      <c r="F2223" t="s">
        <v>44</v>
      </c>
    </row>
    <row r="2224" spans="1:6" x14ac:dyDescent="0.3">
      <c r="A2224" s="20">
        <v>45790</v>
      </c>
      <c r="B2224">
        <v>20</v>
      </c>
      <c r="C2224" t="s">
        <v>160</v>
      </c>
      <c r="D2224">
        <v>32</v>
      </c>
      <c r="E2224">
        <v>2</v>
      </c>
      <c r="F2224" t="s">
        <v>32</v>
      </c>
    </row>
    <row r="2225" spans="1:6" x14ac:dyDescent="0.3">
      <c r="A2225" s="20">
        <v>45790</v>
      </c>
      <c r="B2225">
        <v>20</v>
      </c>
      <c r="C2225" t="s">
        <v>55</v>
      </c>
      <c r="D2225">
        <v>60791</v>
      </c>
      <c r="E2225">
        <v>2802</v>
      </c>
      <c r="F2225" t="s">
        <v>38</v>
      </c>
    </row>
    <row r="2226" spans="1:6" x14ac:dyDescent="0.3">
      <c r="A2226" s="20">
        <v>45790</v>
      </c>
      <c r="B2226">
        <v>23</v>
      </c>
      <c r="C2226" t="s">
        <v>235</v>
      </c>
      <c r="D2226">
        <v>3</v>
      </c>
      <c r="E2226">
        <v>3</v>
      </c>
      <c r="F2226" t="s">
        <v>72</v>
      </c>
    </row>
    <row r="2227" spans="1:6" x14ac:dyDescent="0.3">
      <c r="A2227" s="20">
        <v>45790</v>
      </c>
      <c r="B2227">
        <v>8</v>
      </c>
      <c r="C2227" t="s">
        <v>73</v>
      </c>
      <c r="D2227">
        <v>0</v>
      </c>
      <c r="E2227">
        <v>0</v>
      </c>
      <c r="F2227" t="s">
        <v>229</v>
      </c>
    </row>
    <row r="2228" spans="1:6" x14ac:dyDescent="0.3">
      <c r="A2228" s="20">
        <v>45790</v>
      </c>
      <c r="B2228">
        <v>8</v>
      </c>
      <c r="C2228" t="s">
        <v>228</v>
      </c>
      <c r="D2228">
        <v>9220</v>
      </c>
      <c r="E2228">
        <v>1695</v>
      </c>
      <c r="F2228" t="s">
        <v>45</v>
      </c>
    </row>
    <row r="2229" spans="1:6" x14ac:dyDescent="0.3">
      <c r="A2229" s="20">
        <v>45790</v>
      </c>
      <c r="B2229">
        <v>8</v>
      </c>
      <c r="C2229" t="s">
        <v>249</v>
      </c>
      <c r="D2229">
        <v>12191</v>
      </c>
      <c r="E2229">
        <v>638</v>
      </c>
      <c r="F2229" t="s">
        <v>31</v>
      </c>
    </row>
    <row r="2230" spans="1:6" x14ac:dyDescent="0.3">
      <c r="A2230" s="20">
        <v>45790</v>
      </c>
      <c r="B2230">
        <v>8</v>
      </c>
      <c r="C2230" t="s">
        <v>242</v>
      </c>
      <c r="D2230">
        <v>67968</v>
      </c>
      <c r="E2230">
        <v>7729</v>
      </c>
      <c r="F2230" t="s">
        <v>31</v>
      </c>
    </row>
    <row r="2231" spans="1:6" x14ac:dyDescent="0.3">
      <c r="A2231" s="20">
        <v>45790</v>
      </c>
      <c r="B2231">
        <v>8</v>
      </c>
      <c r="C2231" t="s">
        <v>35</v>
      </c>
      <c r="D2231">
        <v>3111</v>
      </c>
      <c r="E2231">
        <v>378</v>
      </c>
      <c r="F2231" t="s">
        <v>31</v>
      </c>
    </row>
    <row r="2232" spans="1:6" x14ac:dyDescent="0.3">
      <c r="A2232" s="20">
        <v>45790</v>
      </c>
      <c r="B2232">
        <v>8</v>
      </c>
      <c r="C2232" t="s">
        <v>244</v>
      </c>
      <c r="D2232">
        <v>49109</v>
      </c>
      <c r="E2232">
        <v>5099</v>
      </c>
      <c r="F2232" t="s">
        <v>31</v>
      </c>
    </row>
    <row r="2233" spans="1:6" x14ac:dyDescent="0.3">
      <c r="A2233" s="20">
        <v>45790</v>
      </c>
      <c r="B2233">
        <v>8</v>
      </c>
      <c r="C2233" t="s">
        <v>246</v>
      </c>
      <c r="D2233">
        <v>62266</v>
      </c>
      <c r="E2233">
        <v>8192</v>
      </c>
      <c r="F2233" t="s">
        <v>31</v>
      </c>
    </row>
    <row r="2234" spans="1:6" x14ac:dyDescent="0.3">
      <c r="A2234" s="20">
        <v>45790</v>
      </c>
      <c r="B2234">
        <v>8</v>
      </c>
      <c r="C2234" t="s">
        <v>232</v>
      </c>
      <c r="D2234">
        <v>258</v>
      </c>
      <c r="E2234">
        <v>23</v>
      </c>
      <c r="F2234" t="s">
        <v>68</v>
      </c>
    </row>
    <row r="2235" spans="1:6" x14ac:dyDescent="0.3">
      <c r="A2235" s="20">
        <v>45790</v>
      </c>
      <c r="B2235">
        <v>8</v>
      </c>
      <c r="C2235" t="s">
        <v>250</v>
      </c>
      <c r="D2235">
        <v>6916</v>
      </c>
      <c r="E2235">
        <v>1033</v>
      </c>
      <c r="F2235" t="s">
        <v>164</v>
      </c>
    </row>
    <row r="2236" spans="1:6" x14ac:dyDescent="0.3">
      <c r="A2236" s="20">
        <v>45790</v>
      </c>
      <c r="B2236">
        <v>8</v>
      </c>
      <c r="C2236" t="s">
        <v>160</v>
      </c>
      <c r="D2236">
        <v>343</v>
      </c>
      <c r="E2236">
        <v>67</v>
      </c>
      <c r="F2236" t="s">
        <v>47</v>
      </c>
    </row>
    <row r="2237" spans="1:6" x14ac:dyDescent="0.3">
      <c r="A2237" s="20">
        <v>45790</v>
      </c>
      <c r="B2237">
        <v>8</v>
      </c>
      <c r="C2237" t="s">
        <v>160</v>
      </c>
      <c r="D2237">
        <v>812</v>
      </c>
      <c r="E2237">
        <v>177</v>
      </c>
      <c r="F2237" t="s">
        <v>39</v>
      </c>
    </row>
    <row r="2238" spans="1:6" x14ac:dyDescent="0.3">
      <c r="A2238" s="20">
        <v>45790</v>
      </c>
      <c r="B2238">
        <v>8</v>
      </c>
      <c r="C2238" t="s">
        <v>160</v>
      </c>
      <c r="D2238">
        <v>3941</v>
      </c>
      <c r="E2238">
        <v>817</v>
      </c>
      <c r="F2238" t="s">
        <v>231</v>
      </c>
    </row>
    <row r="2239" spans="1:6" x14ac:dyDescent="0.3">
      <c r="A2239" s="20">
        <v>45790</v>
      </c>
      <c r="B2239">
        <v>8</v>
      </c>
      <c r="C2239" t="s">
        <v>160</v>
      </c>
      <c r="D2239">
        <v>175</v>
      </c>
      <c r="E2239">
        <v>47</v>
      </c>
      <c r="F2239" t="s">
        <v>43</v>
      </c>
    </row>
    <row r="2240" spans="1:6" x14ac:dyDescent="0.3">
      <c r="A2240" s="20">
        <v>45790</v>
      </c>
      <c r="B2240">
        <v>8</v>
      </c>
      <c r="C2240" t="s">
        <v>126</v>
      </c>
      <c r="D2240">
        <v>27</v>
      </c>
      <c r="E2240">
        <v>27</v>
      </c>
      <c r="F2240" t="s">
        <v>38</v>
      </c>
    </row>
    <row r="2241" spans="1:6" x14ac:dyDescent="0.3">
      <c r="A2241" s="20">
        <v>45790</v>
      </c>
      <c r="B2241">
        <v>8</v>
      </c>
      <c r="C2241" t="s">
        <v>235</v>
      </c>
      <c r="D2241">
        <v>830</v>
      </c>
      <c r="E2241">
        <v>97</v>
      </c>
      <c r="F2241" t="s">
        <v>161</v>
      </c>
    </row>
    <row r="2242" spans="1:6" x14ac:dyDescent="0.3">
      <c r="A2242" s="20">
        <v>45790</v>
      </c>
      <c r="B2242">
        <v>9</v>
      </c>
      <c r="C2242" t="s">
        <v>73</v>
      </c>
      <c r="D2242">
        <v>0</v>
      </c>
      <c r="E2242">
        <v>0</v>
      </c>
      <c r="F2242" t="s">
        <v>38</v>
      </c>
    </row>
    <row r="2243" spans="1:6" x14ac:dyDescent="0.3">
      <c r="A2243" s="20">
        <v>45790</v>
      </c>
      <c r="B2243">
        <v>9</v>
      </c>
      <c r="C2243" t="s">
        <v>73</v>
      </c>
      <c r="D2243">
        <v>0</v>
      </c>
      <c r="E2243">
        <v>0</v>
      </c>
      <c r="F2243" t="s">
        <v>75</v>
      </c>
    </row>
    <row r="2244" spans="1:6" x14ac:dyDescent="0.3">
      <c r="A2244" s="20">
        <v>45790</v>
      </c>
      <c r="B2244">
        <v>9</v>
      </c>
      <c r="C2244" t="s">
        <v>263</v>
      </c>
      <c r="D2244">
        <v>12684</v>
      </c>
      <c r="E2244">
        <v>571</v>
      </c>
      <c r="F2244" t="s">
        <v>45</v>
      </c>
    </row>
    <row r="2245" spans="1:6" x14ac:dyDescent="0.3">
      <c r="A2245" s="20">
        <v>45790</v>
      </c>
      <c r="B2245">
        <v>9</v>
      </c>
      <c r="C2245" t="s">
        <v>158</v>
      </c>
      <c r="D2245">
        <v>31992</v>
      </c>
      <c r="E2245">
        <v>811</v>
      </c>
      <c r="F2245" t="s">
        <v>42</v>
      </c>
    </row>
    <row r="2246" spans="1:6" x14ac:dyDescent="0.3">
      <c r="A2246" s="20">
        <v>45790</v>
      </c>
      <c r="B2246">
        <v>9</v>
      </c>
      <c r="C2246" t="s">
        <v>48</v>
      </c>
      <c r="D2246">
        <v>61856</v>
      </c>
      <c r="E2246">
        <v>5155</v>
      </c>
      <c r="F2246" t="s">
        <v>31</v>
      </c>
    </row>
    <row r="2247" spans="1:6" x14ac:dyDescent="0.3">
      <c r="A2247" s="20">
        <v>45790</v>
      </c>
      <c r="B2247">
        <v>9</v>
      </c>
      <c r="C2247" t="s">
        <v>48</v>
      </c>
      <c r="D2247">
        <v>0</v>
      </c>
      <c r="E2247">
        <v>0</v>
      </c>
      <c r="F2247" t="s">
        <v>259</v>
      </c>
    </row>
    <row r="2248" spans="1:6" x14ac:dyDescent="0.3">
      <c r="A2248" s="20">
        <v>45790</v>
      </c>
      <c r="B2248">
        <v>9</v>
      </c>
      <c r="C2248" t="s">
        <v>238</v>
      </c>
      <c r="D2248">
        <v>1847</v>
      </c>
      <c r="E2248">
        <v>226</v>
      </c>
      <c r="F2248" t="s">
        <v>44</v>
      </c>
    </row>
    <row r="2249" spans="1:6" x14ac:dyDescent="0.3">
      <c r="A2249" s="20">
        <v>45790</v>
      </c>
      <c r="B2249">
        <v>9</v>
      </c>
      <c r="C2249" t="s">
        <v>238</v>
      </c>
      <c r="D2249">
        <v>12174</v>
      </c>
      <c r="E2249">
        <v>1317</v>
      </c>
      <c r="F2249" t="s">
        <v>229</v>
      </c>
    </row>
    <row r="2250" spans="1:6" x14ac:dyDescent="0.3">
      <c r="A2250" s="20">
        <v>45790</v>
      </c>
      <c r="B2250">
        <v>9</v>
      </c>
      <c r="C2250" t="s">
        <v>160</v>
      </c>
      <c r="D2250">
        <v>5</v>
      </c>
      <c r="E2250">
        <v>1</v>
      </c>
      <c r="F2250" t="s">
        <v>68</v>
      </c>
    </row>
    <row r="2251" spans="1:6" x14ac:dyDescent="0.3">
      <c r="A2251" s="20">
        <v>45790</v>
      </c>
      <c r="B2251">
        <v>9</v>
      </c>
      <c r="C2251" t="s">
        <v>160</v>
      </c>
      <c r="D2251">
        <v>301</v>
      </c>
      <c r="E2251">
        <v>56</v>
      </c>
      <c r="F2251" t="s">
        <v>32</v>
      </c>
    </row>
    <row r="2252" spans="1:6" x14ac:dyDescent="0.3">
      <c r="A2252" s="20">
        <v>45790</v>
      </c>
      <c r="B2252">
        <v>9</v>
      </c>
      <c r="C2252" t="s">
        <v>160</v>
      </c>
      <c r="D2252">
        <v>14</v>
      </c>
      <c r="E2252">
        <v>6</v>
      </c>
      <c r="F2252" t="s">
        <v>138</v>
      </c>
    </row>
    <row r="2253" spans="1:6" x14ac:dyDescent="0.3">
      <c r="A2253" s="20">
        <v>45790</v>
      </c>
      <c r="B2253">
        <v>9</v>
      </c>
      <c r="C2253" t="s">
        <v>160</v>
      </c>
      <c r="D2253">
        <v>114</v>
      </c>
      <c r="E2253">
        <v>31</v>
      </c>
      <c r="F2253" t="s">
        <v>161</v>
      </c>
    </row>
    <row r="2254" spans="1:6" x14ac:dyDescent="0.3">
      <c r="A2254" s="20">
        <v>45790</v>
      </c>
      <c r="B2254">
        <v>9</v>
      </c>
      <c r="C2254" t="s">
        <v>160</v>
      </c>
      <c r="D2254">
        <v>88</v>
      </c>
      <c r="E2254">
        <v>22</v>
      </c>
      <c r="F2254" t="s">
        <v>72</v>
      </c>
    </row>
    <row r="2255" spans="1:6" x14ac:dyDescent="0.3">
      <c r="A2255" s="20">
        <v>45790</v>
      </c>
      <c r="B2255">
        <v>9</v>
      </c>
      <c r="C2255" t="s">
        <v>162</v>
      </c>
      <c r="D2255">
        <v>7185</v>
      </c>
      <c r="E2255">
        <v>943</v>
      </c>
      <c r="F2255" t="s">
        <v>47</v>
      </c>
    </row>
    <row r="2256" spans="1:6" x14ac:dyDescent="0.3">
      <c r="A2256" s="20">
        <v>45790</v>
      </c>
      <c r="B2256">
        <v>9</v>
      </c>
      <c r="C2256" t="s">
        <v>55</v>
      </c>
      <c r="D2256">
        <v>89846</v>
      </c>
      <c r="E2256">
        <v>9323</v>
      </c>
      <c r="F2256" t="s">
        <v>38</v>
      </c>
    </row>
    <row r="2257" spans="1:6" x14ac:dyDescent="0.3">
      <c r="A2257" s="20">
        <v>45790</v>
      </c>
      <c r="B2257">
        <v>10</v>
      </c>
      <c r="C2257" t="s">
        <v>73</v>
      </c>
      <c r="D2257">
        <v>0</v>
      </c>
      <c r="E2257">
        <v>0</v>
      </c>
      <c r="F2257" t="s">
        <v>234</v>
      </c>
    </row>
    <row r="2258" spans="1:6" x14ac:dyDescent="0.3">
      <c r="A2258" s="20">
        <v>45790</v>
      </c>
      <c r="B2258">
        <v>10</v>
      </c>
      <c r="C2258" t="s">
        <v>73</v>
      </c>
      <c r="D2258">
        <v>0</v>
      </c>
      <c r="E2258">
        <v>0</v>
      </c>
      <c r="F2258" t="s">
        <v>45</v>
      </c>
    </row>
    <row r="2259" spans="1:6" x14ac:dyDescent="0.3">
      <c r="A2259" s="20">
        <v>45790</v>
      </c>
      <c r="B2259">
        <v>10</v>
      </c>
      <c r="C2259" t="s">
        <v>228</v>
      </c>
      <c r="D2259">
        <v>160</v>
      </c>
      <c r="E2259">
        <v>35</v>
      </c>
      <c r="F2259" t="s">
        <v>72</v>
      </c>
    </row>
    <row r="2260" spans="1:6" x14ac:dyDescent="0.3">
      <c r="A2260" s="20">
        <v>45790</v>
      </c>
      <c r="B2260">
        <v>10</v>
      </c>
      <c r="C2260" t="s">
        <v>67</v>
      </c>
      <c r="D2260">
        <v>15832</v>
      </c>
      <c r="E2260">
        <v>774</v>
      </c>
      <c r="F2260" t="s">
        <v>31</v>
      </c>
    </row>
    <row r="2261" spans="1:6" x14ac:dyDescent="0.3">
      <c r="A2261" s="20">
        <v>45790</v>
      </c>
      <c r="B2261">
        <v>10</v>
      </c>
      <c r="C2261" t="s">
        <v>41</v>
      </c>
      <c r="D2261">
        <v>2976</v>
      </c>
      <c r="E2261">
        <v>199</v>
      </c>
      <c r="F2261" t="s">
        <v>31</v>
      </c>
    </row>
    <row r="2262" spans="1:6" x14ac:dyDescent="0.3">
      <c r="A2262" s="20">
        <v>45790</v>
      </c>
      <c r="B2262">
        <v>10</v>
      </c>
      <c r="C2262" t="s">
        <v>267</v>
      </c>
      <c r="D2262">
        <v>18174</v>
      </c>
      <c r="E2262">
        <v>961</v>
      </c>
      <c r="F2262" t="s">
        <v>31</v>
      </c>
    </row>
    <row r="2263" spans="1:6" x14ac:dyDescent="0.3">
      <c r="A2263" s="20">
        <v>45790</v>
      </c>
      <c r="B2263">
        <v>10</v>
      </c>
      <c r="C2263" t="s">
        <v>152</v>
      </c>
      <c r="D2263">
        <v>15932</v>
      </c>
      <c r="E2263">
        <v>1821</v>
      </c>
      <c r="F2263" t="s">
        <v>75</v>
      </c>
    </row>
    <row r="2264" spans="1:6" x14ac:dyDescent="0.3">
      <c r="A2264" s="20">
        <v>45790</v>
      </c>
      <c r="B2264">
        <v>10</v>
      </c>
      <c r="C2264" t="s">
        <v>232</v>
      </c>
      <c r="D2264">
        <v>4212</v>
      </c>
      <c r="E2264">
        <v>298</v>
      </c>
      <c r="F2264" t="s">
        <v>39</v>
      </c>
    </row>
    <row r="2265" spans="1:6" x14ac:dyDescent="0.3">
      <c r="A2265" s="20">
        <v>45790</v>
      </c>
      <c r="B2265">
        <v>10</v>
      </c>
      <c r="C2265" t="s">
        <v>265</v>
      </c>
      <c r="D2265">
        <v>122</v>
      </c>
      <c r="E2265">
        <v>7</v>
      </c>
      <c r="F2265" t="s">
        <v>42</v>
      </c>
    </row>
    <row r="2266" spans="1:6" x14ac:dyDescent="0.3">
      <c r="A2266" s="20">
        <v>45790</v>
      </c>
      <c r="B2266">
        <v>10</v>
      </c>
      <c r="C2266" t="s">
        <v>255</v>
      </c>
      <c r="D2266">
        <v>5214</v>
      </c>
      <c r="E2266">
        <v>937</v>
      </c>
      <c r="F2266" t="s">
        <v>74</v>
      </c>
    </row>
    <row r="2267" spans="1:6" x14ac:dyDescent="0.3">
      <c r="A2267" s="20">
        <v>45790</v>
      </c>
      <c r="B2267">
        <v>10</v>
      </c>
      <c r="C2267" t="s">
        <v>155</v>
      </c>
      <c r="D2267">
        <v>1</v>
      </c>
      <c r="E2267">
        <v>0</v>
      </c>
      <c r="F2267" t="s">
        <v>229</v>
      </c>
    </row>
    <row r="2268" spans="1:6" x14ac:dyDescent="0.3">
      <c r="A2268" s="20">
        <v>45790</v>
      </c>
      <c r="B2268">
        <v>10</v>
      </c>
      <c r="C2268" t="s">
        <v>250</v>
      </c>
      <c r="D2268">
        <v>10155</v>
      </c>
      <c r="E2268">
        <v>2713</v>
      </c>
      <c r="F2268" t="s">
        <v>43</v>
      </c>
    </row>
    <row r="2269" spans="1:6" x14ac:dyDescent="0.3">
      <c r="A2269" s="20">
        <v>45790</v>
      </c>
      <c r="B2269">
        <v>10</v>
      </c>
      <c r="C2269" t="s">
        <v>251</v>
      </c>
      <c r="D2269">
        <v>2575</v>
      </c>
      <c r="E2269">
        <v>364</v>
      </c>
      <c r="F2269" t="s">
        <v>47</v>
      </c>
    </row>
    <row r="2270" spans="1:6" x14ac:dyDescent="0.3">
      <c r="A2270" s="20">
        <v>45790</v>
      </c>
      <c r="B2270">
        <v>10</v>
      </c>
      <c r="C2270" t="s">
        <v>251</v>
      </c>
      <c r="D2270">
        <v>7016</v>
      </c>
      <c r="E2270">
        <v>939</v>
      </c>
      <c r="F2270" t="s">
        <v>44</v>
      </c>
    </row>
    <row r="2271" spans="1:6" x14ac:dyDescent="0.3">
      <c r="A2271" s="20">
        <v>45790</v>
      </c>
      <c r="B2271">
        <v>11</v>
      </c>
      <c r="C2271" t="s">
        <v>73</v>
      </c>
      <c r="D2271">
        <v>0</v>
      </c>
      <c r="E2271">
        <v>0</v>
      </c>
      <c r="F2271" t="s">
        <v>163</v>
      </c>
    </row>
    <row r="2272" spans="1:6" x14ac:dyDescent="0.3">
      <c r="A2272" s="20">
        <v>45790</v>
      </c>
      <c r="B2272">
        <v>11</v>
      </c>
      <c r="C2272" t="s">
        <v>73</v>
      </c>
      <c r="D2272">
        <v>0</v>
      </c>
      <c r="E2272">
        <v>0</v>
      </c>
      <c r="F2272" t="s">
        <v>229</v>
      </c>
    </row>
    <row r="2273" spans="1:6" x14ac:dyDescent="0.3">
      <c r="A2273" s="20">
        <v>45790</v>
      </c>
      <c r="B2273">
        <v>11</v>
      </c>
      <c r="C2273" t="s">
        <v>228</v>
      </c>
      <c r="D2273">
        <v>9445</v>
      </c>
      <c r="E2273">
        <v>1836</v>
      </c>
      <c r="F2273" t="s">
        <v>45</v>
      </c>
    </row>
    <row r="2274" spans="1:6" x14ac:dyDescent="0.3">
      <c r="A2274" s="20">
        <v>45790</v>
      </c>
      <c r="B2274">
        <v>11</v>
      </c>
      <c r="C2274" t="s">
        <v>249</v>
      </c>
      <c r="D2274">
        <v>16381</v>
      </c>
      <c r="E2274">
        <v>685</v>
      </c>
      <c r="F2274" t="s">
        <v>31</v>
      </c>
    </row>
    <row r="2275" spans="1:6" x14ac:dyDescent="0.3">
      <c r="A2275" s="20">
        <v>45790</v>
      </c>
      <c r="B2275">
        <v>11</v>
      </c>
      <c r="C2275" t="s">
        <v>242</v>
      </c>
      <c r="D2275">
        <v>28698</v>
      </c>
      <c r="E2275">
        <v>3073</v>
      </c>
      <c r="F2275" t="s">
        <v>31</v>
      </c>
    </row>
    <row r="2276" spans="1:6" x14ac:dyDescent="0.3">
      <c r="A2276" s="20">
        <v>45790</v>
      </c>
      <c r="B2276">
        <v>11</v>
      </c>
      <c r="C2276" t="s">
        <v>236</v>
      </c>
      <c r="D2276">
        <v>949</v>
      </c>
      <c r="E2276">
        <v>188</v>
      </c>
      <c r="F2276" t="s">
        <v>42</v>
      </c>
    </row>
    <row r="2277" spans="1:6" x14ac:dyDescent="0.3">
      <c r="A2277" s="20">
        <v>45790</v>
      </c>
      <c r="B2277">
        <v>11</v>
      </c>
      <c r="C2277" t="s">
        <v>35</v>
      </c>
      <c r="D2277">
        <v>5244</v>
      </c>
      <c r="E2277">
        <v>459</v>
      </c>
      <c r="F2277" t="s">
        <v>31</v>
      </c>
    </row>
    <row r="2278" spans="1:6" x14ac:dyDescent="0.3">
      <c r="A2278" s="20">
        <v>45790</v>
      </c>
      <c r="B2278">
        <v>11</v>
      </c>
      <c r="C2278" t="s">
        <v>244</v>
      </c>
      <c r="D2278">
        <v>40261</v>
      </c>
      <c r="E2278">
        <v>4936</v>
      </c>
      <c r="F2278" t="s">
        <v>31</v>
      </c>
    </row>
    <row r="2279" spans="1:6" x14ac:dyDescent="0.3">
      <c r="A2279" s="20">
        <v>45790</v>
      </c>
      <c r="B2279">
        <v>11</v>
      </c>
      <c r="C2279" t="s">
        <v>36</v>
      </c>
      <c r="D2279">
        <v>634</v>
      </c>
      <c r="E2279">
        <v>129</v>
      </c>
      <c r="F2279" t="s">
        <v>31</v>
      </c>
    </row>
    <row r="2280" spans="1:6" x14ac:dyDescent="0.3">
      <c r="A2280" s="20">
        <v>45790</v>
      </c>
      <c r="B2280">
        <v>11</v>
      </c>
      <c r="C2280" t="s">
        <v>71</v>
      </c>
      <c r="D2280">
        <v>4636</v>
      </c>
      <c r="E2280">
        <v>551</v>
      </c>
      <c r="F2280" t="s">
        <v>229</v>
      </c>
    </row>
    <row r="2281" spans="1:6" x14ac:dyDescent="0.3">
      <c r="A2281" s="20">
        <v>45790</v>
      </c>
      <c r="B2281">
        <v>11</v>
      </c>
      <c r="C2281" t="s">
        <v>232</v>
      </c>
      <c r="D2281">
        <v>428</v>
      </c>
      <c r="E2281">
        <v>31</v>
      </c>
      <c r="F2281" t="s">
        <v>68</v>
      </c>
    </row>
    <row r="2282" spans="1:6" x14ac:dyDescent="0.3">
      <c r="A2282" s="20">
        <v>45790</v>
      </c>
      <c r="B2282">
        <v>11</v>
      </c>
      <c r="C2282" t="s">
        <v>262</v>
      </c>
      <c r="D2282">
        <v>19493</v>
      </c>
      <c r="E2282">
        <v>550</v>
      </c>
      <c r="F2282" t="s">
        <v>86</v>
      </c>
    </row>
    <row r="2283" spans="1:6" x14ac:dyDescent="0.3">
      <c r="A2283" s="20">
        <v>45790</v>
      </c>
      <c r="B2283">
        <v>11</v>
      </c>
      <c r="C2283" t="s">
        <v>250</v>
      </c>
      <c r="D2283">
        <v>9614</v>
      </c>
      <c r="E2283">
        <v>1478</v>
      </c>
      <c r="F2283" t="s">
        <v>164</v>
      </c>
    </row>
    <row r="2284" spans="1:6" x14ac:dyDescent="0.3">
      <c r="A2284" s="20">
        <v>45790</v>
      </c>
      <c r="B2284">
        <v>11</v>
      </c>
      <c r="C2284" t="s">
        <v>160</v>
      </c>
      <c r="D2284">
        <v>529</v>
      </c>
      <c r="E2284">
        <v>93</v>
      </c>
      <c r="F2284" t="s">
        <v>47</v>
      </c>
    </row>
    <row r="2285" spans="1:6" x14ac:dyDescent="0.3">
      <c r="A2285" s="20">
        <v>45790</v>
      </c>
      <c r="B2285">
        <v>11</v>
      </c>
      <c r="C2285" t="s">
        <v>160</v>
      </c>
      <c r="D2285">
        <v>179</v>
      </c>
      <c r="E2285">
        <v>33</v>
      </c>
      <c r="F2285" t="s">
        <v>44</v>
      </c>
    </row>
    <row r="2286" spans="1:6" x14ac:dyDescent="0.3">
      <c r="A2286" s="20">
        <v>45790</v>
      </c>
      <c r="B2286">
        <v>11</v>
      </c>
      <c r="C2286" t="s">
        <v>160</v>
      </c>
      <c r="D2286">
        <v>4591</v>
      </c>
      <c r="E2286">
        <v>837</v>
      </c>
      <c r="F2286" t="s">
        <v>231</v>
      </c>
    </row>
    <row r="2287" spans="1:6" x14ac:dyDescent="0.3">
      <c r="A2287" s="20">
        <v>45790</v>
      </c>
      <c r="B2287">
        <v>11</v>
      </c>
      <c r="C2287" t="s">
        <v>126</v>
      </c>
      <c r="D2287">
        <v>43</v>
      </c>
      <c r="E2287">
        <v>43</v>
      </c>
      <c r="F2287" t="s">
        <v>38</v>
      </c>
    </row>
    <row r="2288" spans="1:6" x14ac:dyDescent="0.3">
      <c r="A2288" s="20">
        <v>45790</v>
      </c>
      <c r="B2288">
        <v>11</v>
      </c>
      <c r="C2288" t="s">
        <v>235</v>
      </c>
      <c r="D2288">
        <v>668</v>
      </c>
      <c r="E2288">
        <v>98</v>
      </c>
      <c r="F2288" t="s">
        <v>161</v>
      </c>
    </row>
    <row r="2289" spans="1:6" x14ac:dyDescent="0.3">
      <c r="A2289" s="20">
        <v>45790</v>
      </c>
      <c r="B2289">
        <v>12</v>
      </c>
      <c r="C2289" t="s">
        <v>73</v>
      </c>
      <c r="D2289">
        <v>0</v>
      </c>
      <c r="E2289">
        <v>0</v>
      </c>
      <c r="F2289" t="s">
        <v>74</v>
      </c>
    </row>
    <row r="2290" spans="1:6" x14ac:dyDescent="0.3">
      <c r="A2290" s="20">
        <v>45790</v>
      </c>
      <c r="B2290">
        <v>12</v>
      </c>
      <c r="C2290" t="s">
        <v>73</v>
      </c>
      <c r="D2290">
        <v>1</v>
      </c>
      <c r="E2290">
        <v>1</v>
      </c>
      <c r="F2290" t="s">
        <v>38</v>
      </c>
    </row>
    <row r="2291" spans="1:6" x14ac:dyDescent="0.3">
      <c r="A2291" s="20">
        <v>45790</v>
      </c>
      <c r="B2291">
        <v>12</v>
      </c>
      <c r="C2291" t="s">
        <v>73</v>
      </c>
      <c r="D2291">
        <v>0</v>
      </c>
      <c r="E2291">
        <v>0</v>
      </c>
      <c r="F2291" t="s">
        <v>75</v>
      </c>
    </row>
    <row r="2292" spans="1:6" x14ac:dyDescent="0.3">
      <c r="A2292" s="20">
        <v>45790</v>
      </c>
      <c r="B2292">
        <v>12</v>
      </c>
      <c r="C2292" t="s">
        <v>263</v>
      </c>
      <c r="D2292">
        <v>12973</v>
      </c>
      <c r="E2292">
        <v>1059</v>
      </c>
      <c r="F2292" t="s">
        <v>45</v>
      </c>
    </row>
    <row r="2293" spans="1:6" x14ac:dyDescent="0.3">
      <c r="A2293" s="20">
        <v>45790</v>
      </c>
      <c r="B2293">
        <v>12</v>
      </c>
      <c r="C2293" t="s">
        <v>158</v>
      </c>
      <c r="D2293">
        <v>8918</v>
      </c>
      <c r="E2293">
        <v>577</v>
      </c>
      <c r="F2293" t="s">
        <v>31</v>
      </c>
    </row>
    <row r="2294" spans="1:6" x14ac:dyDescent="0.3">
      <c r="A2294" s="20">
        <v>45790</v>
      </c>
      <c r="B2294">
        <v>12</v>
      </c>
      <c r="C2294" t="s">
        <v>48</v>
      </c>
      <c r="D2294">
        <v>58147</v>
      </c>
      <c r="E2294">
        <v>4139</v>
      </c>
      <c r="F2294" t="s">
        <v>31</v>
      </c>
    </row>
    <row r="2295" spans="1:6" x14ac:dyDescent="0.3">
      <c r="A2295" s="20">
        <v>45790</v>
      </c>
      <c r="B2295">
        <v>12</v>
      </c>
      <c r="C2295" t="s">
        <v>48</v>
      </c>
      <c r="D2295">
        <v>0</v>
      </c>
      <c r="E2295">
        <v>0</v>
      </c>
      <c r="F2295" t="s">
        <v>259</v>
      </c>
    </row>
    <row r="2296" spans="1:6" x14ac:dyDescent="0.3">
      <c r="A2296" s="20">
        <v>45790</v>
      </c>
      <c r="B2296">
        <v>12</v>
      </c>
      <c r="C2296" t="s">
        <v>238</v>
      </c>
      <c r="D2296">
        <v>10237</v>
      </c>
      <c r="E2296">
        <v>1262</v>
      </c>
      <c r="F2296" t="s">
        <v>229</v>
      </c>
    </row>
    <row r="2297" spans="1:6" x14ac:dyDescent="0.3">
      <c r="A2297" s="20">
        <v>45790</v>
      </c>
      <c r="B2297">
        <v>12</v>
      </c>
      <c r="C2297" t="s">
        <v>250</v>
      </c>
      <c r="D2297">
        <v>64</v>
      </c>
      <c r="E2297">
        <v>4</v>
      </c>
      <c r="F2297" t="s">
        <v>86</v>
      </c>
    </row>
    <row r="2298" spans="1:6" x14ac:dyDescent="0.3">
      <c r="A2298" s="20">
        <v>45790</v>
      </c>
      <c r="B2298">
        <v>12</v>
      </c>
      <c r="C2298" t="s">
        <v>250</v>
      </c>
      <c r="D2298">
        <v>2910</v>
      </c>
      <c r="E2298">
        <v>884</v>
      </c>
      <c r="F2298" t="s">
        <v>72</v>
      </c>
    </row>
    <row r="2299" spans="1:6" x14ac:dyDescent="0.3">
      <c r="A2299" s="20">
        <v>45790</v>
      </c>
      <c r="B2299">
        <v>12</v>
      </c>
      <c r="C2299" t="s">
        <v>160</v>
      </c>
      <c r="D2299">
        <v>0</v>
      </c>
      <c r="E2299">
        <v>0</v>
      </c>
      <c r="F2299" t="s">
        <v>72</v>
      </c>
    </row>
    <row r="2300" spans="1:6" x14ac:dyDescent="0.3">
      <c r="A2300" s="20">
        <v>45790</v>
      </c>
      <c r="B2300">
        <v>12</v>
      </c>
      <c r="C2300" t="s">
        <v>162</v>
      </c>
      <c r="D2300">
        <v>13746</v>
      </c>
      <c r="E2300">
        <v>1632</v>
      </c>
      <c r="F2300" t="s">
        <v>47</v>
      </c>
    </row>
    <row r="2301" spans="1:6" x14ac:dyDescent="0.3">
      <c r="A2301" s="20">
        <v>45790</v>
      </c>
      <c r="B2301">
        <v>12</v>
      </c>
      <c r="C2301" t="s">
        <v>162</v>
      </c>
      <c r="D2301">
        <v>15919</v>
      </c>
      <c r="E2301">
        <v>1715</v>
      </c>
      <c r="F2301" t="s">
        <v>44</v>
      </c>
    </row>
    <row r="2302" spans="1:6" x14ac:dyDescent="0.3">
      <c r="A2302" s="20">
        <v>45790</v>
      </c>
      <c r="B2302">
        <v>12</v>
      </c>
      <c r="C2302" t="s">
        <v>240</v>
      </c>
      <c r="D2302">
        <v>19695</v>
      </c>
      <c r="E2302">
        <v>1104</v>
      </c>
      <c r="F2302" t="s">
        <v>38</v>
      </c>
    </row>
    <row r="2303" spans="1:6" x14ac:dyDescent="0.3">
      <c r="A2303" s="20">
        <v>45790</v>
      </c>
      <c r="B2303">
        <v>13</v>
      </c>
      <c r="C2303" t="s">
        <v>73</v>
      </c>
      <c r="D2303">
        <v>0</v>
      </c>
      <c r="E2303">
        <v>0</v>
      </c>
      <c r="F2303" t="s">
        <v>234</v>
      </c>
    </row>
    <row r="2304" spans="1:6" x14ac:dyDescent="0.3">
      <c r="A2304" s="20">
        <v>45790</v>
      </c>
      <c r="B2304">
        <v>13</v>
      </c>
      <c r="C2304" t="s">
        <v>73</v>
      </c>
      <c r="D2304">
        <v>1</v>
      </c>
      <c r="E2304">
        <v>0</v>
      </c>
      <c r="F2304" t="s">
        <v>77</v>
      </c>
    </row>
    <row r="2305" spans="1:6" x14ac:dyDescent="0.3">
      <c r="A2305" s="20">
        <v>45790</v>
      </c>
      <c r="B2305">
        <v>13</v>
      </c>
      <c r="C2305" t="s">
        <v>263</v>
      </c>
      <c r="D2305">
        <v>13536</v>
      </c>
      <c r="E2305">
        <v>677</v>
      </c>
      <c r="F2305" t="s">
        <v>229</v>
      </c>
    </row>
    <row r="2306" spans="1:6" x14ac:dyDescent="0.3">
      <c r="A2306" s="20">
        <v>45790</v>
      </c>
      <c r="B2306">
        <v>13</v>
      </c>
      <c r="C2306" t="s">
        <v>67</v>
      </c>
      <c r="D2306">
        <v>12429</v>
      </c>
      <c r="E2306">
        <v>693</v>
      </c>
      <c r="F2306" t="s">
        <v>31</v>
      </c>
    </row>
    <row r="2307" spans="1:6" x14ac:dyDescent="0.3">
      <c r="A2307" s="20">
        <v>45790</v>
      </c>
      <c r="B2307">
        <v>13</v>
      </c>
      <c r="C2307" t="s">
        <v>52</v>
      </c>
      <c r="D2307">
        <v>38</v>
      </c>
      <c r="E2307">
        <v>38</v>
      </c>
      <c r="F2307" t="s">
        <v>259</v>
      </c>
    </row>
    <row r="2308" spans="1:6" x14ac:dyDescent="0.3">
      <c r="A2308" s="20">
        <v>45790</v>
      </c>
      <c r="B2308">
        <v>13</v>
      </c>
      <c r="C2308" t="s">
        <v>243</v>
      </c>
      <c r="D2308">
        <v>13143</v>
      </c>
      <c r="E2308">
        <v>1423</v>
      </c>
      <c r="F2308" t="s">
        <v>31</v>
      </c>
    </row>
    <row r="2309" spans="1:6" x14ac:dyDescent="0.3">
      <c r="A2309" s="20">
        <v>45790</v>
      </c>
      <c r="B2309">
        <v>13</v>
      </c>
      <c r="C2309" t="s">
        <v>232</v>
      </c>
      <c r="D2309">
        <v>3759</v>
      </c>
      <c r="E2309">
        <v>293</v>
      </c>
      <c r="F2309" t="s">
        <v>39</v>
      </c>
    </row>
    <row r="2310" spans="1:6" x14ac:dyDescent="0.3">
      <c r="A2310" s="20">
        <v>45790</v>
      </c>
      <c r="B2310">
        <v>13</v>
      </c>
      <c r="C2310" t="s">
        <v>265</v>
      </c>
      <c r="D2310">
        <v>20493</v>
      </c>
      <c r="E2310">
        <v>1098</v>
      </c>
      <c r="F2310" t="s">
        <v>31</v>
      </c>
    </row>
    <row r="2311" spans="1:6" x14ac:dyDescent="0.3">
      <c r="A2311" s="20">
        <v>45790</v>
      </c>
      <c r="B2311">
        <v>13</v>
      </c>
      <c r="C2311" t="s">
        <v>255</v>
      </c>
      <c r="D2311">
        <v>3842</v>
      </c>
      <c r="E2311">
        <v>687</v>
      </c>
      <c r="F2311" t="s">
        <v>74</v>
      </c>
    </row>
    <row r="2312" spans="1:6" x14ac:dyDescent="0.3">
      <c r="A2312" s="20">
        <v>45790</v>
      </c>
      <c r="B2312">
        <v>13</v>
      </c>
      <c r="C2312" t="s">
        <v>255</v>
      </c>
      <c r="D2312">
        <v>1904</v>
      </c>
      <c r="E2312">
        <v>304</v>
      </c>
      <c r="F2312" t="s">
        <v>75</v>
      </c>
    </row>
    <row r="2313" spans="1:6" x14ac:dyDescent="0.3">
      <c r="A2313" s="20">
        <v>45790</v>
      </c>
      <c r="B2313">
        <v>13</v>
      </c>
      <c r="C2313" t="s">
        <v>250</v>
      </c>
      <c r="D2313">
        <v>5445</v>
      </c>
      <c r="E2313">
        <v>2156</v>
      </c>
      <c r="F2313" t="s">
        <v>252</v>
      </c>
    </row>
    <row r="2314" spans="1:6" x14ac:dyDescent="0.3">
      <c r="A2314" s="20">
        <v>45790</v>
      </c>
      <c r="B2314">
        <v>13</v>
      </c>
      <c r="C2314" t="s">
        <v>160</v>
      </c>
      <c r="D2314">
        <v>266</v>
      </c>
      <c r="E2314">
        <v>70</v>
      </c>
      <c r="F2314" t="s">
        <v>45</v>
      </c>
    </row>
    <row r="2315" spans="1:6" x14ac:dyDescent="0.3">
      <c r="A2315" s="20">
        <v>45790</v>
      </c>
      <c r="B2315">
        <v>13</v>
      </c>
      <c r="C2315" t="s">
        <v>251</v>
      </c>
      <c r="D2315">
        <v>5723</v>
      </c>
      <c r="E2315">
        <v>711</v>
      </c>
      <c r="F2315" t="s">
        <v>44</v>
      </c>
    </row>
    <row r="2316" spans="1:6" x14ac:dyDescent="0.3">
      <c r="A2316" s="20">
        <v>45790</v>
      </c>
      <c r="B2316">
        <v>14</v>
      </c>
      <c r="C2316" t="s">
        <v>73</v>
      </c>
      <c r="D2316">
        <v>0</v>
      </c>
      <c r="E2316">
        <v>0</v>
      </c>
      <c r="F2316" t="s">
        <v>163</v>
      </c>
    </row>
    <row r="2317" spans="1:6" x14ac:dyDescent="0.3">
      <c r="A2317" s="20">
        <v>45790</v>
      </c>
      <c r="B2317">
        <v>14</v>
      </c>
      <c r="C2317" t="s">
        <v>73</v>
      </c>
      <c r="D2317">
        <v>0</v>
      </c>
      <c r="E2317">
        <v>0</v>
      </c>
      <c r="F2317" t="s">
        <v>229</v>
      </c>
    </row>
    <row r="2318" spans="1:6" x14ac:dyDescent="0.3">
      <c r="A2318" s="20">
        <v>45790</v>
      </c>
      <c r="B2318">
        <v>14</v>
      </c>
      <c r="C2318" t="s">
        <v>228</v>
      </c>
      <c r="D2318">
        <v>11633</v>
      </c>
      <c r="E2318">
        <v>1798</v>
      </c>
      <c r="F2318" t="s">
        <v>45</v>
      </c>
    </row>
    <row r="2319" spans="1:6" x14ac:dyDescent="0.3">
      <c r="A2319" s="20">
        <v>45790</v>
      </c>
      <c r="B2319">
        <v>14</v>
      </c>
      <c r="C2319" t="s">
        <v>236</v>
      </c>
      <c r="D2319">
        <v>967</v>
      </c>
      <c r="E2319">
        <v>190</v>
      </c>
      <c r="F2319" t="s">
        <v>42</v>
      </c>
    </row>
    <row r="2320" spans="1:6" x14ac:dyDescent="0.3">
      <c r="A2320" s="20">
        <v>45790</v>
      </c>
      <c r="B2320">
        <v>14</v>
      </c>
      <c r="C2320" t="s">
        <v>35</v>
      </c>
      <c r="D2320">
        <v>4936</v>
      </c>
      <c r="E2320">
        <v>307</v>
      </c>
      <c r="F2320" t="s">
        <v>31</v>
      </c>
    </row>
    <row r="2321" spans="1:6" x14ac:dyDescent="0.3">
      <c r="A2321" s="20">
        <v>45790</v>
      </c>
      <c r="B2321">
        <v>14</v>
      </c>
      <c r="C2321" t="s">
        <v>36</v>
      </c>
      <c r="D2321">
        <v>461</v>
      </c>
      <c r="E2321">
        <v>107</v>
      </c>
      <c r="F2321" t="s">
        <v>31</v>
      </c>
    </row>
    <row r="2322" spans="1:6" x14ac:dyDescent="0.3">
      <c r="A2322" s="20">
        <v>45790</v>
      </c>
      <c r="B2322">
        <v>14</v>
      </c>
      <c r="C2322" t="s">
        <v>71</v>
      </c>
      <c r="D2322">
        <v>2196</v>
      </c>
      <c r="E2322">
        <v>257</v>
      </c>
      <c r="F2322" t="s">
        <v>229</v>
      </c>
    </row>
    <row r="2323" spans="1:6" x14ac:dyDescent="0.3">
      <c r="A2323" s="20">
        <v>45790</v>
      </c>
      <c r="B2323">
        <v>14</v>
      </c>
      <c r="C2323" t="s">
        <v>232</v>
      </c>
      <c r="D2323">
        <v>605</v>
      </c>
      <c r="E2323">
        <v>55</v>
      </c>
      <c r="F2323" t="s">
        <v>68</v>
      </c>
    </row>
    <row r="2324" spans="1:6" x14ac:dyDescent="0.3">
      <c r="A2324" s="20">
        <v>45790</v>
      </c>
      <c r="B2324">
        <v>14</v>
      </c>
      <c r="C2324" t="s">
        <v>262</v>
      </c>
      <c r="D2324">
        <v>21162</v>
      </c>
      <c r="E2324">
        <v>531</v>
      </c>
      <c r="F2324" t="s">
        <v>86</v>
      </c>
    </row>
    <row r="2325" spans="1:6" x14ac:dyDescent="0.3">
      <c r="A2325" s="20">
        <v>45790</v>
      </c>
      <c r="B2325">
        <v>14</v>
      </c>
      <c r="C2325" t="s">
        <v>160</v>
      </c>
      <c r="D2325">
        <v>115</v>
      </c>
      <c r="E2325">
        <v>7</v>
      </c>
      <c r="F2325" t="s">
        <v>44</v>
      </c>
    </row>
    <row r="2326" spans="1:6" x14ac:dyDescent="0.3">
      <c r="A2326" s="20">
        <v>45790</v>
      </c>
      <c r="B2326">
        <v>14</v>
      </c>
      <c r="C2326" t="s">
        <v>51</v>
      </c>
      <c r="D2326">
        <v>56746</v>
      </c>
      <c r="E2326">
        <v>2254</v>
      </c>
      <c r="F2326" t="s">
        <v>38</v>
      </c>
    </row>
    <row r="2327" spans="1:6" x14ac:dyDescent="0.3">
      <c r="A2327" s="20">
        <v>45790</v>
      </c>
      <c r="B2327">
        <v>15</v>
      </c>
      <c r="C2327" t="s">
        <v>73</v>
      </c>
      <c r="D2327">
        <v>0</v>
      </c>
      <c r="E2327">
        <v>0</v>
      </c>
      <c r="F2327" t="s">
        <v>74</v>
      </c>
    </row>
    <row r="2328" spans="1:6" x14ac:dyDescent="0.3">
      <c r="A2328" s="20">
        <v>45790</v>
      </c>
      <c r="B2328">
        <v>15</v>
      </c>
      <c r="C2328" t="s">
        <v>73</v>
      </c>
      <c r="D2328">
        <v>0</v>
      </c>
      <c r="E2328">
        <v>0</v>
      </c>
      <c r="F2328" t="s">
        <v>38</v>
      </c>
    </row>
    <row r="2329" spans="1:6" x14ac:dyDescent="0.3">
      <c r="A2329" s="20">
        <v>45790</v>
      </c>
      <c r="B2329">
        <v>15</v>
      </c>
      <c r="C2329" t="s">
        <v>73</v>
      </c>
      <c r="D2329">
        <v>0</v>
      </c>
      <c r="E2329">
        <v>0</v>
      </c>
      <c r="F2329" t="s">
        <v>75</v>
      </c>
    </row>
    <row r="2330" spans="1:6" x14ac:dyDescent="0.3">
      <c r="A2330" s="20">
        <v>45790</v>
      </c>
      <c r="B2330">
        <v>15</v>
      </c>
      <c r="C2330" t="s">
        <v>263</v>
      </c>
      <c r="D2330">
        <v>14021</v>
      </c>
      <c r="E2330">
        <v>900</v>
      </c>
      <c r="F2330" t="s">
        <v>45</v>
      </c>
    </row>
    <row r="2331" spans="1:6" x14ac:dyDescent="0.3">
      <c r="A2331" s="20">
        <v>45790</v>
      </c>
      <c r="B2331">
        <v>15</v>
      </c>
      <c r="C2331" t="s">
        <v>158</v>
      </c>
      <c r="D2331">
        <v>11829</v>
      </c>
      <c r="E2331">
        <v>566</v>
      </c>
      <c r="F2331" t="s">
        <v>31</v>
      </c>
    </row>
    <row r="2332" spans="1:6" x14ac:dyDescent="0.3">
      <c r="A2332" s="20">
        <v>45790</v>
      </c>
      <c r="B2332">
        <v>15</v>
      </c>
      <c r="C2332" t="s">
        <v>48</v>
      </c>
      <c r="D2332">
        <v>60005</v>
      </c>
      <c r="E2332">
        <v>3342</v>
      </c>
      <c r="F2332" t="s">
        <v>31</v>
      </c>
    </row>
    <row r="2333" spans="1:6" x14ac:dyDescent="0.3">
      <c r="A2333" s="20">
        <v>45790</v>
      </c>
      <c r="B2333">
        <v>15</v>
      </c>
      <c r="C2333" t="s">
        <v>152</v>
      </c>
      <c r="D2333">
        <v>6423</v>
      </c>
      <c r="E2333">
        <v>634</v>
      </c>
      <c r="F2333" t="s">
        <v>138</v>
      </c>
    </row>
    <row r="2334" spans="1:6" x14ac:dyDescent="0.3">
      <c r="A2334" s="20">
        <v>45790</v>
      </c>
      <c r="B2334">
        <v>15</v>
      </c>
      <c r="C2334" t="s">
        <v>233</v>
      </c>
      <c r="D2334">
        <v>15949</v>
      </c>
      <c r="E2334">
        <v>2384</v>
      </c>
      <c r="F2334" t="s">
        <v>34</v>
      </c>
    </row>
    <row r="2335" spans="1:6" x14ac:dyDescent="0.3">
      <c r="A2335" s="20">
        <v>45790</v>
      </c>
      <c r="B2335">
        <v>15</v>
      </c>
      <c r="C2335" t="s">
        <v>238</v>
      </c>
      <c r="D2335">
        <v>7885</v>
      </c>
      <c r="E2335">
        <v>812</v>
      </c>
      <c r="F2335" t="s">
        <v>229</v>
      </c>
    </row>
    <row r="2336" spans="1:6" x14ac:dyDescent="0.3">
      <c r="A2336" s="20">
        <v>45790</v>
      </c>
      <c r="B2336">
        <v>15</v>
      </c>
      <c r="C2336" t="s">
        <v>250</v>
      </c>
      <c r="D2336">
        <v>1017</v>
      </c>
      <c r="E2336">
        <v>154</v>
      </c>
      <c r="F2336" t="s">
        <v>86</v>
      </c>
    </row>
    <row r="2337" spans="1:6" x14ac:dyDescent="0.3">
      <c r="A2337" s="20">
        <v>45790</v>
      </c>
      <c r="B2337">
        <v>15</v>
      </c>
      <c r="C2337" t="s">
        <v>160</v>
      </c>
      <c r="D2337">
        <v>1883</v>
      </c>
      <c r="E2337">
        <v>561</v>
      </c>
      <c r="F2337" t="s">
        <v>72</v>
      </c>
    </row>
    <row r="2338" spans="1:6" x14ac:dyDescent="0.3">
      <c r="A2338" s="20">
        <v>45790</v>
      </c>
      <c r="B2338">
        <v>15</v>
      </c>
      <c r="C2338" t="s">
        <v>162</v>
      </c>
      <c r="D2338">
        <v>16693</v>
      </c>
      <c r="E2338">
        <v>1755</v>
      </c>
      <c r="F2338" t="s">
        <v>47</v>
      </c>
    </row>
    <row r="2339" spans="1:6" x14ac:dyDescent="0.3">
      <c r="A2339" s="20">
        <v>45790</v>
      </c>
      <c r="B2339">
        <v>15</v>
      </c>
      <c r="C2339" t="s">
        <v>162</v>
      </c>
      <c r="D2339">
        <v>11949</v>
      </c>
      <c r="E2339">
        <v>1232</v>
      </c>
      <c r="F2339" t="s">
        <v>44</v>
      </c>
    </row>
    <row r="2340" spans="1:6" x14ac:dyDescent="0.3">
      <c r="A2340" s="20">
        <v>45790</v>
      </c>
      <c r="B2340">
        <v>15</v>
      </c>
      <c r="C2340" t="s">
        <v>37</v>
      </c>
      <c r="D2340">
        <v>52101</v>
      </c>
      <c r="E2340">
        <v>1319</v>
      </c>
      <c r="F2340" t="s">
        <v>38</v>
      </c>
    </row>
    <row r="2341" spans="1:6" x14ac:dyDescent="0.3">
      <c r="A2341" s="20">
        <v>45790</v>
      </c>
      <c r="B2341">
        <v>15</v>
      </c>
      <c r="C2341" t="s">
        <v>240</v>
      </c>
      <c r="D2341">
        <v>19881</v>
      </c>
      <c r="E2341">
        <v>992</v>
      </c>
      <c r="F2341" t="s">
        <v>38</v>
      </c>
    </row>
    <row r="2342" spans="1:6" x14ac:dyDescent="0.3">
      <c r="A2342" s="20">
        <v>45790</v>
      </c>
      <c r="B2342">
        <v>16</v>
      </c>
      <c r="C2342" t="s">
        <v>263</v>
      </c>
      <c r="D2342">
        <v>14744</v>
      </c>
      <c r="E2342">
        <v>620</v>
      </c>
      <c r="F2342" t="s">
        <v>229</v>
      </c>
    </row>
    <row r="2343" spans="1:6" x14ac:dyDescent="0.3">
      <c r="A2343" s="20">
        <v>45790</v>
      </c>
      <c r="B2343">
        <v>16</v>
      </c>
      <c r="C2343" t="s">
        <v>67</v>
      </c>
      <c r="D2343">
        <v>5963</v>
      </c>
      <c r="E2343">
        <v>262</v>
      </c>
      <c r="F2343" t="s">
        <v>31</v>
      </c>
    </row>
    <row r="2344" spans="1:6" x14ac:dyDescent="0.3">
      <c r="A2344" s="20">
        <v>45790</v>
      </c>
      <c r="B2344">
        <v>16</v>
      </c>
      <c r="C2344" t="s">
        <v>52</v>
      </c>
      <c r="D2344">
        <v>42</v>
      </c>
      <c r="E2344">
        <v>42</v>
      </c>
      <c r="F2344" t="s">
        <v>259</v>
      </c>
    </row>
    <row r="2345" spans="1:6" x14ac:dyDescent="0.3">
      <c r="A2345" s="20">
        <v>45790</v>
      </c>
      <c r="B2345">
        <v>16</v>
      </c>
      <c r="C2345" t="s">
        <v>71</v>
      </c>
      <c r="D2345">
        <v>3183</v>
      </c>
      <c r="E2345">
        <v>308</v>
      </c>
      <c r="F2345" t="s">
        <v>32</v>
      </c>
    </row>
    <row r="2346" spans="1:6" x14ac:dyDescent="0.3">
      <c r="A2346" s="20">
        <v>45790</v>
      </c>
      <c r="B2346">
        <v>16</v>
      </c>
      <c r="C2346" t="s">
        <v>265</v>
      </c>
      <c r="D2346">
        <v>15081</v>
      </c>
      <c r="E2346">
        <v>930</v>
      </c>
      <c r="F2346" t="s">
        <v>31</v>
      </c>
    </row>
    <row r="2347" spans="1:6" x14ac:dyDescent="0.3">
      <c r="A2347" s="20">
        <v>45790</v>
      </c>
      <c r="B2347">
        <v>16</v>
      </c>
      <c r="C2347" t="s">
        <v>255</v>
      </c>
      <c r="D2347">
        <v>8571</v>
      </c>
      <c r="E2347">
        <v>1432</v>
      </c>
      <c r="F2347" t="s">
        <v>74</v>
      </c>
    </row>
    <row r="2348" spans="1:6" x14ac:dyDescent="0.3">
      <c r="A2348" s="20">
        <v>45790</v>
      </c>
      <c r="B2348">
        <v>16</v>
      </c>
      <c r="C2348" t="s">
        <v>155</v>
      </c>
      <c r="D2348">
        <v>6</v>
      </c>
      <c r="E2348">
        <v>2</v>
      </c>
      <c r="F2348" t="s">
        <v>32</v>
      </c>
    </row>
    <row r="2349" spans="1:6" x14ac:dyDescent="0.3">
      <c r="A2349" s="20">
        <v>45790</v>
      </c>
      <c r="B2349">
        <v>16</v>
      </c>
      <c r="C2349" t="s">
        <v>250</v>
      </c>
      <c r="D2349">
        <v>11088</v>
      </c>
      <c r="E2349">
        <v>2535</v>
      </c>
      <c r="F2349" t="s">
        <v>252</v>
      </c>
    </row>
    <row r="2350" spans="1:6" x14ac:dyDescent="0.3">
      <c r="A2350" s="20">
        <v>45790</v>
      </c>
      <c r="B2350">
        <v>16</v>
      </c>
      <c r="C2350" t="s">
        <v>160</v>
      </c>
      <c r="D2350">
        <v>14031</v>
      </c>
      <c r="E2350">
        <v>1361</v>
      </c>
      <c r="F2350" t="s">
        <v>234</v>
      </c>
    </row>
    <row r="2351" spans="1:6" x14ac:dyDescent="0.3">
      <c r="A2351" s="20">
        <v>45790</v>
      </c>
      <c r="B2351">
        <v>16</v>
      </c>
      <c r="C2351" t="s">
        <v>160</v>
      </c>
      <c r="D2351">
        <v>345</v>
      </c>
      <c r="E2351">
        <v>91</v>
      </c>
      <c r="F2351" t="s">
        <v>45</v>
      </c>
    </row>
    <row r="2352" spans="1:6" x14ac:dyDescent="0.3">
      <c r="A2352" s="20">
        <v>45790</v>
      </c>
      <c r="B2352">
        <v>16</v>
      </c>
      <c r="C2352" t="s">
        <v>125</v>
      </c>
      <c r="D2352">
        <v>106489</v>
      </c>
      <c r="E2352">
        <v>6658</v>
      </c>
      <c r="F2352" t="s">
        <v>38</v>
      </c>
    </row>
    <row r="2353" spans="1:6" x14ac:dyDescent="0.3">
      <c r="A2353" s="20">
        <v>45790</v>
      </c>
      <c r="B2353">
        <v>17</v>
      </c>
      <c r="C2353" t="s">
        <v>73</v>
      </c>
      <c r="D2353">
        <v>0</v>
      </c>
      <c r="E2353">
        <v>0</v>
      </c>
    </row>
    <row r="2354" spans="1:6" x14ac:dyDescent="0.3">
      <c r="A2354" s="20">
        <v>45790</v>
      </c>
      <c r="B2354">
        <v>17</v>
      </c>
      <c r="C2354" t="s">
        <v>228</v>
      </c>
      <c r="D2354">
        <v>11090</v>
      </c>
      <c r="E2354">
        <v>2108</v>
      </c>
      <c r="F2354" t="s">
        <v>45</v>
      </c>
    </row>
    <row r="2355" spans="1:6" x14ac:dyDescent="0.3">
      <c r="A2355" s="20">
        <v>45790</v>
      </c>
      <c r="B2355">
        <v>17</v>
      </c>
      <c r="C2355" t="s">
        <v>236</v>
      </c>
      <c r="D2355">
        <v>264</v>
      </c>
      <c r="E2355">
        <v>39</v>
      </c>
      <c r="F2355" t="s">
        <v>42</v>
      </c>
    </row>
    <row r="2356" spans="1:6" x14ac:dyDescent="0.3">
      <c r="A2356" s="20">
        <v>45790</v>
      </c>
      <c r="B2356">
        <v>17</v>
      </c>
      <c r="C2356" t="s">
        <v>35</v>
      </c>
      <c r="D2356">
        <v>4093</v>
      </c>
      <c r="E2356">
        <v>144</v>
      </c>
      <c r="F2356" t="s">
        <v>31</v>
      </c>
    </row>
    <row r="2357" spans="1:6" x14ac:dyDescent="0.3">
      <c r="A2357" s="20">
        <v>45790</v>
      </c>
      <c r="B2357">
        <v>17</v>
      </c>
      <c r="C2357" t="s">
        <v>53</v>
      </c>
      <c r="D2357">
        <v>2375</v>
      </c>
      <c r="E2357">
        <v>65</v>
      </c>
      <c r="F2357" t="s">
        <v>31</v>
      </c>
    </row>
    <row r="2358" spans="1:6" x14ac:dyDescent="0.3">
      <c r="A2358" s="20">
        <v>45790</v>
      </c>
      <c r="B2358">
        <v>17</v>
      </c>
      <c r="C2358" t="s">
        <v>36</v>
      </c>
      <c r="D2358">
        <v>169</v>
      </c>
      <c r="E2358">
        <v>26</v>
      </c>
      <c r="F2358" t="s">
        <v>31</v>
      </c>
    </row>
    <row r="2359" spans="1:6" x14ac:dyDescent="0.3">
      <c r="A2359" s="20">
        <v>45790</v>
      </c>
      <c r="B2359">
        <v>17</v>
      </c>
      <c r="C2359" t="s">
        <v>232</v>
      </c>
      <c r="D2359">
        <v>325</v>
      </c>
      <c r="E2359">
        <v>23</v>
      </c>
      <c r="F2359" t="s">
        <v>68</v>
      </c>
    </row>
    <row r="2360" spans="1:6" x14ac:dyDescent="0.3">
      <c r="A2360" s="20">
        <v>45790</v>
      </c>
      <c r="B2360">
        <v>17</v>
      </c>
      <c r="C2360" t="s">
        <v>262</v>
      </c>
      <c r="D2360">
        <v>16596</v>
      </c>
      <c r="E2360">
        <v>430</v>
      </c>
      <c r="F2360" t="s">
        <v>86</v>
      </c>
    </row>
    <row r="2361" spans="1:6" x14ac:dyDescent="0.3">
      <c r="A2361" s="20">
        <v>45790</v>
      </c>
      <c r="B2361">
        <v>17</v>
      </c>
      <c r="C2361" t="s">
        <v>160</v>
      </c>
      <c r="D2361">
        <v>4083</v>
      </c>
      <c r="E2361">
        <v>627</v>
      </c>
      <c r="F2361" t="s">
        <v>229</v>
      </c>
    </row>
    <row r="2362" spans="1:6" x14ac:dyDescent="0.3">
      <c r="A2362" s="20">
        <v>45790</v>
      </c>
      <c r="B2362">
        <v>17</v>
      </c>
      <c r="C2362" t="s">
        <v>51</v>
      </c>
      <c r="D2362">
        <v>31755</v>
      </c>
      <c r="E2362">
        <v>877</v>
      </c>
      <c r="F2362" t="s">
        <v>38</v>
      </c>
    </row>
    <row r="2363" spans="1:6" x14ac:dyDescent="0.3">
      <c r="A2363" s="20">
        <v>45790</v>
      </c>
      <c r="B2363">
        <v>18</v>
      </c>
      <c r="C2363" t="s">
        <v>73</v>
      </c>
      <c r="D2363">
        <v>0</v>
      </c>
      <c r="E2363">
        <v>0</v>
      </c>
      <c r="F2363" t="s">
        <v>74</v>
      </c>
    </row>
    <row r="2364" spans="1:6" x14ac:dyDescent="0.3">
      <c r="A2364" s="20">
        <v>45790</v>
      </c>
      <c r="B2364">
        <v>18</v>
      </c>
      <c r="C2364" t="s">
        <v>73</v>
      </c>
      <c r="D2364">
        <v>0</v>
      </c>
      <c r="E2364">
        <v>0</v>
      </c>
      <c r="F2364" t="s">
        <v>38</v>
      </c>
    </row>
    <row r="2365" spans="1:6" x14ac:dyDescent="0.3">
      <c r="A2365" s="20">
        <v>45790</v>
      </c>
      <c r="B2365">
        <v>18</v>
      </c>
      <c r="C2365" t="s">
        <v>263</v>
      </c>
      <c r="D2365">
        <v>6172</v>
      </c>
      <c r="E2365">
        <v>502</v>
      </c>
      <c r="F2365" t="s">
        <v>45</v>
      </c>
    </row>
    <row r="2366" spans="1:6" x14ac:dyDescent="0.3">
      <c r="A2366" s="20">
        <v>45790</v>
      </c>
      <c r="B2366">
        <v>18</v>
      </c>
      <c r="C2366" t="s">
        <v>158</v>
      </c>
      <c r="D2366">
        <v>3516</v>
      </c>
      <c r="E2366">
        <v>219</v>
      </c>
      <c r="F2366" t="s">
        <v>31</v>
      </c>
    </row>
    <row r="2367" spans="1:6" x14ac:dyDescent="0.3">
      <c r="A2367" s="20">
        <v>45790</v>
      </c>
      <c r="B2367">
        <v>18</v>
      </c>
      <c r="C2367" t="s">
        <v>48</v>
      </c>
      <c r="D2367">
        <v>58914</v>
      </c>
      <c r="E2367">
        <v>2567</v>
      </c>
      <c r="F2367" t="s">
        <v>31</v>
      </c>
    </row>
    <row r="2368" spans="1:6" x14ac:dyDescent="0.3">
      <c r="A2368" s="20">
        <v>45790</v>
      </c>
      <c r="B2368">
        <v>18</v>
      </c>
      <c r="C2368" t="s">
        <v>239</v>
      </c>
      <c r="D2368">
        <v>78455</v>
      </c>
      <c r="E2368">
        <v>5350</v>
      </c>
      <c r="F2368" t="s">
        <v>31</v>
      </c>
    </row>
    <row r="2369" spans="1:6" x14ac:dyDescent="0.3">
      <c r="A2369" s="20">
        <v>45790</v>
      </c>
      <c r="B2369">
        <v>18</v>
      </c>
      <c r="C2369" t="s">
        <v>50</v>
      </c>
      <c r="D2369">
        <v>197</v>
      </c>
      <c r="E2369">
        <v>27</v>
      </c>
      <c r="F2369" t="s">
        <v>31</v>
      </c>
    </row>
    <row r="2370" spans="1:6" x14ac:dyDescent="0.3">
      <c r="A2370" s="20">
        <v>45790</v>
      </c>
      <c r="B2370">
        <v>18</v>
      </c>
      <c r="C2370" t="s">
        <v>152</v>
      </c>
      <c r="D2370">
        <v>460</v>
      </c>
      <c r="E2370">
        <v>61</v>
      </c>
      <c r="F2370" t="s">
        <v>138</v>
      </c>
    </row>
    <row r="2371" spans="1:6" x14ac:dyDescent="0.3">
      <c r="A2371" s="20">
        <v>45790</v>
      </c>
      <c r="B2371">
        <v>18</v>
      </c>
      <c r="C2371" t="s">
        <v>233</v>
      </c>
      <c r="D2371">
        <v>10345</v>
      </c>
      <c r="E2371">
        <v>1750</v>
      </c>
      <c r="F2371" t="s">
        <v>34</v>
      </c>
    </row>
    <row r="2372" spans="1:6" x14ac:dyDescent="0.3">
      <c r="A2372" s="20">
        <v>45790</v>
      </c>
      <c r="B2372">
        <v>18</v>
      </c>
      <c r="C2372" t="s">
        <v>238</v>
      </c>
      <c r="D2372">
        <v>8251</v>
      </c>
      <c r="E2372">
        <v>1007</v>
      </c>
      <c r="F2372" t="s">
        <v>229</v>
      </c>
    </row>
    <row r="2373" spans="1:6" x14ac:dyDescent="0.3">
      <c r="A2373" s="20">
        <v>45790</v>
      </c>
      <c r="B2373">
        <v>18</v>
      </c>
      <c r="C2373" t="s">
        <v>261</v>
      </c>
      <c r="D2373">
        <v>551</v>
      </c>
      <c r="E2373">
        <v>39</v>
      </c>
      <c r="F2373" t="s">
        <v>31</v>
      </c>
    </row>
    <row r="2374" spans="1:6" x14ac:dyDescent="0.3">
      <c r="A2374" s="20">
        <v>45790</v>
      </c>
      <c r="B2374">
        <v>18</v>
      </c>
      <c r="C2374" t="s">
        <v>250</v>
      </c>
      <c r="D2374">
        <v>2</v>
      </c>
      <c r="E2374">
        <v>1</v>
      </c>
      <c r="F2374" t="s">
        <v>86</v>
      </c>
    </row>
    <row r="2375" spans="1:6" x14ac:dyDescent="0.3">
      <c r="A2375" s="20">
        <v>45790</v>
      </c>
      <c r="B2375">
        <v>18</v>
      </c>
      <c r="C2375" t="s">
        <v>250</v>
      </c>
      <c r="D2375">
        <v>393</v>
      </c>
      <c r="E2375">
        <v>136</v>
      </c>
      <c r="F2375" t="s">
        <v>257</v>
      </c>
    </row>
    <row r="2376" spans="1:6" x14ac:dyDescent="0.3">
      <c r="A2376" s="20">
        <v>45790</v>
      </c>
      <c r="B2376">
        <v>18</v>
      </c>
      <c r="C2376" t="s">
        <v>162</v>
      </c>
      <c r="D2376">
        <v>3926</v>
      </c>
      <c r="E2376">
        <v>430</v>
      </c>
      <c r="F2376" t="s">
        <v>47</v>
      </c>
    </row>
    <row r="2377" spans="1:6" x14ac:dyDescent="0.3">
      <c r="A2377" s="20">
        <v>45790</v>
      </c>
      <c r="B2377">
        <v>18</v>
      </c>
      <c r="C2377" t="s">
        <v>162</v>
      </c>
      <c r="D2377">
        <v>4278</v>
      </c>
      <c r="E2377">
        <v>432</v>
      </c>
      <c r="F2377" t="s">
        <v>44</v>
      </c>
    </row>
    <row r="2378" spans="1:6" x14ac:dyDescent="0.3">
      <c r="A2378" s="20">
        <v>45790</v>
      </c>
      <c r="B2378">
        <v>18</v>
      </c>
      <c r="C2378" t="s">
        <v>37</v>
      </c>
      <c r="D2378">
        <v>47253</v>
      </c>
      <c r="E2378">
        <v>1081</v>
      </c>
      <c r="F2378" t="s">
        <v>38</v>
      </c>
    </row>
    <row r="2379" spans="1:6" x14ac:dyDescent="0.3">
      <c r="A2379" s="20">
        <v>45790</v>
      </c>
      <c r="B2379">
        <v>18</v>
      </c>
      <c r="C2379" t="s">
        <v>240</v>
      </c>
      <c r="D2379">
        <v>1126</v>
      </c>
      <c r="E2379">
        <v>46</v>
      </c>
      <c r="F2379" t="s">
        <v>38</v>
      </c>
    </row>
    <row r="2380" spans="1:6" x14ac:dyDescent="0.3">
      <c r="A2380" s="20">
        <v>45790</v>
      </c>
      <c r="B2380">
        <v>18</v>
      </c>
      <c r="C2380" t="s">
        <v>235</v>
      </c>
      <c r="D2380">
        <v>8106</v>
      </c>
      <c r="E2380">
        <v>869</v>
      </c>
      <c r="F2380" t="s">
        <v>234</v>
      </c>
    </row>
    <row r="2381" spans="1:6" x14ac:dyDescent="0.3">
      <c r="A2381" s="20">
        <v>45790</v>
      </c>
      <c r="B2381">
        <v>19</v>
      </c>
      <c r="C2381" t="s">
        <v>73</v>
      </c>
      <c r="D2381">
        <v>0</v>
      </c>
      <c r="E2381">
        <v>0</v>
      </c>
      <c r="F2381" t="s">
        <v>39</v>
      </c>
    </row>
    <row r="2382" spans="1:6" x14ac:dyDescent="0.3">
      <c r="A2382" s="20">
        <v>45790</v>
      </c>
      <c r="B2382">
        <v>19</v>
      </c>
      <c r="C2382" t="s">
        <v>73</v>
      </c>
      <c r="D2382">
        <v>0</v>
      </c>
      <c r="E2382">
        <v>0</v>
      </c>
      <c r="F2382" t="s">
        <v>43</v>
      </c>
    </row>
    <row r="2383" spans="1:6" x14ac:dyDescent="0.3">
      <c r="A2383" s="20">
        <v>45790</v>
      </c>
      <c r="B2383">
        <v>19</v>
      </c>
      <c r="C2383" t="s">
        <v>228</v>
      </c>
      <c r="D2383">
        <v>436</v>
      </c>
      <c r="E2383">
        <v>58</v>
      </c>
      <c r="F2383" t="s">
        <v>43</v>
      </c>
    </row>
    <row r="2384" spans="1:6" x14ac:dyDescent="0.3">
      <c r="A2384" s="20">
        <v>45790</v>
      </c>
      <c r="B2384">
        <v>19</v>
      </c>
      <c r="C2384" t="s">
        <v>67</v>
      </c>
      <c r="D2384">
        <v>19828</v>
      </c>
      <c r="E2384">
        <v>673</v>
      </c>
      <c r="F2384" t="s">
        <v>31</v>
      </c>
    </row>
    <row r="2385" spans="1:6" x14ac:dyDescent="0.3">
      <c r="A2385" s="20">
        <v>45790</v>
      </c>
      <c r="B2385">
        <v>19</v>
      </c>
      <c r="C2385" t="s">
        <v>52</v>
      </c>
      <c r="D2385">
        <v>48112</v>
      </c>
      <c r="E2385">
        <v>1461</v>
      </c>
      <c r="F2385" t="s">
        <v>31</v>
      </c>
    </row>
    <row r="2386" spans="1:6" x14ac:dyDescent="0.3">
      <c r="A2386" s="20">
        <v>45790</v>
      </c>
      <c r="B2386">
        <v>19</v>
      </c>
      <c r="C2386" t="s">
        <v>52</v>
      </c>
      <c r="D2386">
        <v>35</v>
      </c>
      <c r="E2386">
        <v>35</v>
      </c>
      <c r="F2386" t="s">
        <v>259</v>
      </c>
    </row>
    <row r="2387" spans="1:6" x14ac:dyDescent="0.3">
      <c r="A2387" s="20">
        <v>45790</v>
      </c>
      <c r="B2387">
        <v>19</v>
      </c>
      <c r="C2387" t="s">
        <v>71</v>
      </c>
      <c r="D2387">
        <v>9777</v>
      </c>
      <c r="E2387">
        <v>1259</v>
      </c>
      <c r="F2387" t="s">
        <v>164</v>
      </c>
    </row>
    <row r="2388" spans="1:6" x14ac:dyDescent="0.3">
      <c r="A2388" s="20">
        <v>45790</v>
      </c>
      <c r="B2388">
        <v>19</v>
      </c>
      <c r="C2388" t="s">
        <v>255</v>
      </c>
      <c r="D2388">
        <v>7144</v>
      </c>
      <c r="E2388">
        <v>1042</v>
      </c>
      <c r="F2388" t="s">
        <v>74</v>
      </c>
    </row>
    <row r="2389" spans="1:6" x14ac:dyDescent="0.3">
      <c r="A2389" s="20">
        <v>45790</v>
      </c>
      <c r="B2389">
        <v>19</v>
      </c>
      <c r="C2389" t="s">
        <v>250</v>
      </c>
      <c r="D2389">
        <v>10974</v>
      </c>
      <c r="E2389">
        <v>2586</v>
      </c>
      <c r="F2389" t="s">
        <v>252</v>
      </c>
    </row>
    <row r="2390" spans="1:6" x14ac:dyDescent="0.3">
      <c r="A2390" s="20">
        <v>45790</v>
      </c>
      <c r="B2390">
        <v>19</v>
      </c>
      <c r="C2390" t="s">
        <v>160</v>
      </c>
      <c r="D2390">
        <v>75</v>
      </c>
      <c r="E2390">
        <v>18</v>
      </c>
      <c r="F2390" t="s">
        <v>234</v>
      </c>
    </row>
    <row r="2391" spans="1:6" x14ac:dyDescent="0.3">
      <c r="A2391" s="20">
        <v>45790</v>
      </c>
      <c r="B2391">
        <v>19</v>
      </c>
      <c r="C2391" t="s">
        <v>160</v>
      </c>
      <c r="D2391">
        <v>239</v>
      </c>
      <c r="E2391">
        <v>32</v>
      </c>
      <c r="F2391" t="s">
        <v>45</v>
      </c>
    </row>
    <row r="2392" spans="1:6" x14ac:dyDescent="0.3">
      <c r="A2392" s="20">
        <v>45790</v>
      </c>
      <c r="B2392">
        <v>19</v>
      </c>
      <c r="C2392" t="s">
        <v>125</v>
      </c>
      <c r="D2392">
        <v>99234</v>
      </c>
      <c r="E2392">
        <v>4832</v>
      </c>
      <c r="F2392" t="s">
        <v>38</v>
      </c>
    </row>
    <row r="2393" spans="1:6" x14ac:dyDescent="0.3">
      <c r="A2393" s="20">
        <v>45790</v>
      </c>
      <c r="B2393">
        <v>19</v>
      </c>
      <c r="C2393" t="s">
        <v>253</v>
      </c>
      <c r="D2393">
        <v>1012</v>
      </c>
      <c r="E2393">
        <v>221</v>
      </c>
      <c r="F2393" t="s">
        <v>47</v>
      </c>
    </row>
    <row r="2394" spans="1:6" x14ac:dyDescent="0.3">
      <c r="A2394" s="20">
        <v>45790</v>
      </c>
      <c r="B2394">
        <v>19</v>
      </c>
      <c r="C2394" t="s">
        <v>235</v>
      </c>
      <c r="D2394">
        <v>4500</v>
      </c>
      <c r="E2394">
        <v>395</v>
      </c>
      <c r="F2394" t="s">
        <v>229</v>
      </c>
    </row>
    <row r="2395" spans="1:6" x14ac:dyDescent="0.3">
      <c r="A2395" s="20">
        <v>45790</v>
      </c>
      <c r="B2395">
        <v>20</v>
      </c>
      <c r="C2395" t="s">
        <v>73</v>
      </c>
      <c r="D2395">
        <v>0</v>
      </c>
      <c r="E2395">
        <v>0</v>
      </c>
    </row>
    <row r="2396" spans="1:6" x14ac:dyDescent="0.3">
      <c r="A2396" s="20">
        <v>45790</v>
      </c>
      <c r="B2396">
        <v>20</v>
      </c>
      <c r="C2396" t="s">
        <v>73</v>
      </c>
      <c r="D2396">
        <v>0</v>
      </c>
      <c r="E2396">
        <v>0</v>
      </c>
      <c r="F2396" t="s">
        <v>161</v>
      </c>
    </row>
    <row r="2397" spans="1:6" x14ac:dyDescent="0.3">
      <c r="A2397" s="20">
        <v>45790</v>
      </c>
      <c r="B2397">
        <v>20</v>
      </c>
      <c r="C2397" t="s">
        <v>66</v>
      </c>
      <c r="D2397">
        <v>43742</v>
      </c>
      <c r="E2397">
        <v>1294</v>
      </c>
      <c r="F2397" t="s">
        <v>31</v>
      </c>
    </row>
    <row r="2398" spans="1:6" x14ac:dyDescent="0.3">
      <c r="A2398" s="20">
        <v>45790</v>
      </c>
      <c r="B2398">
        <v>20</v>
      </c>
      <c r="C2398" t="s">
        <v>36</v>
      </c>
      <c r="D2398">
        <v>28</v>
      </c>
      <c r="E2398">
        <v>1</v>
      </c>
      <c r="F2398" t="s">
        <v>31</v>
      </c>
    </row>
    <row r="2399" spans="1:6" x14ac:dyDescent="0.3">
      <c r="A2399" s="20">
        <v>45790</v>
      </c>
      <c r="B2399">
        <v>20</v>
      </c>
      <c r="C2399" t="s">
        <v>250</v>
      </c>
      <c r="D2399">
        <v>34</v>
      </c>
      <c r="E2399">
        <v>8</v>
      </c>
      <c r="F2399" t="s">
        <v>34</v>
      </c>
    </row>
    <row r="2400" spans="1:6" x14ac:dyDescent="0.3">
      <c r="A2400" s="20">
        <v>45790</v>
      </c>
      <c r="B2400">
        <v>20</v>
      </c>
      <c r="C2400" t="s">
        <v>250</v>
      </c>
      <c r="D2400">
        <v>103</v>
      </c>
      <c r="E2400">
        <v>4</v>
      </c>
      <c r="F2400" t="s">
        <v>75</v>
      </c>
    </row>
    <row r="2401" spans="1:6" x14ac:dyDescent="0.3">
      <c r="A2401" s="20">
        <v>45790</v>
      </c>
      <c r="B2401">
        <v>20</v>
      </c>
      <c r="C2401" t="s">
        <v>160</v>
      </c>
      <c r="D2401">
        <v>2372</v>
      </c>
      <c r="E2401">
        <v>59</v>
      </c>
      <c r="F2401" t="s">
        <v>229</v>
      </c>
    </row>
    <row r="2402" spans="1:6" x14ac:dyDescent="0.3">
      <c r="A2402" s="20">
        <v>45790</v>
      </c>
      <c r="B2402">
        <v>20</v>
      </c>
      <c r="C2402" t="s">
        <v>51</v>
      </c>
      <c r="D2402">
        <v>19118</v>
      </c>
      <c r="E2402">
        <v>507</v>
      </c>
      <c r="F2402" t="s">
        <v>38</v>
      </c>
    </row>
    <row r="2403" spans="1:6" x14ac:dyDescent="0.3">
      <c r="A2403" s="20">
        <v>45790</v>
      </c>
      <c r="B2403">
        <v>20</v>
      </c>
      <c r="C2403" t="s">
        <v>235</v>
      </c>
      <c r="D2403">
        <v>1</v>
      </c>
      <c r="E2403">
        <v>0</v>
      </c>
      <c r="F2403" t="s">
        <v>75</v>
      </c>
    </row>
    <row r="2404" spans="1:6" x14ac:dyDescent="0.3">
      <c r="A2404" s="20">
        <v>45790</v>
      </c>
      <c r="B2404">
        <v>23</v>
      </c>
      <c r="C2404" t="s">
        <v>162</v>
      </c>
      <c r="D2404">
        <v>0</v>
      </c>
      <c r="E2404">
        <v>0</v>
      </c>
      <c r="F2404" t="s">
        <v>72</v>
      </c>
    </row>
    <row r="2405" spans="1:6" x14ac:dyDescent="0.3">
      <c r="A2405" s="20">
        <v>45790</v>
      </c>
      <c r="B2405">
        <v>8</v>
      </c>
      <c r="C2405" t="s">
        <v>228</v>
      </c>
      <c r="D2405">
        <v>713</v>
      </c>
      <c r="E2405">
        <v>100</v>
      </c>
      <c r="F2405" t="s">
        <v>43</v>
      </c>
    </row>
    <row r="2406" spans="1:6" x14ac:dyDescent="0.3">
      <c r="A2406" s="20">
        <v>45790</v>
      </c>
      <c r="B2406">
        <v>8</v>
      </c>
      <c r="C2406" t="s">
        <v>66</v>
      </c>
      <c r="D2406">
        <v>21897</v>
      </c>
      <c r="E2406">
        <v>2127</v>
      </c>
      <c r="F2406" t="s">
        <v>31</v>
      </c>
    </row>
    <row r="2407" spans="1:6" x14ac:dyDescent="0.3">
      <c r="A2407" s="20">
        <v>45790</v>
      </c>
      <c r="B2407">
        <v>8</v>
      </c>
      <c r="C2407" t="s">
        <v>230</v>
      </c>
      <c r="D2407">
        <v>42142</v>
      </c>
      <c r="E2407">
        <v>4202</v>
      </c>
      <c r="F2407" t="s">
        <v>31</v>
      </c>
    </row>
    <row r="2408" spans="1:6" x14ac:dyDescent="0.3">
      <c r="A2408" s="20">
        <v>45790</v>
      </c>
      <c r="B2408">
        <v>8</v>
      </c>
      <c r="C2408" t="s">
        <v>48</v>
      </c>
      <c r="D2408">
        <v>61669</v>
      </c>
      <c r="E2408">
        <v>4931</v>
      </c>
      <c r="F2408" t="s">
        <v>31</v>
      </c>
    </row>
    <row r="2409" spans="1:6" x14ac:dyDescent="0.3">
      <c r="A2409" s="20">
        <v>45790</v>
      </c>
      <c r="B2409">
        <v>8</v>
      </c>
      <c r="C2409" t="s">
        <v>53</v>
      </c>
      <c r="D2409">
        <v>3180</v>
      </c>
      <c r="E2409">
        <v>166</v>
      </c>
      <c r="F2409" t="s">
        <v>31</v>
      </c>
    </row>
    <row r="2410" spans="1:6" x14ac:dyDescent="0.3">
      <c r="A2410" s="20">
        <v>45790</v>
      </c>
      <c r="B2410">
        <v>8</v>
      </c>
      <c r="C2410" t="s">
        <v>49</v>
      </c>
      <c r="D2410">
        <v>802</v>
      </c>
      <c r="E2410">
        <v>91</v>
      </c>
      <c r="F2410" t="s">
        <v>42</v>
      </c>
    </row>
    <row r="2411" spans="1:6" x14ac:dyDescent="0.3">
      <c r="A2411" s="20">
        <v>45790</v>
      </c>
      <c r="B2411">
        <v>8</v>
      </c>
      <c r="C2411" t="s">
        <v>36</v>
      </c>
      <c r="D2411">
        <v>137</v>
      </c>
      <c r="E2411">
        <v>28</v>
      </c>
      <c r="F2411" t="s">
        <v>31</v>
      </c>
    </row>
    <row r="2412" spans="1:6" x14ac:dyDescent="0.3">
      <c r="A2412" s="20">
        <v>45790</v>
      </c>
      <c r="B2412">
        <v>8</v>
      </c>
      <c r="C2412" t="s">
        <v>245</v>
      </c>
      <c r="D2412">
        <v>47996</v>
      </c>
      <c r="E2412">
        <v>6878</v>
      </c>
      <c r="F2412" t="s">
        <v>31</v>
      </c>
    </row>
    <row r="2413" spans="1:6" x14ac:dyDescent="0.3">
      <c r="A2413" s="20">
        <v>45790</v>
      </c>
      <c r="B2413">
        <v>8</v>
      </c>
      <c r="C2413" t="s">
        <v>71</v>
      </c>
      <c r="D2413">
        <v>15310</v>
      </c>
      <c r="E2413">
        <v>1836</v>
      </c>
      <c r="F2413" t="s">
        <v>164</v>
      </c>
    </row>
    <row r="2414" spans="1:6" x14ac:dyDescent="0.3">
      <c r="A2414" s="20">
        <v>45790</v>
      </c>
      <c r="B2414">
        <v>8</v>
      </c>
      <c r="C2414" t="s">
        <v>232</v>
      </c>
      <c r="D2414">
        <v>2465</v>
      </c>
      <c r="E2414">
        <v>234</v>
      </c>
      <c r="F2414" t="s">
        <v>39</v>
      </c>
    </row>
    <row r="2415" spans="1:6" x14ac:dyDescent="0.3">
      <c r="A2415" s="20">
        <v>45790</v>
      </c>
      <c r="B2415">
        <v>8</v>
      </c>
      <c r="C2415" t="s">
        <v>233</v>
      </c>
      <c r="D2415">
        <v>2575</v>
      </c>
      <c r="E2415">
        <v>460</v>
      </c>
      <c r="F2415" t="s">
        <v>85</v>
      </c>
    </row>
    <row r="2416" spans="1:6" x14ac:dyDescent="0.3">
      <c r="A2416" s="20">
        <v>45790</v>
      </c>
      <c r="B2416">
        <v>8</v>
      </c>
      <c r="C2416" t="s">
        <v>262</v>
      </c>
      <c r="D2416">
        <v>22469</v>
      </c>
      <c r="E2416">
        <v>900</v>
      </c>
      <c r="F2416" t="s">
        <v>86</v>
      </c>
    </row>
    <row r="2417" spans="1:6" x14ac:dyDescent="0.3">
      <c r="A2417" s="20">
        <v>45790</v>
      </c>
      <c r="B2417">
        <v>8</v>
      </c>
      <c r="C2417" t="s">
        <v>160</v>
      </c>
      <c r="D2417">
        <v>16</v>
      </c>
      <c r="E2417">
        <v>4</v>
      </c>
      <c r="F2417" t="s">
        <v>138</v>
      </c>
    </row>
    <row r="2418" spans="1:6" x14ac:dyDescent="0.3">
      <c r="A2418" s="20">
        <v>45790</v>
      </c>
      <c r="B2418">
        <v>8</v>
      </c>
      <c r="C2418" t="s">
        <v>162</v>
      </c>
      <c r="D2418">
        <v>14293</v>
      </c>
      <c r="E2418">
        <v>1608</v>
      </c>
      <c r="F2418" t="s">
        <v>44</v>
      </c>
    </row>
    <row r="2419" spans="1:6" x14ac:dyDescent="0.3">
      <c r="A2419" s="20">
        <v>45790</v>
      </c>
      <c r="B2419">
        <v>8</v>
      </c>
      <c r="C2419" t="s">
        <v>124</v>
      </c>
      <c r="D2419">
        <v>64226</v>
      </c>
      <c r="E2419">
        <v>4503</v>
      </c>
      <c r="F2419" t="s">
        <v>38</v>
      </c>
    </row>
    <row r="2420" spans="1:6" x14ac:dyDescent="0.3">
      <c r="A2420" s="20">
        <v>45790</v>
      </c>
      <c r="B2420">
        <v>8</v>
      </c>
      <c r="C2420" t="s">
        <v>258</v>
      </c>
      <c r="D2420">
        <v>3911</v>
      </c>
      <c r="E2420">
        <v>308</v>
      </c>
      <c r="F2420" t="s">
        <v>229</v>
      </c>
    </row>
    <row r="2421" spans="1:6" x14ac:dyDescent="0.3">
      <c r="A2421" s="20">
        <v>45790</v>
      </c>
      <c r="B2421">
        <v>9</v>
      </c>
      <c r="C2421" t="s">
        <v>73</v>
      </c>
      <c r="D2421">
        <v>0</v>
      </c>
      <c r="E2421">
        <v>0</v>
      </c>
      <c r="F2421" t="s">
        <v>229</v>
      </c>
    </row>
    <row r="2422" spans="1:6" x14ac:dyDescent="0.3">
      <c r="A2422" s="20">
        <v>45790</v>
      </c>
      <c r="B2422">
        <v>9</v>
      </c>
      <c r="C2422" t="s">
        <v>73</v>
      </c>
      <c r="D2422">
        <v>0</v>
      </c>
      <c r="E2422">
        <v>0</v>
      </c>
      <c r="F2422" t="s">
        <v>234</v>
      </c>
    </row>
    <row r="2423" spans="1:6" x14ac:dyDescent="0.3">
      <c r="A2423" s="20">
        <v>45790</v>
      </c>
      <c r="B2423">
        <v>9</v>
      </c>
      <c r="C2423" t="s">
        <v>156</v>
      </c>
      <c r="D2423">
        <v>108</v>
      </c>
      <c r="E2423">
        <v>8</v>
      </c>
      <c r="F2423" t="s">
        <v>33</v>
      </c>
    </row>
    <row r="2424" spans="1:6" x14ac:dyDescent="0.3">
      <c r="A2424" s="20">
        <v>45790</v>
      </c>
      <c r="B2424">
        <v>9</v>
      </c>
      <c r="C2424" t="s">
        <v>242</v>
      </c>
      <c r="D2424">
        <v>62151</v>
      </c>
      <c r="E2424">
        <v>8078</v>
      </c>
      <c r="F2424" t="s">
        <v>31</v>
      </c>
    </row>
    <row r="2425" spans="1:6" x14ac:dyDescent="0.3">
      <c r="A2425" s="20">
        <v>45790</v>
      </c>
      <c r="B2425">
        <v>9</v>
      </c>
      <c r="C2425" t="s">
        <v>50</v>
      </c>
      <c r="D2425">
        <v>547</v>
      </c>
      <c r="E2425">
        <v>155</v>
      </c>
      <c r="F2425" t="s">
        <v>31</v>
      </c>
    </row>
    <row r="2426" spans="1:6" x14ac:dyDescent="0.3">
      <c r="A2426" s="20">
        <v>45790</v>
      </c>
      <c r="B2426">
        <v>9</v>
      </c>
      <c r="C2426" t="s">
        <v>246</v>
      </c>
      <c r="D2426">
        <v>47903</v>
      </c>
      <c r="E2426">
        <v>6584</v>
      </c>
      <c r="F2426" t="s">
        <v>31</v>
      </c>
    </row>
    <row r="2427" spans="1:6" x14ac:dyDescent="0.3">
      <c r="A2427" s="20">
        <v>45790</v>
      </c>
      <c r="B2427">
        <v>9</v>
      </c>
      <c r="C2427" t="s">
        <v>243</v>
      </c>
      <c r="D2427">
        <v>46</v>
      </c>
      <c r="E2427">
        <v>4</v>
      </c>
      <c r="F2427" t="s">
        <v>42</v>
      </c>
    </row>
    <row r="2428" spans="1:6" x14ac:dyDescent="0.3">
      <c r="A2428" s="20">
        <v>45790</v>
      </c>
      <c r="B2428">
        <v>9</v>
      </c>
      <c r="C2428" t="s">
        <v>232</v>
      </c>
      <c r="D2428">
        <v>3605</v>
      </c>
      <c r="E2428">
        <v>276</v>
      </c>
      <c r="F2428" t="s">
        <v>74</v>
      </c>
    </row>
    <row r="2429" spans="1:6" x14ac:dyDescent="0.3">
      <c r="A2429" s="20">
        <v>45790</v>
      </c>
      <c r="B2429">
        <v>9</v>
      </c>
      <c r="C2429" t="s">
        <v>232</v>
      </c>
      <c r="D2429">
        <v>20541</v>
      </c>
      <c r="E2429">
        <v>3158</v>
      </c>
      <c r="F2429" t="s">
        <v>229</v>
      </c>
    </row>
    <row r="2430" spans="1:6" x14ac:dyDescent="0.3">
      <c r="A2430" s="20">
        <v>45790</v>
      </c>
      <c r="B2430">
        <v>9</v>
      </c>
      <c r="C2430" t="s">
        <v>233</v>
      </c>
      <c r="D2430">
        <v>16225</v>
      </c>
      <c r="E2430">
        <v>2350</v>
      </c>
      <c r="F2430" t="s">
        <v>34</v>
      </c>
    </row>
    <row r="2431" spans="1:6" x14ac:dyDescent="0.3">
      <c r="A2431" s="20">
        <v>45790</v>
      </c>
      <c r="B2431">
        <v>9</v>
      </c>
      <c r="C2431" t="s">
        <v>233</v>
      </c>
      <c r="D2431">
        <v>6566</v>
      </c>
      <c r="E2431">
        <v>611</v>
      </c>
      <c r="F2431" t="s">
        <v>39</v>
      </c>
    </row>
    <row r="2432" spans="1:6" x14ac:dyDescent="0.3">
      <c r="A2432" s="20">
        <v>45790</v>
      </c>
      <c r="B2432">
        <v>9</v>
      </c>
      <c r="C2432" t="s">
        <v>250</v>
      </c>
      <c r="D2432">
        <v>6831</v>
      </c>
      <c r="E2432">
        <v>1022</v>
      </c>
      <c r="F2432" t="s">
        <v>164</v>
      </c>
    </row>
    <row r="2433" spans="1:6" x14ac:dyDescent="0.3">
      <c r="A2433" s="20">
        <v>45790</v>
      </c>
      <c r="B2433">
        <v>9</v>
      </c>
      <c r="C2433" t="s">
        <v>250</v>
      </c>
      <c r="D2433">
        <v>712</v>
      </c>
      <c r="E2433">
        <v>106</v>
      </c>
      <c r="F2433" t="s">
        <v>75</v>
      </c>
    </row>
    <row r="2434" spans="1:6" x14ac:dyDescent="0.3">
      <c r="A2434" s="20">
        <v>45790</v>
      </c>
      <c r="B2434">
        <v>9</v>
      </c>
      <c r="C2434" t="s">
        <v>160</v>
      </c>
      <c r="D2434">
        <v>204</v>
      </c>
      <c r="E2434">
        <v>62</v>
      </c>
      <c r="F2434" t="s">
        <v>44</v>
      </c>
    </row>
    <row r="2435" spans="1:6" x14ac:dyDescent="0.3">
      <c r="A2435" s="20">
        <v>45790</v>
      </c>
      <c r="B2435">
        <v>9</v>
      </c>
      <c r="C2435" t="s">
        <v>160</v>
      </c>
      <c r="D2435">
        <v>380</v>
      </c>
      <c r="E2435">
        <v>86</v>
      </c>
      <c r="F2435" t="s">
        <v>45</v>
      </c>
    </row>
    <row r="2436" spans="1:6" x14ac:dyDescent="0.3">
      <c r="A2436" s="20">
        <v>45790</v>
      </c>
      <c r="B2436">
        <v>9</v>
      </c>
      <c r="C2436" t="s">
        <v>251</v>
      </c>
      <c r="D2436">
        <v>6400</v>
      </c>
      <c r="E2436">
        <v>848</v>
      </c>
      <c r="F2436" t="s">
        <v>44</v>
      </c>
    </row>
    <row r="2437" spans="1:6" x14ac:dyDescent="0.3">
      <c r="A2437" s="20">
        <v>45790</v>
      </c>
      <c r="B2437">
        <v>10</v>
      </c>
      <c r="C2437" t="s">
        <v>73</v>
      </c>
      <c r="D2437">
        <v>0</v>
      </c>
      <c r="E2437">
        <v>0</v>
      </c>
      <c r="F2437" t="s">
        <v>163</v>
      </c>
    </row>
    <row r="2438" spans="1:6" x14ac:dyDescent="0.3">
      <c r="A2438" s="20">
        <v>45790</v>
      </c>
      <c r="B2438">
        <v>10</v>
      </c>
      <c r="C2438" t="s">
        <v>73</v>
      </c>
      <c r="D2438">
        <v>0</v>
      </c>
      <c r="E2438">
        <v>0</v>
      </c>
      <c r="F2438" t="s">
        <v>86</v>
      </c>
    </row>
    <row r="2439" spans="1:6" x14ac:dyDescent="0.3">
      <c r="A2439" s="20">
        <v>45790</v>
      </c>
      <c r="B2439">
        <v>10</v>
      </c>
      <c r="C2439" t="s">
        <v>73</v>
      </c>
      <c r="D2439">
        <v>0</v>
      </c>
      <c r="E2439">
        <v>0</v>
      </c>
      <c r="F2439" t="s">
        <v>43</v>
      </c>
    </row>
    <row r="2440" spans="1:6" x14ac:dyDescent="0.3">
      <c r="A2440" s="20">
        <v>45790</v>
      </c>
      <c r="B2440">
        <v>10</v>
      </c>
      <c r="C2440" t="s">
        <v>263</v>
      </c>
      <c r="D2440">
        <v>12146</v>
      </c>
      <c r="E2440">
        <v>610</v>
      </c>
      <c r="F2440" t="s">
        <v>229</v>
      </c>
    </row>
    <row r="2441" spans="1:6" x14ac:dyDescent="0.3">
      <c r="A2441" s="20">
        <v>45790</v>
      </c>
      <c r="B2441">
        <v>10</v>
      </c>
      <c r="C2441" t="s">
        <v>67</v>
      </c>
      <c r="D2441">
        <v>5805</v>
      </c>
      <c r="E2441">
        <v>182</v>
      </c>
      <c r="F2441" t="s">
        <v>42</v>
      </c>
    </row>
    <row r="2442" spans="1:6" x14ac:dyDescent="0.3">
      <c r="A2442" s="20">
        <v>45790</v>
      </c>
      <c r="B2442">
        <v>10</v>
      </c>
      <c r="C2442" t="s">
        <v>157</v>
      </c>
      <c r="D2442">
        <v>13413</v>
      </c>
      <c r="E2442">
        <v>3252</v>
      </c>
      <c r="F2442" t="s">
        <v>31</v>
      </c>
    </row>
    <row r="2443" spans="1:6" x14ac:dyDescent="0.3">
      <c r="A2443" s="20">
        <v>45790</v>
      </c>
      <c r="B2443">
        <v>10</v>
      </c>
      <c r="C2443" t="s">
        <v>48</v>
      </c>
      <c r="D2443">
        <v>0</v>
      </c>
      <c r="E2443">
        <v>0</v>
      </c>
      <c r="F2443" t="s">
        <v>259</v>
      </c>
    </row>
    <row r="2444" spans="1:6" x14ac:dyDescent="0.3">
      <c r="A2444" s="20">
        <v>45790</v>
      </c>
      <c r="B2444">
        <v>10</v>
      </c>
      <c r="C2444" t="s">
        <v>239</v>
      </c>
      <c r="D2444">
        <v>80209</v>
      </c>
      <c r="E2444">
        <v>6228</v>
      </c>
      <c r="F2444" t="s">
        <v>31</v>
      </c>
    </row>
    <row r="2445" spans="1:6" x14ac:dyDescent="0.3">
      <c r="A2445" s="20">
        <v>45790</v>
      </c>
      <c r="B2445">
        <v>10</v>
      </c>
      <c r="C2445" t="s">
        <v>139</v>
      </c>
      <c r="D2445">
        <v>37197</v>
      </c>
      <c r="E2445">
        <v>1022</v>
      </c>
      <c r="F2445" t="s">
        <v>46</v>
      </c>
    </row>
    <row r="2446" spans="1:6" x14ac:dyDescent="0.3">
      <c r="A2446" s="20">
        <v>45790</v>
      </c>
      <c r="B2446">
        <v>10</v>
      </c>
      <c r="C2446" t="s">
        <v>255</v>
      </c>
      <c r="D2446">
        <v>8393</v>
      </c>
      <c r="E2446">
        <v>1393</v>
      </c>
      <c r="F2446" t="s">
        <v>39</v>
      </c>
    </row>
    <row r="2447" spans="1:6" x14ac:dyDescent="0.3">
      <c r="A2447" s="20">
        <v>45790</v>
      </c>
      <c r="B2447">
        <v>10</v>
      </c>
      <c r="C2447" t="s">
        <v>155</v>
      </c>
      <c r="D2447">
        <v>30</v>
      </c>
      <c r="E2447">
        <v>11</v>
      </c>
      <c r="F2447" t="s">
        <v>32</v>
      </c>
    </row>
    <row r="2448" spans="1:6" x14ac:dyDescent="0.3">
      <c r="A2448" s="20">
        <v>45790</v>
      </c>
      <c r="B2448">
        <v>10</v>
      </c>
      <c r="C2448" t="s">
        <v>160</v>
      </c>
      <c r="D2448">
        <v>4</v>
      </c>
      <c r="E2448">
        <v>0</v>
      </c>
      <c r="F2448" t="s">
        <v>68</v>
      </c>
    </row>
    <row r="2449" spans="1:6" x14ac:dyDescent="0.3">
      <c r="A2449" s="20">
        <v>45790</v>
      </c>
      <c r="B2449">
        <v>10</v>
      </c>
      <c r="C2449" t="s">
        <v>160</v>
      </c>
      <c r="D2449">
        <v>126</v>
      </c>
      <c r="E2449">
        <v>23</v>
      </c>
      <c r="F2449" t="s">
        <v>161</v>
      </c>
    </row>
    <row r="2450" spans="1:6" x14ac:dyDescent="0.3">
      <c r="A2450" s="20">
        <v>45790</v>
      </c>
      <c r="B2450">
        <v>10</v>
      </c>
      <c r="C2450" t="s">
        <v>160</v>
      </c>
      <c r="D2450">
        <v>13</v>
      </c>
      <c r="E2450">
        <v>3</v>
      </c>
      <c r="F2450" t="s">
        <v>72</v>
      </c>
    </row>
    <row r="2451" spans="1:6" x14ac:dyDescent="0.3">
      <c r="A2451" s="20">
        <v>45790</v>
      </c>
      <c r="B2451">
        <v>10</v>
      </c>
      <c r="C2451" t="s">
        <v>235</v>
      </c>
      <c r="D2451">
        <v>8791</v>
      </c>
      <c r="E2451">
        <v>857</v>
      </c>
      <c r="F2451" t="s">
        <v>229</v>
      </c>
    </row>
    <row r="2452" spans="1:6" x14ac:dyDescent="0.3">
      <c r="A2452" s="20">
        <v>45790</v>
      </c>
      <c r="B2452">
        <v>11</v>
      </c>
      <c r="C2452" t="s">
        <v>228</v>
      </c>
      <c r="D2452">
        <v>611</v>
      </c>
      <c r="E2452">
        <v>79</v>
      </c>
      <c r="F2452" t="s">
        <v>43</v>
      </c>
    </row>
    <row r="2453" spans="1:6" x14ac:dyDescent="0.3">
      <c r="A2453" s="20">
        <v>45790</v>
      </c>
      <c r="B2453">
        <v>11</v>
      </c>
      <c r="C2453" t="s">
        <v>66</v>
      </c>
      <c r="D2453">
        <v>32409</v>
      </c>
      <c r="E2453">
        <v>3042</v>
      </c>
      <c r="F2453" t="s">
        <v>31</v>
      </c>
    </row>
    <row r="2454" spans="1:6" x14ac:dyDescent="0.3">
      <c r="A2454" s="20">
        <v>45790</v>
      </c>
      <c r="B2454">
        <v>11</v>
      </c>
      <c r="C2454" t="s">
        <v>230</v>
      </c>
      <c r="D2454">
        <v>26342</v>
      </c>
      <c r="E2454">
        <v>2541</v>
      </c>
      <c r="F2454" t="s">
        <v>31</v>
      </c>
    </row>
    <row r="2455" spans="1:6" x14ac:dyDescent="0.3">
      <c r="A2455" s="20">
        <v>45790</v>
      </c>
      <c r="B2455">
        <v>11</v>
      </c>
      <c r="C2455" t="s">
        <v>48</v>
      </c>
      <c r="D2455">
        <v>56153</v>
      </c>
      <c r="E2455">
        <v>4400</v>
      </c>
      <c r="F2455" t="s">
        <v>31</v>
      </c>
    </row>
    <row r="2456" spans="1:6" x14ac:dyDescent="0.3">
      <c r="A2456" s="20">
        <v>45790</v>
      </c>
      <c r="B2456">
        <v>11</v>
      </c>
      <c r="C2456" t="s">
        <v>53</v>
      </c>
      <c r="D2456">
        <v>2170</v>
      </c>
      <c r="E2456">
        <v>95</v>
      </c>
      <c r="F2456" t="s">
        <v>31</v>
      </c>
    </row>
    <row r="2457" spans="1:6" x14ac:dyDescent="0.3">
      <c r="A2457" s="20">
        <v>45790</v>
      </c>
      <c r="B2457">
        <v>11</v>
      </c>
      <c r="C2457" t="s">
        <v>49</v>
      </c>
      <c r="D2457">
        <v>18521</v>
      </c>
      <c r="E2457">
        <v>1630</v>
      </c>
      <c r="F2457" t="s">
        <v>42</v>
      </c>
    </row>
    <row r="2458" spans="1:6" x14ac:dyDescent="0.3">
      <c r="A2458" s="20">
        <v>45790</v>
      </c>
      <c r="B2458">
        <v>11</v>
      </c>
      <c r="C2458" t="s">
        <v>245</v>
      </c>
      <c r="D2458">
        <v>51384</v>
      </c>
      <c r="E2458">
        <v>6900</v>
      </c>
      <c r="F2458" t="s">
        <v>31</v>
      </c>
    </row>
    <row r="2459" spans="1:6" x14ac:dyDescent="0.3">
      <c r="A2459" s="20">
        <v>45790</v>
      </c>
      <c r="B2459">
        <v>11</v>
      </c>
      <c r="C2459" t="s">
        <v>232</v>
      </c>
      <c r="D2459">
        <v>3512</v>
      </c>
      <c r="E2459">
        <v>241</v>
      </c>
      <c r="F2459" t="s">
        <v>39</v>
      </c>
    </row>
    <row r="2460" spans="1:6" x14ac:dyDescent="0.3">
      <c r="A2460" s="20">
        <v>45790</v>
      </c>
      <c r="B2460">
        <v>11</v>
      </c>
      <c r="C2460" t="s">
        <v>233</v>
      </c>
      <c r="D2460">
        <v>3735</v>
      </c>
      <c r="E2460">
        <v>498</v>
      </c>
      <c r="F2460" t="s">
        <v>85</v>
      </c>
    </row>
    <row r="2461" spans="1:6" x14ac:dyDescent="0.3">
      <c r="A2461" s="20">
        <v>45790</v>
      </c>
      <c r="B2461">
        <v>11</v>
      </c>
      <c r="C2461" t="s">
        <v>265</v>
      </c>
      <c r="D2461">
        <v>176</v>
      </c>
      <c r="E2461">
        <v>10</v>
      </c>
      <c r="F2461" t="s">
        <v>42</v>
      </c>
    </row>
    <row r="2462" spans="1:6" x14ac:dyDescent="0.3">
      <c r="A2462" s="20">
        <v>45790</v>
      </c>
      <c r="B2462">
        <v>11</v>
      </c>
      <c r="C2462" t="s">
        <v>255</v>
      </c>
      <c r="D2462">
        <v>6685</v>
      </c>
      <c r="E2462">
        <v>1425</v>
      </c>
      <c r="F2462" t="s">
        <v>75</v>
      </c>
    </row>
    <row r="2463" spans="1:6" x14ac:dyDescent="0.3">
      <c r="A2463" s="20">
        <v>45790</v>
      </c>
      <c r="B2463">
        <v>11</v>
      </c>
      <c r="C2463" t="s">
        <v>250</v>
      </c>
      <c r="D2463">
        <v>2498</v>
      </c>
      <c r="E2463">
        <v>752</v>
      </c>
      <c r="F2463" t="s">
        <v>72</v>
      </c>
    </row>
    <row r="2464" spans="1:6" x14ac:dyDescent="0.3">
      <c r="A2464" s="20">
        <v>45790</v>
      </c>
      <c r="B2464">
        <v>11</v>
      </c>
      <c r="C2464" t="s">
        <v>162</v>
      </c>
      <c r="D2464">
        <v>13080</v>
      </c>
      <c r="E2464">
        <v>1714</v>
      </c>
      <c r="F2464" t="s">
        <v>44</v>
      </c>
    </row>
    <row r="2465" spans="1:6" x14ac:dyDescent="0.3">
      <c r="A2465" s="20">
        <v>45790</v>
      </c>
      <c r="B2465">
        <v>11</v>
      </c>
      <c r="C2465" t="s">
        <v>37</v>
      </c>
      <c r="D2465">
        <v>63263</v>
      </c>
      <c r="E2465">
        <v>2070</v>
      </c>
      <c r="F2465" t="s">
        <v>38</v>
      </c>
    </row>
    <row r="2466" spans="1:6" x14ac:dyDescent="0.3">
      <c r="A2466" s="20">
        <v>45790</v>
      </c>
      <c r="B2466">
        <v>12</v>
      </c>
      <c r="C2466" t="s">
        <v>73</v>
      </c>
      <c r="D2466">
        <v>0</v>
      </c>
      <c r="E2466">
        <v>0</v>
      </c>
      <c r="F2466" t="s">
        <v>229</v>
      </c>
    </row>
    <row r="2467" spans="1:6" x14ac:dyDescent="0.3">
      <c r="A2467" s="20">
        <v>45790</v>
      </c>
      <c r="B2467">
        <v>12</v>
      </c>
      <c r="C2467" t="s">
        <v>242</v>
      </c>
      <c r="D2467">
        <v>40749</v>
      </c>
      <c r="E2467">
        <v>4631</v>
      </c>
      <c r="F2467" t="s">
        <v>31</v>
      </c>
    </row>
    <row r="2468" spans="1:6" x14ac:dyDescent="0.3">
      <c r="A2468" s="20">
        <v>45790</v>
      </c>
      <c r="B2468">
        <v>12</v>
      </c>
      <c r="C2468" t="s">
        <v>35</v>
      </c>
      <c r="D2468">
        <v>4938</v>
      </c>
      <c r="E2468">
        <v>373</v>
      </c>
      <c r="F2468" t="s">
        <v>31</v>
      </c>
    </row>
    <row r="2469" spans="1:6" x14ac:dyDescent="0.3">
      <c r="A2469" s="20">
        <v>45790</v>
      </c>
      <c r="B2469">
        <v>12</v>
      </c>
      <c r="C2469" t="s">
        <v>35</v>
      </c>
      <c r="D2469">
        <v>124</v>
      </c>
      <c r="E2469">
        <v>14</v>
      </c>
      <c r="F2469" t="s">
        <v>42</v>
      </c>
    </row>
    <row r="2470" spans="1:6" x14ac:dyDescent="0.3">
      <c r="A2470" s="20">
        <v>45790</v>
      </c>
      <c r="B2470">
        <v>12</v>
      </c>
      <c r="C2470" t="s">
        <v>50</v>
      </c>
      <c r="D2470">
        <v>336</v>
      </c>
      <c r="E2470">
        <v>70</v>
      </c>
      <c r="F2470" t="s">
        <v>31</v>
      </c>
    </row>
    <row r="2471" spans="1:6" x14ac:dyDescent="0.3">
      <c r="A2471" s="20">
        <v>45790</v>
      </c>
      <c r="B2471">
        <v>12</v>
      </c>
      <c r="C2471" t="s">
        <v>246</v>
      </c>
      <c r="D2471">
        <v>39341</v>
      </c>
      <c r="E2471">
        <v>5622</v>
      </c>
      <c r="F2471" t="s">
        <v>31</v>
      </c>
    </row>
    <row r="2472" spans="1:6" x14ac:dyDescent="0.3">
      <c r="A2472" s="20">
        <v>45790</v>
      </c>
      <c r="B2472">
        <v>12</v>
      </c>
      <c r="C2472" t="s">
        <v>71</v>
      </c>
      <c r="D2472">
        <v>6423</v>
      </c>
      <c r="E2472">
        <v>672</v>
      </c>
      <c r="F2472" t="s">
        <v>229</v>
      </c>
    </row>
    <row r="2473" spans="1:6" x14ac:dyDescent="0.3">
      <c r="A2473" s="20">
        <v>45790</v>
      </c>
      <c r="B2473">
        <v>12</v>
      </c>
      <c r="C2473" t="s">
        <v>232</v>
      </c>
      <c r="D2473">
        <v>5589</v>
      </c>
      <c r="E2473">
        <v>451</v>
      </c>
      <c r="F2473" t="s">
        <v>74</v>
      </c>
    </row>
    <row r="2474" spans="1:6" x14ac:dyDescent="0.3">
      <c r="A2474" s="20">
        <v>45790</v>
      </c>
      <c r="B2474">
        <v>12</v>
      </c>
      <c r="C2474" t="s">
        <v>232</v>
      </c>
      <c r="D2474">
        <v>21963</v>
      </c>
      <c r="E2474">
        <v>3387</v>
      </c>
      <c r="F2474" t="s">
        <v>229</v>
      </c>
    </row>
    <row r="2475" spans="1:6" x14ac:dyDescent="0.3">
      <c r="A2475" s="20">
        <v>45790</v>
      </c>
      <c r="B2475">
        <v>12</v>
      </c>
      <c r="C2475" t="s">
        <v>233</v>
      </c>
      <c r="D2475">
        <v>15749</v>
      </c>
      <c r="E2475">
        <v>2507</v>
      </c>
      <c r="F2475" t="s">
        <v>34</v>
      </c>
    </row>
    <row r="2476" spans="1:6" x14ac:dyDescent="0.3">
      <c r="A2476" s="20">
        <v>45790</v>
      </c>
      <c r="B2476">
        <v>12</v>
      </c>
      <c r="C2476" t="s">
        <v>250</v>
      </c>
      <c r="D2476">
        <v>8335</v>
      </c>
      <c r="E2476">
        <v>1094</v>
      </c>
      <c r="F2476" t="s">
        <v>164</v>
      </c>
    </row>
    <row r="2477" spans="1:6" x14ac:dyDescent="0.3">
      <c r="A2477" s="20">
        <v>45790</v>
      </c>
      <c r="B2477">
        <v>12</v>
      </c>
      <c r="C2477" t="s">
        <v>160</v>
      </c>
      <c r="D2477">
        <v>138</v>
      </c>
      <c r="E2477">
        <v>11</v>
      </c>
      <c r="F2477" t="s">
        <v>44</v>
      </c>
    </row>
    <row r="2478" spans="1:6" x14ac:dyDescent="0.3">
      <c r="A2478" s="20">
        <v>45790</v>
      </c>
      <c r="B2478">
        <v>12</v>
      </c>
      <c r="C2478" t="s">
        <v>160</v>
      </c>
      <c r="D2478">
        <v>289</v>
      </c>
      <c r="E2478">
        <v>72</v>
      </c>
      <c r="F2478" t="s">
        <v>32</v>
      </c>
    </row>
    <row r="2479" spans="1:6" x14ac:dyDescent="0.3">
      <c r="A2479" s="20">
        <v>45790</v>
      </c>
      <c r="B2479">
        <v>12</v>
      </c>
      <c r="C2479" t="s">
        <v>160</v>
      </c>
      <c r="D2479">
        <v>10335</v>
      </c>
      <c r="E2479">
        <v>837</v>
      </c>
      <c r="F2479" t="s">
        <v>234</v>
      </c>
    </row>
    <row r="2480" spans="1:6" x14ac:dyDescent="0.3">
      <c r="A2480" s="20">
        <v>45790</v>
      </c>
      <c r="B2480">
        <v>12</v>
      </c>
      <c r="C2480" t="s">
        <v>160</v>
      </c>
      <c r="D2480">
        <v>271</v>
      </c>
      <c r="E2480">
        <v>78</v>
      </c>
      <c r="F2480" t="s">
        <v>45</v>
      </c>
    </row>
    <row r="2481" spans="1:6" x14ac:dyDescent="0.3">
      <c r="A2481" s="20">
        <v>45790</v>
      </c>
      <c r="B2481">
        <v>12</v>
      </c>
      <c r="C2481" t="s">
        <v>125</v>
      </c>
      <c r="D2481">
        <v>106661</v>
      </c>
      <c r="E2481">
        <v>9218</v>
      </c>
      <c r="F2481" t="s">
        <v>38</v>
      </c>
    </row>
    <row r="2482" spans="1:6" x14ac:dyDescent="0.3">
      <c r="A2482" s="20">
        <v>45790</v>
      </c>
      <c r="B2482">
        <v>13</v>
      </c>
      <c r="C2482" t="s">
        <v>73</v>
      </c>
      <c r="D2482">
        <v>0</v>
      </c>
      <c r="E2482">
        <v>0</v>
      </c>
      <c r="F2482" t="s">
        <v>86</v>
      </c>
    </row>
    <row r="2483" spans="1:6" x14ac:dyDescent="0.3">
      <c r="A2483" s="20">
        <v>45790</v>
      </c>
      <c r="B2483">
        <v>13</v>
      </c>
      <c r="C2483" t="s">
        <v>73</v>
      </c>
      <c r="D2483">
        <v>0</v>
      </c>
      <c r="E2483">
        <v>0</v>
      </c>
      <c r="F2483" t="s">
        <v>38</v>
      </c>
    </row>
    <row r="2484" spans="1:6" x14ac:dyDescent="0.3">
      <c r="A2484" s="20">
        <v>45790</v>
      </c>
      <c r="B2484">
        <v>13</v>
      </c>
      <c r="C2484" t="s">
        <v>73</v>
      </c>
      <c r="D2484">
        <v>0</v>
      </c>
      <c r="E2484">
        <v>0</v>
      </c>
      <c r="F2484" t="s">
        <v>43</v>
      </c>
    </row>
    <row r="2485" spans="1:6" x14ac:dyDescent="0.3">
      <c r="A2485" s="20">
        <v>45790</v>
      </c>
      <c r="B2485">
        <v>13</v>
      </c>
      <c r="C2485" t="s">
        <v>228</v>
      </c>
      <c r="D2485">
        <v>17233</v>
      </c>
      <c r="E2485">
        <v>2148</v>
      </c>
      <c r="F2485" t="s">
        <v>231</v>
      </c>
    </row>
    <row r="2486" spans="1:6" x14ac:dyDescent="0.3">
      <c r="A2486" s="20">
        <v>45790</v>
      </c>
      <c r="B2486">
        <v>13</v>
      </c>
      <c r="C2486" t="s">
        <v>159</v>
      </c>
      <c r="D2486">
        <v>32634</v>
      </c>
      <c r="E2486">
        <v>1271</v>
      </c>
      <c r="F2486" t="s">
        <v>31</v>
      </c>
    </row>
    <row r="2487" spans="1:6" x14ac:dyDescent="0.3">
      <c r="A2487" s="20">
        <v>45790</v>
      </c>
      <c r="B2487">
        <v>13</v>
      </c>
      <c r="C2487" t="s">
        <v>157</v>
      </c>
      <c r="D2487">
        <v>13707</v>
      </c>
      <c r="E2487">
        <v>3689</v>
      </c>
      <c r="F2487" t="s">
        <v>31</v>
      </c>
    </row>
    <row r="2488" spans="1:6" x14ac:dyDescent="0.3">
      <c r="A2488" s="20">
        <v>45790</v>
      </c>
      <c r="B2488">
        <v>13</v>
      </c>
      <c r="C2488" t="s">
        <v>48</v>
      </c>
      <c r="D2488">
        <v>0</v>
      </c>
      <c r="E2488">
        <v>0</v>
      </c>
      <c r="F2488" t="s">
        <v>259</v>
      </c>
    </row>
    <row r="2489" spans="1:6" x14ac:dyDescent="0.3">
      <c r="A2489" s="20">
        <v>45790</v>
      </c>
      <c r="B2489">
        <v>13</v>
      </c>
      <c r="C2489" t="s">
        <v>139</v>
      </c>
      <c r="D2489">
        <v>21272</v>
      </c>
      <c r="E2489">
        <v>454</v>
      </c>
      <c r="F2489" t="s">
        <v>46</v>
      </c>
    </row>
    <row r="2490" spans="1:6" x14ac:dyDescent="0.3">
      <c r="A2490" s="20">
        <v>45790</v>
      </c>
      <c r="B2490">
        <v>13</v>
      </c>
      <c r="C2490" t="s">
        <v>49</v>
      </c>
      <c r="D2490">
        <v>0</v>
      </c>
      <c r="E2490">
        <v>0</v>
      </c>
      <c r="F2490" t="s">
        <v>77</v>
      </c>
    </row>
    <row r="2491" spans="1:6" x14ac:dyDescent="0.3">
      <c r="A2491" s="20">
        <v>45790</v>
      </c>
      <c r="B2491">
        <v>13</v>
      </c>
      <c r="C2491" t="s">
        <v>155</v>
      </c>
      <c r="D2491">
        <v>48</v>
      </c>
      <c r="E2491">
        <v>18</v>
      </c>
      <c r="F2491" t="s">
        <v>32</v>
      </c>
    </row>
    <row r="2492" spans="1:6" x14ac:dyDescent="0.3">
      <c r="A2492" s="20">
        <v>45790</v>
      </c>
      <c r="B2492">
        <v>13</v>
      </c>
      <c r="C2492" t="s">
        <v>155</v>
      </c>
      <c r="D2492">
        <v>231</v>
      </c>
      <c r="E2492">
        <v>81</v>
      </c>
      <c r="F2492" t="s">
        <v>229</v>
      </c>
    </row>
    <row r="2493" spans="1:6" x14ac:dyDescent="0.3">
      <c r="A2493" s="20">
        <v>45790</v>
      </c>
      <c r="B2493">
        <v>13</v>
      </c>
      <c r="C2493" t="s">
        <v>250</v>
      </c>
      <c r="D2493">
        <v>3153</v>
      </c>
      <c r="E2493">
        <v>724</v>
      </c>
      <c r="F2493" t="s">
        <v>43</v>
      </c>
    </row>
    <row r="2494" spans="1:6" x14ac:dyDescent="0.3">
      <c r="A2494" s="20">
        <v>45790</v>
      </c>
      <c r="B2494">
        <v>13</v>
      </c>
      <c r="C2494" t="s">
        <v>160</v>
      </c>
      <c r="D2494">
        <v>1</v>
      </c>
      <c r="E2494">
        <v>0</v>
      </c>
      <c r="F2494" t="s">
        <v>68</v>
      </c>
    </row>
    <row r="2495" spans="1:6" x14ac:dyDescent="0.3">
      <c r="A2495" s="20">
        <v>45790</v>
      </c>
      <c r="B2495">
        <v>13</v>
      </c>
      <c r="C2495" t="s">
        <v>160</v>
      </c>
      <c r="D2495">
        <v>119</v>
      </c>
      <c r="E2495">
        <v>38</v>
      </c>
      <c r="F2495" t="s">
        <v>161</v>
      </c>
    </row>
    <row r="2496" spans="1:6" x14ac:dyDescent="0.3">
      <c r="A2496" s="20">
        <v>45790</v>
      </c>
      <c r="B2496">
        <v>13</v>
      </c>
      <c r="C2496" t="s">
        <v>160</v>
      </c>
      <c r="D2496">
        <v>1592</v>
      </c>
      <c r="E2496">
        <v>506</v>
      </c>
      <c r="F2496" t="s">
        <v>72</v>
      </c>
    </row>
    <row r="2497" spans="1:6" x14ac:dyDescent="0.3">
      <c r="A2497" s="20">
        <v>45790</v>
      </c>
      <c r="B2497">
        <v>13</v>
      </c>
      <c r="C2497" t="s">
        <v>51</v>
      </c>
      <c r="D2497">
        <v>62169</v>
      </c>
      <c r="E2497">
        <v>2605</v>
      </c>
      <c r="F2497" t="s">
        <v>38</v>
      </c>
    </row>
    <row r="2498" spans="1:6" x14ac:dyDescent="0.3">
      <c r="A2498" s="20">
        <v>45790</v>
      </c>
      <c r="B2498">
        <v>13</v>
      </c>
      <c r="C2498" t="s">
        <v>251</v>
      </c>
      <c r="D2498">
        <v>1913</v>
      </c>
      <c r="E2498">
        <v>277</v>
      </c>
      <c r="F2498" t="s">
        <v>47</v>
      </c>
    </row>
    <row r="2499" spans="1:6" x14ac:dyDescent="0.3">
      <c r="A2499" s="20">
        <v>45790</v>
      </c>
      <c r="B2499">
        <v>13</v>
      </c>
      <c r="C2499" t="s">
        <v>235</v>
      </c>
      <c r="D2499">
        <v>7273</v>
      </c>
      <c r="E2499">
        <v>790</v>
      </c>
      <c r="F2499" t="s">
        <v>229</v>
      </c>
    </row>
    <row r="2500" spans="1:6" x14ac:dyDescent="0.3">
      <c r="A2500" s="20">
        <v>45790</v>
      </c>
      <c r="B2500">
        <v>14</v>
      </c>
      <c r="C2500" t="s">
        <v>66</v>
      </c>
      <c r="D2500">
        <v>38597</v>
      </c>
      <c r="E2500">
        <v>2829</v>
      </c>
      <c r="F2500" t="s">
        <v>31</v>
      </c>
    </row>
    <row r="2501" spans="1:6" x14ac:dyDescent="0.3">
      <c r="A2501" s="20">
        <v>45790</v>
      </c>
      <c r="B2501">
        <v>14</v>
      </c>
      <c r="C2501" t="s">
        <v>230</v>
      </c>
      <c r="D2501">
        <v>33277</v>
      </c>
      <c r="E2501">
        <v>2506</v>
      </c>
      <c r="F2501" t="s">
        <v>31</v>
      </c>
    </row>
    <row r="2502" spans="1:6" x14ac:dyDescent="0.3">
      <c r="A2502" s="20">
        <v>45790</v>
      </c>
      <c r="B2502">
        <v>14</v>
      </c>
      <c r="C2502" t="s">
        <v>52</v>
      </c>
      <c r="D2502">
        <v>30</v>
      </c>
      <c r="E2502">
        <v>30</v>
      </c>
      <c r="F2502" t="s">
        <v>259</v>
      </c>
    </row>
    <row r="2503" spans="1:6" x14ac:dyDescent="0.3">
      <c r="A2503" s="20">
        <v>45790</v>
      </c>
      <c r="B2503">
        <v>14</v>
      </c>
      <c r="C2503" t="s">
        <v>48</v>
      </c>
      <c r="D2503">
        <v>59135</v>
      </c>
      <c r="E2503">
        <v>3657</v>
      </c>
      <c r="F2503" t="s">
        <v>31</v>
      </c>
    </row>
    <row r="2504" spans="1:6" x14ac:dyDescent="0.3">
      <c r="A2504" s="20">
        <v>45790</v>
      </c>
      <c r="B2504">
        <v>14</v>
      </c>
      <c r="C2504" t="s">
        <v>53</v>
      </c>
      <c r="D2504">
        <v>2307</v>
      </c>
      <c r="E2504">
        <v>59</v>
      </c>
      <c r="F2504" t="s">
        <v>31</v>
      </c>
    </row>
    <row r="2505" spans="1:6" x14ac:dyDescent="0.3">
      <c r="A2505" s="20">
        <v>45790</v>
      </c>
      <c r="B2505">
        <v>14</v>
      </c>
      <c r="C2505" t="s">
        <v>152</v>
      </c>
      <c r="D2505">
        <v>13795</v>
      </c>
      <c r="E2505">
        <v>1602</v>
      </c>
      <c r="F2505" t="s">
        <v>252</v>
      </c>
    </row>
    <row r="2506" spans="1:6" x14ac:dyDescent="0.3">
      <c r="A2506" s="20">
        <v>45790</v>
      </c>
      <c r="B2506">
        <v>14</v>
      </c>
      <c r="C2506" t="s">
        <v>232</v>
      </c>
      <c r="D2506">
        <v>4305</v>
      </c>
      <c r="E2506">
        <v>357</v>
      </c>
      <c r="F2506" t="s">
        <v>39</v>
      </c>
    </row>
    <row r="2507" spans="1:6" x14ac:dyDescent="0.3">
      <c r="A2507" s="20">
        <v>45790</v>
      </c>
      <c r="B2507">
        <v>14</v>
      </c>
      <c r="C2507" t="s">
        <v>265</v>
      </c>
      <c r="D2507">
        <v>331</v>
      </c>
      <c r="E2507">
        <v>22</v>
      </c>
      <c r="F2507" t="s">
        <v>42</v>
      </c>
    </row>
    <row r="2508" spans="1:6" x14ac:dyDescent="0.3">
      <c r="A2508" s="20">
        <v>45790</v>
      </c>
      <c r="B2508">
        <v>14</v>
      </c>
      <c r="C2508" t="s">
        <v>162</v>
      </c>
      <c r="D2508">
        <v>14023</v>
      </c>
      <c r="E2508">
        <v>1442</v>
      </c>
      <c r="F2508" t="s">
        <v>44</v>
      </c>
    </row>
    <row r="2509" spans="1:6" x14ac:dyDescent="0.3">
      <c r="A2509" s="20">
        <v>45790</v>
      </c>
      <c r="B2509">
        <v>14</v>
      </c>
      <c r="C2509" t="s">
        <v>37</v>
      </c>
      <c r="D2509">
        <v>66839</v>
      </c>
      <c r="E2509">
        <v>1808</v>
      </c>
      <c r="F2509" t="s">
        <v>38</v>
      </c>
    </row>
    <row r="2510" spans="1:6" x14ac:dyDescent="0.3">
      <c r="A2510" s="20">
        <v>45790</v>
      </c>
      <c r="B2510">
        <v>14</v>
      </c>
      <c r="C2510" t="s">
        <v>126</v>
      </c>
      <c r="D2510">
        <v>25</v>
      </c>
      <c r="E2510">
        <v>25</v>
      </c>
      <c r="F2510" t="s">
        <v>38</v>
      </c>
    </row>
    <row r="2511" spans="1:6" x14ac:dyDescent="0.3">
      <c r="A2511" s="20">
        <v>45790</v>
      </c>
      <c r="B2511">
        <v>15</v>
      </c>
      <c r="C2511" t="s">
        <v>73</v>
      </c>
      <c r="D2511">
        <v>0</v>
      </c>
      <c r="E2511">
        <v>0</v>
      </c>
      <c r="F2511" t="s">
        <v>39</v>
      </c>
    </row>
    <row r="2512" spans="1:6" x14ac:dyDescent="0.3">
      <c r="A2512" s="20">
        <v>45790</v>
      </c>
      <c r="B2512">
        <v>15</v>
      </c>
      <c r="C2512" t="s">
        <v>73</v>
      </c>
      <c r="D2512">
        <v>0</v>
      </c>
      <c r="E2512">
        <v>0</v>
      </c>
      <c r="F2512" t="s">
        <v>229</v>
      </c>
    </row>
    <row r="2513" spans="1:6" x14ac:dyDescent="0.3">
      <c r="A2513" s="20">
        <v>45790</v>
      </c>
      <c r="B2513">
        <v>15</v>
      </c>
      <c r="C2513" t="s">
        <v>52</v>
      </c>
      <c r="D2513">
        <v>43814</v>
      </c>
      <c r="E2513">
        <v>2136</v>
      </c>
      <c r="F2513" t="s">
        <v>31</v>
      </c>
    </row>
    <row r="2514" spans="1:6" x14ac:dyDescent="0.3">
      <c r="A2514" s="20">
        <v>45790</v>
      </c>
      <c r="B2514">
        <v>15</v>
      </c>
      <c r="C2514" t="s">
        <v>242</v>
      </c>
      <c r="D2514">
        <v>32206</v>
      </c>
      <c r="E2514">
        <v>2967</v>
      </c>
      <c r="F2514" t="s">
        <v>31</v>
      </c>
    </row>
    <row r="2515" spans="1:6" x14ac:dyDescent="0.3">
      <c r="A2515" s="20">
        <v>45790</v>
      </c>
      <c r="B2515">
        <v>15</v>
      </c>
      <c r="C2515" t="s">
        <v>236</v>
      </c>
      <c r="D2515">
        <v>62291</v>
      </c>
      <c r="E2515">
        <v>5802</v>
      </c>
      <c r="F2515" t="s">
        <v>31</v>
      </c>
    </row>
    <row r="2516" spans="1:6" x14ac:dyDescent="0.3">
      <c r="A2516" s="20">
        <v>45790</v>
      </c>
      <c r="B2516">
        <v>15</v>
      </c>
      <c r="C2516" t="s">
        <v>236</v>
      </c>
      <c r="D2516">
        <v>970</v>
      </c>
      <c r="E2516">
        <v>198</v>
      </c>
      <c r="F2516" t="s">
        <v>42</v>
      </c>
    </row>
    <row r="2517" spans="1:6" x14ac:dyDescent="0.3">
      <c r="A2517" s="20">
        <v>45790</v>
      </c>
      <c r="B2517">
        <v>15</v>
      </c>
      <c r="C2517" t="s">
        <v>35</v>
      </c>
      <c r="D2517">
        <v>4588</v>
      </c>
      <c r="E2517">
        <v>271</v>
      </c>
      <c r="F2517" t="s">
        <v>31</v>
      </c>
    </row>
    <row r="2518" spans="1:6" x14ac:dyDescent="0.3">
      <c r="A2518" s="20">
        <v>45790</v>
      </c>
      <c r="B2518">
        <v>15</v>
      </c>
      <c r="C2518" t="s">
        <v>35</v>
      </c>
      <c r="D2518">
        <v>171</v>
      </c>
      <c r="E2518">
        <v>24</v>
      </c>
      <c r="F2518" t="s">
        <v>42</v>
      </c>
    </row>
    <row r="2519" spans="1:6" x14ac:dyDescent="0.3">
      <c r="A2519" s="20">
        <v>45790</v>
      </c>
      <c r="B2519">
        <v>15</v>
      </c>
      <c r="C2519" t="s">
        <v>237</v>
      </c>
      <c r="D2519">
        <v>51894</v>
      </c>
      <c r="E2519">
        <v>5147</v>
      </c>
      <c r="F2519" t="s">
        <v>31</v>
      </c>
    </row>
    <row r="2520" spans="1:6" x14ac:dyDescent="0.3">
      <c r="A2520" s="20">
        <v>45790</v>
      </c>
      <c r="B2520">
        <v>15</v>
      </c>
      <c r="C2520" t="s">
        <v>50</v>
      </c>
      <c r="D2520">
        <v>301</v>
      </c>
      <c r="E2520">
        <v>58</v>
      </c>
      <c r="F2520" t="s">
        <v>31</v>
      </c>
    </row>
    <row r="2521" spans="1:6" x14ac:dyDescent="0.3">
      <c r="A2521" s="20">
        <v>45790</v>
      </c>
      <c r="B2521">
        <v>15</v>
      </c>
      <c r="C2521" t="s">
        <v>152</v>
      </c>
      <c r="D2521">
        <v>6</v>
      </c>
      <c r="E2521">
        <v>4</v>
      </c>
    </row>
    <row r="2522" spans="1:6" x14ac:dyDescent="0.3">
      <c r="A2522" s="20">
        <v>45790</v>
      </c>
      <c r="B2522">
        <v>15</v>
      </c>
      <c r="C2522" t="s">
        <v>71</v>
      </c>
      <c r="D2522">
        <v>6339</v>
      </c>
      <c r="E2522">
        <v>635</v>
      </c>
      <c r="F2522" t="s">
        <v>229</v>
      </c>
    </row>
    <row r="2523" spans="1:6" x14ac:dyDescent="0.3">
      <c r="A2523" s="20">
        <v>45790</v>
      </c>
      <c r="B2523">
        <v>15</v>
      </c>
      <c r="C2523" t="s">
        <v>232</v>
      </c>
      <c r="D2523">
        <v>5991</v>
      </c>
      <c r="E2523">
        <v>320</v>
      </c>
      <c r="F2523" t="s">
        <v>74</v>
      </c>
    </row>
    <row r="2524" spans="1:6" x14ac:dyDescent="0.3">
      <c r="A2524" s="20">
        <v>45790</v>
      </c>
      <c r="B2524">
        <v>15</v>
      </c>
      <c r="C2524" t="s">
        <v>232</v>
      </c>
      <c r="D2524">
        <v>19483</v>
      </c>
      <c r="E2524">
        <v>2530</v>
      </c>
      <c r="F2524" t="s">
        <v>229</v>
      </c>
    </row>
    <row r="2525" spans="1:6" x14ac:dyDescent="0.3">
      <c r="A2525" s="20">
        <v>45790</v>
      </c>
      <c r="B2525">
        <v>15</v>
      </c>
      <c r="C2525" t="s">
        <v>250</v>
      </c>
      <c r="D2525">
        <v>6104</v>
      </c>
      <c r="E2525">
        <v>844</v>
      </c>
      <c r="F2525" t="s">
        <v>164</v>
      </c>
    </row>
    <row r="2526" spans="1:6" x14ac:dyDescent="0.3">
      <c r="A2526" s="20">
        <v>45790</v>
      </c>
      <c r="B2526">
        <v>15</v>
      </c>
      <c r="C2526" t="s">
        <v>160</v>
      </c>
      <c r="D2526">
        <v>129</v>
      </c>
      <c r="E2526">
        <v>11</v>
      </c>
      <c r="F2526" t="s">
        <v>44</v>
      </c>
    </row>
    <row r="2527" spans="1:6" x14ac:dyDescent="0.3">
      <c r="A2527" s="20">
        <v>45790</v>
      </c>
      <c r="B2527">
        <v>15</v>
      </c>
      <c r="C2527" t="s">
        <v>160</v>
      </c>
      <c r="D2527">
        <v>160</v>
      </c>
      <c r="E2527">
        <v>31</v>
      </c>
      <c r="F2527" t="s">
        <v>32</v>
      </c>
    </row>
    <row r="2528" spans="1:6" x14ac:dyDescent="0.3">
      <c r="A2528" s="20">
        <v>45790</v>
      </c>
      <c r="B2528">
        <v>15</v>
      </c>
      <c r="C2528" t="s">
        <v>160</v>
      </c>
      <c r="D2528">
        <v>13203</v>
      </c>
      <c r="E2528">
        <v>1412</v>
      </c>
      <c r="F2528" t="s">
        <v>234</v>
      </c>
    </row>
    <row r="2529" spans="1:6" x14ac:dyDescent="0.3">
      <c r="A2529" s="20">
        <v>45790</v>
      </c>
      <c r="B2529">
        <v>15</v>
      </c>
      <c r="C2529" t="s">
        <v>160</v>
      </c>
      <c r="D2529">
        <v>321</v>
      </c>
      <c r="E2529">
        <v>76</v>
      </c>
      <c r="F2529" t="s">
        <v>45</v>
      </c>
    </row>
    <row r="2530" spans="1:6" x14ac:dyDescent="0.3">
      <c r="A2530" s="20">
        <v>45790</v>
      </c>
      <c r="B2530">
        <v>15</v>
      </c>
      <c r="C2530" t="s">
        <v>125</v>
      </c>
      <c r="D2530">
        <v>103967</v>
      </c>
      <c r="E2530">
        <v>6611</v>
      </c>
      <c r="F2530" t="s">
        <v>38</v>
      </c>
    </row>
    <row r="2531" spans="1:6" x14ac:dyDescent="0.3">
      <c r="A2531" s="20">
        <v>45790</v>
      </c>
      <c r="B2531">
        <v>16</v>
      </c>
      <c r="C2531" t="s">
        <v>73</v>
      </c>
      <c r="D2531">
        <v>0</v>
      </c>
      <c r="E2531">
        <v>0</v>
      </c>
      <c r="F2531" t="s">
        <v>74</v>
      </c>
    </row>
    <row r="2532" spans="1:6" x14ac:dyDescent="0.3">
      <c r="A2532" s="20">
        <v>45790</v>
      </c>
      <c r="B2532">
        <v>16</v>
      </c>
      <c r="C2532" t="s">
        <v>73</v>
      </c>
      <c r="D2532">
        <v>0</v>
      </c>
      <c r="E2532">
        <v>0</v>
      </c>
      <c r="F2532" t="s">
        <v>86</v>
      </c>
    </row>
    <row r="2533" spans="1:6" x14ac:dyDescent="0.3">
      <c r="A2533" s="20">
        <v>45790</v>
      </c>
      <c r="B2533">
        <v>16</v>
      </c>
      <c r="C2533" t="s">
        <v>73</v>
      </c>
      <c r="D2533">
        <v>0</v>
      </c>
      <c r="E2533">
        <v>0</v>
      </c>
      <c r="F2533" t="s">
        <v>38</v>
      </c>
    </row>
    <row r="2534" spans="1:6" x14ac:dyDescent="0.3">
      <c r="A2534" s="20">
        <v>45790</v>
      </c>
      <c r="B2534">
        <v>16</v>
      </c>
      <c r="C2534" t="s">
        <v>73</v>
      </c>
      <c r="D2534">
        <v>0</v>
      </c>
      <c r="E2534">
        <v>0</v>
      </c>
      <c r="F2534" t="s">
        <v>43</v>
      </c>
    </row>
    <row r="2535" spans="1:6" x14ac:dyDescent="0.3">
      <c r="A2535" s="20">
        <v>45790</v>
      </c>
      <c r="B2535">
        <v>16</v>
      </c>
      <c r="C2535" t="s">
        <v>153</v>
      </c>
      <c r="D2535">
        <v>6973</v>
      </c>
      <c r="E2535">
        <v>214</v>
      </c>
      <c r="F2535" t="s">
        <v>248</v>
      </c>
    </row>
    <row r="2536" spans="1:6" x14ac:dyDescent="0.3">
      <c r="A2536" s="20">
        <v>45790</v>
      </c>
      <c r="B2536">
        <v>16</v>
      </c>
      <c r="C2536" t="s">
        <v>228</v>
      </c>
      <c r="D2536">
        <v>20552</v>
      </c>
      <c r="E2536">
        <v>2774</v>
      </c>
      <c r="F2536" t="s">
        <v>231</v>
      </c>
    </row>
    <row r="2537" spans="1:6" x14ac:dyDescent="0.3">
      <c r="A2537" s="20">
        <v>45790</v>
      </c>
      <c r="B2537">
        <v>16</v>
      </c>
      <c r="C2537" t="s">
        <v>159</v>
      </c>
      <c r="D2537">
        <v>26035</v>
      </c>
      <c r="E2537">
        <v>806</v>
      </c>
      <c r="F2537" t="s">
        <v>31</v>
      </c>
    </row>
    <row r="2538" spans="1:6" x14ac:dyDescent="0.3">
      <c r="A2538" s="20">
        <v>45790</v>
      </c>
      <c r="B2538">
        <v>16</v>
      </c>
      <c r="C2538" t="s">
        <v>157</v>
      </c>
      <c r="D2538">
        <v>13695</v>
      </c>
      <c r="E2538">
        <v>3593</v>
      </c>
      <c r="F2538" t="s">
        <v>31</v>
      </c>
    </row>
    <row r="2539" spans="1:6" x14ac:dyDescent="0.3">
      <c r="A2539" s="20">
        <v>45790</v>
      </c>
      <c r="B2539">
        <v>16</v>
      </c>
      <c r="C2539" t="s">
        <v>48</v>
      </c>
      <c r="D2539">
        <v>0</v>
      </c>
      <c r="E2539">
        <v>0</v>
      </c>
      <c r="F2539" t="s">
        <v>259</v>
      </c>
    </row>
    <row r="2540" spans="1:6" x14ac:dyDescent="0.3">
      <c r="A2540" s="20">
        <v>45790</v>
      </c>
      <c r="B2540">
        <v>16</v>
      </c>
      <c r="C2540" t="s">
        <v>139</v>
      </c>
      <c r="D2540">
        <v>32430</v>
      </c>
      <c r="E2540">
        <v>873</v>
      </c>
      <c r="F2540" t="s">
        <v>46</v>
      </c>
    </row>
    <row r="2541" spans="1:6" x14ac:dyDescent="0.3">
      <c r="A2541" s="20">
        <v>45790</v>
      </c>
      <c r="B2541">
        <v>16</v>
      </c>
      <c r="C2541" t="s">
        <v>155</v>
      </c>
      <c r="D2541">
        <v>248</v>
      </c>
      <c r="E2541">
        <v>81</v>
      </c>
      <c r="F2541" t="s">
        <v>229</v>
      </c>
    </row>
    <row r="2542" spans="1:6" x14ac:dyDescent="0.3">
      <c r="A2542" s="20">
        <v>45790</v>
      </c>
      <c r="B2542">
        <v>16</v>
      </c>
      <c r="C2542" t="s">
        <v>250</v>
      </c>
      <c r="D2542">
        <v>410</v>
      </c>
      <c r="E2542">
        <v>32</v>
      </c>
      <c r="F2542" t="s">
        <v>86</v>
      </c>
    </row>
    <row r="2543" spans="1:6" x14ac:dyDescent="0.3">
      <c r="A2543" s="20">
        <v>45790</v>
      </c>
      <c r="B2543">
        <v>16</v>
      </c>
      <c r="C2543" t="s">
        <v>160</v>
      </c>
      <c r="D2543">
        <v>1882</v>
      </c>
      <c r="E2543">
        <v>513</v>
      </c>
      <c r="F2543" t="s">
        <v>72</v>
      </c>
    </row>
    <row r="2544" spans="1:6" x14ac:dyDescent="0.3">
      <c r="A2544" s="20">
        <v>45790</v>
      </c>
      <c r="B2544">
        <v>16</v>
      </c>
      <c r="C2544" t="s">
        <v>162</v>
      </c>
      <c r="D2544">
        <v>16</v>
      </c>
      <c r="E2544">
        <v>4</v>
      </c>
      <c r="F2544" t="s">
        <v>72</v>
      </c>
    </row>
    <row r="2545" spans="1:6" x14ac:dyDescent="0.3">
      <c r="A2545" s="20">
        <v>45790</v>
      </c>
      <c r="B2545">
        <v>16</v>
      </c>
      <c r="C2545" t="s">
        <v>51</v>
      </c>
      <c r="D2545">
        <v>36649</v>
      </c>
      <c r="E2545">
        <v>1187</v>
      </c>
      <c r="F2545" t="s">
        <v>38</v>
      </c>
    </row>
    <row r="2546" spans="1:6" x14ac:dyDescent="0.3">
      <c r="A2546" s="20">
        <v>45790</v>
      </c>
      <c r="B2546">
        <v>16</v>
      </c>
      <c r="C2546" t="s">
        <v>240</v>
      </c>
      <c r="D2546">
        <v>20948</v>
      </c>
      <c r="E2546">
        <v>1056</v>
      </c>
      <c r="F2546" t="s">
        <v>38</v>
      </c>
    </row>
    <row r="2547" spans="1:6" x14ac:dyDescent="0.3">
      <c r="A2547" s="20">
        <v>45790</v>
      </c>
      <c r="B2547">
        <v>16</v>
      </c>
      <c r="C2547" t="s">
        <v>40</v>
      </c>
      <c r="D2547">
        <v>354</v>
      </c>
      <c r="E2547">
        <v>26</v>
      </c>
    </row>
    <row r="2548" spans="1:6" x14ac:dyDescent="0.3">
      <c r="A2548" s="20">
        <v>45790</v>
      </c>
      <c r="B2548">
        <v>16</v>
      </c>
      <c r="C2548" t="s">
        <v>81</v>
      </c>
      <c r="D2548">
        <v>80052</v>
      </c>
      <c r="E2548">
        <v>5079</v>
      </c>
      <c r="F2548" t="s">
        <v>38</v>
      </c>
    </row>
    <row r="2549" spans="1:6" x14ac:dyDescent="0.3">
      <c r="A2549" s="20">
        <v>45790</v>
      </c>
      <c r="B2549">
        <v>16</v>
      </c>
      <c r="C2549" t="s">
        <v>251</v>
      </c>
      <c r="D2549">
        <v>2671</v>
      </c>
      <c r="E2549">
        <v>347</v>
      </c>
      <c r="F2549" t="s">
        <v>47</v>
      </c>
    </row>
    <row r="2550" spans="1:6" x14ac:dyDescent="0.3">
      <c r="A2550" s="20">
        <v>45790</v>
      </c>
      <c r="B2550">
        <v>16</v>
      </c>
      <c r="C2550" t="s">
        <v>235</v>
      </c>
      <c r="D2550">
        <v>8565</v>
      </c>
      <c r="E2550">
        <v>617</v>
      </c>
      <c r="F2550" t="s">
        <v>39</v>
      </c>
    </row>
    <row r="2551" spans="1:6" x14ac:dyDescent="0.3">
      <c r="A2551" s="20">
        <v>45790</v>
      </c>
      <c r="B2551">
        <v>16</v>
      </c>
      <c r="C2551" t="s">
        <v>235</v>
      </c>
      <c r="D2551">
        <v>8173</v>
      </c>
      <c r="E2551">
        <v>841</v>
      </c>
      <c r="F2551" t="s">
        <v>229</v>
      </c>
    </row>
    <row r="2552" spans="1:6" x14ac:dyDescent="0.3">
      <c r="A2552" s="20">
        <v>45790</v>
      </c>
      <c r="B2552">
        <v>17</v>
      </c>
      <c r="C2552" t="s">
        <v>66</v>
      </c>
      <c r="D2552">
        <v>17507</v>
      </c>
      <c r="E2552">
        <v>1057</v>
      </c>
      <c r="F2552" t="s">
        <v>31</v>
      </c>
    </row>
    <row r="2553" spans="1:6" x14ac:dyDescent="0.3">
      <c r="A2553" s="20">
        <v>45790</v>
      </c>
      <c r="B2553">
        <v>17</v>
      </c>
      <c r="C2553" t="s">
        <v>52</v>
      </c>
      <c r="D2553">
        <v>39</v>
      </c>
      <c r="E2553">
        <v>39</v>
      </c>
      <c r="F2553" t="s">
        <v>259</v>
      </c>
    </row>
    <row r="2554" spans="1:6" x14ac:dyDescent="0.3">
      <c r="A2554" s="20">
        <v>45790</v>
      </c>
      <c r="B2554">
        <v>17</v>
      </c>
      <c r="C2554" t="s">
        <v>152</v>
      </c>
      <c r="D2554">
        <v>7210</v>
      </c>
      <c r="E2554">
        <v>1019</v>
      </c>
      <c r="F2554" t="s">
        <v>252</v>
      </c>
    </row>
    <row r="2555" spans="1:6" x14ac:dyDescent="0.3">
      <c r="A2555" s="20">
        <v>45790</v>
      </c>
      <c r="B2555">
        <v>17</v>
      </c>
      <c r="C2555" t="s">
        <v>232</v>
      </c>
      <c r="D2555">
        <v>2158</v>
      </c>
      <c r="E2555">
        <v>140</v>
      </c>
      <c r="F2555" t="s">
        <v>39</v>
      </c>
    </row>
    <row r="2556" spans="1:6" x14ac:dyDescent="0.3">
      <c r="A2556" s="20">
        <v>45790</v>
      </c>
      <c r="B2556">
        <v>17</v>
      </c>
      <c r="C2556" t="s">
        <v>238</v>
      </c>
      <c r="D2556">
        <v>3333</v>
      </c>
      <c r="E2556">
        <v>171</v>
      </c>
      <c r="F2556" t="s">
        <v>44</v>
      </c>
    </row>
    <row r="2557" spans="1:6" x14ac:dyDescent="0.3">
      <c r="A2557" s="20">
        <v>45790</v>
      </c>
      <c r="B2557">
        <v>17</v>
      </c>
      <c r="C2557" t="s">
        <v>250</v>
      </c>
      <c r="D2557">
        <v>11978</v>
      </c>
      <c r="E2557">
        <v>2600</v>
      </c>
      <c r="F2557" t="s">
        <v>252</v>
      </c>
    </row>
    <row r="2558" spans="1:6" x14ac:dyDescent="0.3">
      <c r="A2558" s="20">
        <v>45790</v>
      </c>
      <c r="B2558">
        <v>17</v>
      </c>
      <c r="C2558" t="s">
        <v>162</v>
      </c>
      <c r="D2558">
        <v>10148</v>
      </c>
      <c r="E2558">
        <v>857</v>
      </c>
      <c r="F2558" t="s">
        <v>44</v>
      </c>
    </row>
    <row r="2559" spans="1:6" x14ac:dyDescent="0.3">
      <c r="A2559" s="20">
        <v>45790</v>
      </c>
      <c r="B2559">
        <v>17</v>
      </c>
      <c r="C2559" t="s">
        <v>37</v>
      </c>
      <c r="D2559">
        <v>39336</v>
      </c>
      <c r="E2559">
        <v>1035</v>
      </c>
      <c r="F2559" t="s">
        <v>38</v>
      </c>
    </row>
    <row r="2560" spans="1:6" x14ac:dyDescent="0.3">
      <c r="A2560" s="20">
        <v>45790</v>
      </c>
      <c r="B2560">
        <v>17</v>
      </c>
      <c r="C2560" t="s">
        <v>126</v>
      </c>
      <c r="D2560">
        <v>12</v>
      </c>
      <c r="E2560">
        <v>12</v>
      </c>
      <c r="F2560" t="s">
        <v>38</v>
      </c>
    </row>
    <row r="2561" spans="1:6" x14ac:dyDescent="0.3">
      <c r="A2561" s="20">
        <v>45790</v>
      </c>
      <c r="B2561">
        <v>18</v>
      </c>
      <c r="C2561" t="s">
        <v>73</v>
      </c>
      <c r="D2561">
        <v>0</v>
      </c>
      <c r="E2561">
        <v>0</v>
      </c>
      <c r="F2561" t="s">
        <v>39</v>
      </c>
    </row>
    <row r="2562" spans="1:6" x14ac:dyDescent="0.3">
      <c r="A2562" s="20">
        <v>45790</v>
      </c>
      <c r="B2562">
        <v>18</v>
      </c>
      <c r="C2562" t="s">
        <v>73</v>
      </c>
      <c r="D2562">
        <v>0</v>
      </c>
      <c r="E2562">
        <v>0</v>
      </c>
      <c r="F2562" t="s">
        <v>229</v>
      </c>
    </row>
    <row r="2563" spans="1:6" x14ac:dyDescent="0.3">
      <c r="A2563" s="20">
        <v>45790</v>
      </c>
      <c r="B2563">
        <v>18</v>
      </c>
      <c r="C2563" t="s">
        <v>52</v>
      </c>
      <c r="D2563">
        <v>56196</v>
      </c>
      <c r="E2563">
        <v>2004</v>
      </c>
      <c r="F2563" t="s">
        <v>31</v>
      </c>
    </row>
    <row r="2564" spans="1:6" x14ac:dyDescent="0.3">
      <c r="A2564" s="20">
        <v>45790</v>
      </c>
      <c r="B2564">
        <v>18</v>
      </c>
      <c r="C2564" t="s">
        <v>236</v>
      </c>
      <c r="D2564">
        <v>57334</v>
      </c>
      <c r="E2564">
        <v>4762</v>
      </c>
      <c r="F2564" t="s">
        <v>31</v>
      </c>
    </row>
    <row r="2565" spans="1:6" x14ac:dyDescent="0.3">
      <c r="A2565" s="20">
        <v>45790</v>
      </c>
      <c r="B2565">
        <v>18</v>
      </c>
      <c r="C2565" t="s">
        <v>35</v>
      </c>
      <c r="D2565">
        <v>2135</v>
      </c>
      <c r="E2565">
        <v>63</v>
      </c>
      <c r="F2565" t="s">
        <v>31</v>
      </c>
    </row>
    <row r="2566" spans="1:6" x14ac:dyDescent="0.3">
      <c r="A2566" s="20">
        <v>45790</v>
      </c>
      <c r="B2566">
        <v>18</v>
      </c>
      <c r="C2566" t="s">
        <v>54</v>
      </c>
      <c r="D2566">
        <v>137</v>
      </c>
      <c r="E2566">
        <v>16</v>
      </c>
      <c r="F2566" t="s">
        <v>31</v>
      </c>
    </row>
    <row r="2567" spans="1:6" x14ac:dyDescent="0.3">
      <c r="A2567" s="20">
        <v>45790</v>
      </c>
      <c r="B2567">
        <v>18</v>
      </c>
      <c r="C2567" t="s">
        <v>237</v>
      </c>
      <c r="D2567">
        <v>29652</v>
      </c>
      <c r="E2567">
        <v>2609</v>
      </c>
      <c r="F2567" t="s">
        <v>31</v>
      </c>
    </row>
    <row r="2568" spans="1:6" x14ac:dyDescent="0.3">
      <c r="A2568" s="20">
        <v>45790</v>
      </c>
      <c r="B2568">
        <v>18</v>
      </c>
      <c r="C2568" t="s">
        <v>160</v>
      </c>
      <c r="D2568">
        <v>250</v>
      </c>
      <c r="E2568">
        <v>19</v>
      </c>
      <c r="F2568" t="s">
        <v>44</v>
      </c>
    </row>
    <row r="2569" spans="1:6" x14ac:dyDescent="0.3">
      <c r="A2569" s="20">
        <v>45790</v>
      </c>
      <c r="B2569">
        <v>18</v>
      </c>
      <c r="C2569" t="s">
        <v>160</v>
      </c>
      <c r="D2569">
        <v>127</v>
      </c>
      <c r="E2569">
        <v>23</v>
      </c>
      <c r="F2569" t="s">
        <v>32</v>
      </c>
    </row>
    <row r="2570" spans="1:6" x14ac:dyDescent="0.3">
      <c r="A2570" s="20">
        <v>45790</v>
      </c>
      <c r="B2570">
        <v>18</v>
      </c>
      <c r="C2570" t="s">
        <v>160</v>
      </c>
      <c r="D2570">
        <v>3878</v>
      </c>
      <c r="E2570">
        <v>511</v>
      </c>
      <c r="F2570" t="s">
        <v>229</v>
      </c>
    </row>
    <row r="2571" spans="1:6" x14ac:dyDescent="0.3">
      <c r="A2571" s="20">
        <v>45790</v>
      </c>
      <c r="B2571">
        <v>18</v>
      </c>
      <c r="C2571" t="s">
        <v>160</v>
      </c>
      <c r="D2571">
        <v>49</v>
      </c>
      <c r="E2571">
        <v>17</v>
      </c>
      <c r="F2571" t="s">
        <v>234</v>
      </c>
    </row>
    <row r="2572" spans="1:6" x14ac:dyDescent="0.3">
      <c r="A2572" s="20">
        <v>45790</v>
      </c>
      <c r="B2572">
        <v>18</v>
      </c>
      <c r="C2572" t="s">
        <v>160</v>
      </c>
      <c r="D2572">
        <v>253</v>
      </c>
      <c r="E2572">
        <v>51</v>
      </c>
      <c r="F2572" t="s">
        <v>45</v>
      </c>
    </row>
    <row r="2573" spans="1:6" x14ac:dyDescent="0.3">
      <c r="A2573" s="20">
        <v>45790</v>
      </c>
      <c r="B2573">
        <v>18</v>
      </c>
      <c r="C2573" t="s">
        <v>125</v>
      </c>
      <c r="D2573">
        <v>102061</v>
      </c>
      <c r="E2573">
        <v>5505</v>
      </c>
      <c r="F2573" t="s">
        <v>38</v>
      </c>
    </row>
    <row r="2574" spans="1:6" x14ac:dyDescent="0.3">
      <c r="A2574" s="20">
        <v>45790</v>
      </c>
      <c r="B2574">
        <v>19</v>
      </c>
      <c r="C2574" t="s">
        <v>73</v>
      </c>
      <c r="D2574">
        <v>7</v>
      </c>
      <c r="E2574">
        <v>7</v>
      </c>
      <c r="F2574" t="s">
        <v>31</v>
      </c>
    </row>
    <row r="2575" spans="1:6" x14ac:dyDescent="0.3">
      <c r="A2575" s="20">
        <v>45790</v>
      </c>
      <c r="B2575">
        <v>19</v>
      </c>
      <c r="C2575" t="s">
        <v>73</v>
      </c>
      <c r="D2575">
        <v>0</v>
      </c>
      <c r="E2575">
        <v>0</v>
      </c>
      <c r="F2575" t="s">
        <v>74</v>
      </c>
    </row>
    <row r="2576" spans="1:6" x14ac:dyDescent="0.3">
      <c r="A2576" s="20">
        <v>45790</v>
      </c>
      <c r="B2576">
        <v>19</v>
      </c>
      <c r="C2576" t="s">
        <v>73</v>
      </c>
      <c r="D2576">
        <v>0</v>
      </c>
      <c r="E2576">
        <v>0</v>
      </c>
      <c r="F2576" t="s">
        <v>38</v>
      </c>
    </row>
    <row r="2577" spans="1:6" x14ac:dyDescent="0.3">
      <c r="A2577" s="20">
        <v>45790</v>
      </c>
      <c r="B2577">
        <v>19</v>
      </c>
      <c r="C2577" t="s">
        <v>153</v>
      </c>
      <c r="D2577">
        <v>4</v>
      </c>
      <c r="E2577">
        <v>3</v>
      </c>
      <c r="F2577" t="s">
        <v>248</v>
      </c>
    </row>
    <row r="2578" spans="1:6" x14ac:dyDescent="0.3">
      <c r="A2578" s="20">
        <v>45790</v>
      </c>
      <c r="B2578">
        <v>19</v>
      </c>
      <c r="C2578" t="s">
        <v>156</v>
      </c>
      <c r="D2578">
        <v>6315</v>
      </c>
      <c r="E2578">
        <v>1294</v>
      </c>
      <c r="F2578" t="s">
        <v>45</v>
      </c>
    </row>
    <row r="2579" spans="1:6" x14ac:dyDescent="0.3">
      <c r="A2579" s="20">
        <v>45790</v>
      </c>
      <c r="B2579">
        <v>19</v>
      </c>
      <c r="C2579" t="s">
        <v>228</v>
      </c>
      <c r="D2579">
        <v>10458</v>
      </c>
      <c r="E2579">
        <v>1667</v>
      </c>
      <c r="F2579" t="s">
        <v>231</v>
      </c>
    </row>
    <row r="2580" spans="1:6" x14ac:dyDescent="0.3">
      <c r="A2580" s="20">
        <v>45790</v>
      </c>
      <c r="B2580">
        <v>19</v>
      </c>
      <c r="C2580" t="s">
        <v>159</v>
      </c>
      <c r="D2580">
        <v>20081</v>
      </c>
      <c r="E2580">
        <v>418</v>
      </c>
      <c r="F2580" t="s">
        <v>31</v>
      </c>
    </row>
    <row r="2581" spans="1:6" x14ac:dyDescent="0.3">
      <c r="A2581" s="20">
        <v>45790</v>
      </c>
      <c r="B2581">
        <v>19</v>
      </c>
      <c r="C2581" t="s">
        <v>249</v>
      </c>
      <c r="D2581">
        <v>7550</v>
      </c>
      <c r="E2581">
        <v>189</v>
      </c>
      <c r="F2581" t="s">
        <v>31</v>
      </c>
    </row>
    <row r="2582" spans="1:6" x14ac:dyDescent="0.3">
      <c r="A2582" s="20">
        <v>45790</v>
      </c>
      <c r="B2582">
        <v>19</v>
      </c>
      <c r="C2582" t="s">
        <v>157</v>
      </c>
      <c r="D2582">
        <v>7068</v>
      </c>
      <c r="E2582">
        <v>1972</v>
      </c>
      <c r="F2582" t="s">
        <v>31</v>
      </c>
    </row>
    <row r="2583" spans="1:6" x14ac:dyDescent="0.3">
      <c r="A2583" s="20">
        <v>45790</v>
      </c>
      <c r="B2583">
        <v>19</v>
      </c>
      <c r="C2583" t="s">
        <v>152</v>
      </c>
      <c r="D2583">
        <v>270</v>
      </c>
      <c r="E2583">
        <v>40</v>
      </c>
      <c r="F2583" t="s">
        <v>138</v>
      </c>
    </row>
    <row r="2584" spans="1:6" x14ac:dyDescent="0.3">
      <c r="A2584" s="20">
        <v>45790</v>
      </c>
      <c r="B2584">
        <v>19</v>
      </c>
      <c r="C2584" t="s">
        <v>250</v>
      </c>
      <c r="D2584">
        <v>51</v>
      </c>
      <c r="E2584">
        <v>3</v>
      </c>
      <c r="F2584" t="s">
        <v>74</v>
      </c>
    </row>
    <row r="2585" spans="1:6" x14ac:dyDescent="0.3">
      <c r="A2585" s="20">
        <v>45790</v>
      </c>
      <c r="B2585">
        <v>19</v>
      </c>
      <c r="C2585" t="s">
        <v>160</v>
      </c>
      <c r="D2585">
        <v>7908</v>
      </c>
      <c r="E2585">
        <v>1686</v>
      </c>
      <c r="F2585" t="s">
        <v>43</v>
      </c>
    </row>
    <row r="2586" spans="1:6" x14ac:dyDescent="0.3">
      <c r="A2586" s="20">
        <v>45790</v>
      </c>
      <c r="B2586">
        <v>19</v>
      </c>
      <c r="C2586" t="s">
        <v>51</v>
      </c>
      <c r="D2586">
        <v>27308</v>
      </c>
      <c r="E2586">
        <v>753</v>
      </c>
      <c r="F2586" t="s">
        <v>38</v>
      </c>
    </row>
    <row r="2587" spans="1:6" x14ac:dyDescent="0.3">
      <c r="A2587" s="20">
        <v>45790</v>
      </c>
      <c r="B2587">
        <v>19</v>
      </c>
      <c r="C2587" t="s">
        <v>40</v>
      </c>
      <c r="D2587">
        <v>4442</v>
      </c>
      <c r="E2587">
        <v>279</v>
      </c>
    </row>
    <row r="2588" spans="1:6" x14ac:dyDescent="0.3">
      <c r="A2588" s="20">
        <v>45790</v>
      </c>
      <c r="B2588">
        <v>19</v>
      </c>
      <c r="C2588" t="s">
        <v>81</v>
      </c>
      <c r="D2588">
        <v>80441</v>
      </c>
      <c r="E2588">
        <v>4168</v>
      </c>
      <c r="F2588" t="s">
        <v>38</v>
      </c>
    </row>
    <row r="2589" spans="1:6" x14ac:dyDescent="0.3">
      <c r="A2589" s="20">
        <v>45790</v>
      </c>
      <c r="B2589">
        <v>19</v>
      </c>
      <c r="C2589" t="s">
        <v>251</v>
      </c>
      <c r="D2589">
        <v>101</v>
      </c>
      <c r="E2589">
        <v>10</v>
      </c>
      <c r="F2589" t="s">
        <v>47</v>
      </c>
    </row>
    <row r="2590" spans="1:6" x14ac:dyDescent="0.3">
      <c r="A2590" s="20">
        <v>45790</v>
      </c>
      <c r="B2590">
        <v>19</v>
      </c>
      <c r="C2590" t="s">
        <v>235</v>
      </c>
      <c r="D2590">
        <v>5378</v>
      </c>
      <c r="E2590">
        <v>413</v>
      </c>
      <c r="F2590" t="s">
        <v>39</v>
      </c>
    </row>
    <row r="2591" spans="1:6" x14ac:dyDescent="0.3">
      <c r="A2591" s="20">
        <v>45790</v>
      </c>
      <c r="B2591">
        <v>20</v>
      </c>
      <c r="C2591" t="s">
        <v>52</v>
      </c>
      <c r="D2591">
        <v>18</v>
      </c>
      <c r="E2591">
        <v>18</v>
      </c>
      <c r="F2591" t="s">
        <v>259</v>
      </c>
    </row>
    <row r="2592" spans="1:6" x14ac:dyDescent="0.3">
      <c r="A2592" s="20">
        <v>45790</v>
      </c>
      <c r="B2592">
        <v>20</v>
      </c>
      <c r="C2592" t="s">
        <v>152</v>
      </c>
      <c r="D2592">
        <v>524</v>
      </c>
      <c r="E2592">
        <v>82</v>
      </c>
      <c r="F2592" t="s">
        <v>252</v>
      </c>
    </row>
    <row r="2593" spans="1:6" x14ac:dyDescent="0.3">
      <c r="A2593" s="20">
        <v>45790</v>
      </c>
      <c r="B2593">
        <v>20</v>
      </c>
      <c r="C2593" t="s">
        <v>232</v>
      </c>
      <c r="D2593">
        <v>108</v>
      </c>
      <c r="E2593">
        <v>3</v>
      </c>
      <c r="F2593" t="s">
        <v>68</v>
      </c>
    </row>
    <row r="2594" spans="1:6" x14ac:dyDescent="0.3">
      <c r="A2594" s="20">
        <v>45790</v>
      </c>
      <c r="B2594">
        <v>20</v>
      </c>
      <c r="C2594" t="s">
        <v>238</v>
      </c>
      <c r="D2594">
        <v>1</v>
      </c>
      <c r="E2594">
        <v>0</v>
      </c>
      <c r="F2594" t="s">
        <v>44</v>
      </c>
    </row>
    <row r="2595" spans="1:6" x14ac:dyDescent="0.3">
      <c r="A2595" s="20">
        <v>45790</v>
      </c>
      <c r="B2595">
        <v>20</v>
      </c>
      <c r="C2595" t="s">
        <v>238</v>
      </c>
      <c r="D2595">
        <v>2120</v>
      </c>
      <c r="E2595">
        <v>111</v>
      </c>
      <c r="F2595" t="s">
        <v>32</v>
      </c>
    </row>
    <row r="2596" spans="1:6" x14ac:dyDescent="0.3">
      <c r="A2596" s="20">
        <v>45790</v>
      </c>
      <c r="B2596">
        <v>20</v>
      </c>
      <c r="C2596" t="s">
        <v>250</v>
      </c>
      <c r="D2596">
        <v>7429</v>
      </c>
      <c r="E2596">
        <v>1736</v>
      </c>
      <c r="F2596" t="s">
        <v>252</v>
      </c>
    </row>
    <row r="2597" spans="1:6" x14ac:dyDescent="0.3">
      <c r="A2597" s="20">
        <v>45790</v>
      </c>
      <c r="B2597">
        <v>20</v>
      </c>
      <c r="C2597" t="s">
        <v>37</v>
      </c>
      <c r="D2597">
        <v>23750</v>
      </c>
      <c r="E2597">
        <v>618</v>
      </c>
      <c r="F2597" t="s">
        <v>38</v>
      </c>
    </row>
    <row r="2598" spans="1:6" x14ac:dyDescent="0.3">
      <c r="A2598" s="20">
        <v>45790</v>
      </c>
      <c r="B2598">
        <v>20</v>
      </c>
      <c r="C2598" t="s">
        <v>126</v>
      </c>
      <c r="D2598">
        <v>5</v>
      </c>
      <c r="E2598">
        <v>5</v>
      </c>
      <c r="F2598" t="s">
        <v>38</v>
      </c>
    </row>
    <row r="2599" spans="1:6" x14ac:dyDescent="0.3">
      <c r="A2599" s="20">
        <v>45790</v>
      </c>
      <c r="B2599">
        <v>21</v>
      </c>
      <c r="C2599" t="s">
        <v>52</v>
      </c>
      <c r="D2599">
        <v>8</v>
      </c>
      <c r="E2599">
        <v>0</v>
      </c>
      <c r="F2599" t="s">
        <v>31</v>
      </c>
    </row>
    <row r="2600" spans="1:6" x14ac:dyDescent="0.3">
      <c r="A2600" s="20">
        <v>45790</v>
      </c>
      <c r="B2600">
        <v>21</v>
      </c>
      <c r="C2600" t="s">
        <v>162</v>
      </c>
      <c r="D2600">
        <v>0</v>
      </c>
      <c r="E2600">
        <v>0</v>
      </c>
      <c r="F2600" t="s">
        <v>47</v>
      </c>
    </row>
    <row r="2601" spans="1:6" x14ac:dyDescent="0.3">
      <c r="A2601" s="20">
        <v>45790</v>
      </c>
      <c r="B2601">
        <v>8</v>
      </c>
      <c r="C2601" t="s">
        <v>73</v>
      </c>
      <c r="D2601">
        <v>8</v>
      </c>
      <c r="E2601">
        <v>8</v>
      </c>
      <c r="F2601" t="s">
        <v>31</v>
      </c>
    </row>
    <row r="2602" spans="1:6" x14ac:dyDescent="0.3">
      <c r="A2602" s="20">
        <v>45790</v>
      </c>
      <c r="B2602">
        <v>8</v>
      </c>
      <c r="C2602" t="s">
        <v>156</v>
      </c>
      <c r="D2602">
        <v>5371</v>
      </c>
      <c r="E2602">
        <v>583</v>
      </c>
      <c r="F2602" t="s">
        <v>229</v>
      </c>
    </row>
    <row r="2603" spans="1:6" x14ac:dyDescent="0.3">
      <c r="A2603" s="20">
        <v>45790</v>
      </c>
      <c r="B2603">
        <v>8</v>
      </c>
      <c r="C2603" t="s">
        <v>241</v>
      </c>
      <c r="D2603">
        <v>6518</v>
      </c>
      <c r="E2603">
        <v>580</v>
      </c>
      <c r="F2603" t="s">
        <v>31</v>
      </c>
    </row>
    <row r="2604" spans="1:6" x14ac:dyDescent="0.3">
      <c r="A2604" s="20">
        <v>45790</v>
      </c>
      <c r="B2604">
        <v>8</v>
      </c>
      <c r="C2604" t="s">
        <v>158</v>
      </c>
      <c r="D2604">
        <v>10671</v>
      </c>
      <c r="E2604">
        <v>221</v>
      </c>
      <c r="F2604" t="s">
        <v>42</v>
      </c>
    </row>
    <row r="2605" spans="1:6" x14ac:dyDescent="0.3">
      <c r="A2605" s="20">
        <v>45790</v>
      </c>
      <c r="B2605">
        <v>8</v>
      </c>
      <c r="C2605" t="s">
        <v>52</v>
      </c>
      <c r="D2605">
        <v>35</v>
      </c>
      <c r="E2605">
        <v>35</v>
      </c>
      <c r="F2605" t="s">
        <v>259</v>
      </c>
    </row>
    <row r="2606" spans="1:6" x14ac:dyDescent="0.3">
      <c r="A2606" s="20">
        <v>45790</v>
      </c>
      <c r="B2606">
        <v>8</v>
      </c>
      <c r="C2606" t="s">
        <v>267</v>
      </c>
      <c r="D2606">
        <v>2528</v>
      </c>
      <c r="E2606">
        <v>146</v>
      </c>
      <c r="F2606" t="s">
        <v>31</v>
      </c>
    </row>
    <row r="2607" spans="1:6" x14ac:dyDescent="0.3">
      <c r="A2607" s="20">
        <v>45790</v>
      </c>
      <c r="B2607">
        <v>8</v>
      </c>
      <c r="C2607" t="s">
        <v>247</v>
      </c>
      <c r="D2607">
        <v>7214</v>
      </c>
      <c r="E2607">
        <v>1076</v>
      </c>
      <c r="F2607" t="s">
        <v>31</v>
      </c>
    </row>
    <row r="2608" spans="1:6" x14ac:dyDescent="0.3">
      <c r="A2608" s="20">
        <v>45790</v>
      </c>
      <c r="B2608">
        <v>8</v>
      </c>
      <c r="C2608" t="s">
        <v>254</v>
      </c>
      <c r="D2608">
        <v>15199</v>
      </c>
      <c r="E2608">
        <v>796</v>
      </c>
      <c r="F2608" t="s">
        <v>31</v>
      </c>
    </row>
    <row r="2609" spans="1:6" x14ac:dyDescent="0.3">
      <c r="A2609" s="20">
        <v>45790</v>
      </c>
      <c r="B2609">
        <v>8</v>
      </c>
      <c r="C2609" t="s">
        <v>152</v>
      </c>
      <c r="D2609">
        <v>4475</v>
      </c>
      <c r="E2609">
        <v>683</v>
      </c>
      <c r="F2609" t="s">
        <v>252</v>
      </c>
    </row>
    <row r="2610" spans="1:6" x14ac:dyDescent="0.3">
      <c r="A2610" s="20">
        <v>45790</v>
      </c>
      <c r="B2610">
        <v>8</v>
      </c>
      <c r="C2610" t="s">
        <v>71</v>
      </c>
      <c r="D2610">
        <v>3421</v>
      </c>
      <c r="E2610">
        <v>537</v>
      </c>
      <c r="F2610" t="s">
        <v>32</v>
      </c>
    </row>
    <row r="2611" spans="1:6" x14ac:dyDescent="0.3">
      <c r="A2611" s="20">
        <v>45790</v>
      </c>
      <c r="B2611">
        <v>8</v>
      </c>
      <c r="C2611" t="s">
        <v>250</v>
      </c>
      <c r="D2611">
        <v>53</v>
      </c>
      <c r="E2611">
        <v>2</v>
      </c>
      <c r="F2611" t="s">
        <v>74</v>
      </c>
    </row>
    <row r="2612" spans="1:6" x14ac:dyDescent="0.3">
      <c r="A2612" s="20">
        <v>45790</v>
      </c>
      <c r="B2612">
        <v>8</v>
      </c>
      <c r="C2612" t="s">
        <v>250</v>
      </c>
      <c r="D2612">
        <v>5079</v>
      </c>
      <c r="E2612">
        <v>1302</v>
      </c>
      <c r="F2612" t="s">
        <v>252</v>
      </c>
    </row>
    <row r="2613" spans="1:6" x14ac:dyDescent="0.3">
      <c r="A2613" s="20">
        <v>45790</v>
      </c>
      <c r="B2613">
        <v>8</v>
      </c>
      <c r="C2613" t="s">
        <v>55</v>
      </c>
      <c r="D2613">
        <v>87002</v>
      </c>
      <c r="E2613">
        <v>8744</v>
      </c>
      <c r="F2613" t="s">
        <v>38</v>
      </c>
    </row>
    <row r="2614" spans="1:6" x14ac:dyDescent="0.3">
      <c r="A2614" s="20">
        <v>45790</v>
      </c>
      <c r="B2614">
        <v>9</v>
      </c>
      <c r="C2614" t="s">
        <v>73</v>
      </c>
      <c r="D2614">
        <v>0</v>
      </c>
      <c r="E2614">
        <v>0</v>
      </c>
      <c r="F2614" t="s">
        <v>45</v>
      </c>
    </row>
    <row r="2615" spans="1:6" x14ac:dyDescent="0.3">
      <c r="A2615" s="20">
        <v>45790</v>
      </c>
      <c r="B2615">
        <v>9</v>
      </c>
      <c r="C2615" t="s">
        <v>228</v>
      </c>
      <c r="D2615">
        <v>182</v>
      </c>
      <c r="E2615">
        <v>45</v>
      </c>
      <c r="F2615" t="s">
        <v>72</v>
      </c>
    </row>
    <row r="2616" spans="1:6" x14ac:dyDescent="0.3">
      <c r="A2616" s="20">
        <v>45790</v>
      </c>
      <c r="B2616">
        <v>9</v>
      </c>
      <c r="C2616" t="s">
        <v>236</v>
      </c>
      <c r="D2616">
        <v>54736</v>
      </c>
      <c r="E2616">
        <v>6212</v>
      </c>
      <c r="F2616" t="s">
        <v>31</v>
      </c>
    </row>
    <row r="2617" spans="1:6" x14ac:dyDescent="0.3">
      <c r="A2617" s="20">
        <v>45790</v>
      </c>
      <c r="B2617">
        <v>9</v>
      </c>
      <c r="C2617" t="s">
        <v>236</v>
      </c>
      <c r="D2617">
        <v>700</v>
      </c>
      <c r="E2617">
        <v>121</v>
      </c>
      <c r="F2617" t="s">
        <v>42</v>
      </c>
    </row>
    <row r="2618" spans="1:6" x14ac:dyDescent="0.3">
      <c r="A2618" s="20">
        <v>45790</v>
      </c>
      <c r="B2618">
        <v>9</v>
      </c>
      <c r="C2618" t="s">
        <v>35</v>
      </c>
      <c r="D2618">
        <v>2559</v>
      </c>
      <c r="E2618">
        <v>380</v>
      </c>
      <c r="F2618" t="s">
        <v>31</v>
      </c>
    </row>
    <row r="2619" spans="1:6" x14ac:dyDescent="0.3">
      <c r="A2619" s="20">
        <v>45790</v>
      </c>
      <c r="B2619">
        <v>9</v>
      </c>
      <c r="C2619" t="s">
        <v>35</v>
      </c>
      <c r="D2619">
        <v>51</v>
      </c>
      <c r="E2619">
        <v>6</v>
      </c>
      <c r="F2619" t="s">
        <v>42</v>
      </c>
    </row>
    <row r="2620" spans="1:6" x14ac:dyDescent="0.3">
      <c r="A2620" s="20">
        <v>45790</v>
      </c>
      <c r="B2620">
        <v>9</v>
      </c>
      <c r="C2620" t="s">
        <v>41</v>
      </c>
      <c r="D2620">
        <v>2951</v>
      </c>
      <c r="E2620">
        <v>207</v>
      </c>
      <c r="F2620" t="s">
        <v>31</v>
      </c>
    </row>
    <row r="2621" spans="1:6" x14ac:dyDescent="0.3">
      <c r="A2621" s="20">
        <v>45790</v>
      </c>
      <c r="B2621">
        <v>9</v>
      </c>
      <c r="C2621" t="s">
        <v>54</v>
      </c>
      <c r="D2621">
        <v>261</v>
      </c>
      <c r="E2621">
        <v>67</v>
      </c>
      <c r="F2621" t="s">
        <v>31</v>
      </c>
    </row>
    <row r="2622" spans="1:6" x14ac:dyDescent="0.3">
      <c r="A2622" s="20">
        <v>45790</v>
      </c>
      <c r="B2622">
        <v>9</v>
      </c>
      <c r="C2622" t="s">
        <v>237</v>
      </c>
      <c r="D2622">
        <v>22139</v>
      </c>
      <c r="E2622">
        <v>2544</v>
      </c>
      <c r="F2622" t="s">
        <v>31</v>
      </c>
    </row>
    <row r="2623" spans="1:6" x14ac:dyDescent="0.3">
      <c r="A2623" s="20">
        <v>45790</v>
      </c>
      <c r="B2623">
        <v>9</v>
      </c>
      <c r="C2623" t="s">
        <v>264</v>
      </c>
      <c r="D2623">
        <v>2531</v>
      </c>
      <c r="E2623">
        <v>252</v>
      </c>
      <c r="F2623" t="s">
        <v>31</v>
      </c>
    </row>
    <row r="2624" spans="1:6" x14ac:dyDescent="0.3">
      <c r="A2624" s="20">
        <v>45790</v>
      </c>
      <c r="B2624">
        <v>9</v>
      </c>
      <c r="C2624" t="s">
        <v>152</v>
      </c>
      <c r="D2624">
        <v>12329</v>
      </c>
      <c r="E2624">
        <v>1563</v>
      </c>
      <c r="F2624" t="s">
        <v>75</v>
      </c>
    </row>
    <row r="2625" spans="1:6" x14ac:dyDescent="0.3">
      <c r="A2625" s="20">
        <v>45790</v>
      </c>
      <c r="B2625">
        <v>9</v>
      </c>
      <c r="C2625" t="s">
        <v>232</v>
      </c>
      <c r="D2625">
        <v>344</v>
      </c>
      <c r="E2625">
        <v>28</v>
      </c>
      <c r="F2625" t="s">
        <v>68</v>
      </c>
    </row>
    <row r="2626" spans="1:6" x14ac:dyDescent="0.3">
      <c r="A2626" s="20">
        <v>45790</v>
      </c>
      <c r="B2626">
        <v>9</v>
      </c>
      <c r="C2626" t="s">
        <v>238</v>
      </c>
      <c r="D2626">
        <v>13575</v>
      </c>
      <c r="E2626">
        <v>1033</v>
      </c>
      <c r="F2626" t="s">
        <v>32</v>
      </c>
    </row>
    <row r="2627" spans="1:6" x14ac:dyDescent="0.3">
      <c r="A2627" s="20">
        <v>45790</v>
      </c>
      <c r="B2627">
        <v>9</v>
      </c>
      <c r="C2627" t="s">
        <v>250</v>
      </c>
      <c r="D2627">
        <v>142</v>
      </c>
      <c r="E2627">
        <v>27</v>
      </c>
      <c r="F2627" t="s">
        <v>85</v>
      </c>
    </row>
    <row r="2628" spans="1:6" x14ac:dyDescent="0.3">
      <c r="A2628" s="20">
        <v>45790</v>
      </c>
      <c r="B2628">
        <v>9</v>
      </c>
      <c r="C2628" t="s">
        <v>160</v>
      </c>
      <c r="D2628">
        <v>3618</v>
      </c>
      <c r="E2628">
        <v>619</v>
      </c>
      <c r="F2628" t="s">
        <v>229</v>
      </c>
    </row>
    <row r="2629" spans="1:6" x14ac:dyDescent="0.3">
      <c r="A2629" s="20">
        <v>45790</v>
      </c>
      <c r="B2629">
        <v>9</v>
      </c>
      <c r="C2629" t="s">
        <v>165</v>
      </c>
      <c r="D2629">
        <v>5</v>
      </c>
      <c r="E2629">
        <v>5</v>
      </c>
      <c r="F2629" t="s">
        <v>38</v>
      </c>
    </row>
    <row r="2630" spans="1:6" x14ac:dyDescent="0.3">
      <c r="A2630" s="20">
        <v>45790</v>
      </c>
      <c r="B2630">
        <v>10</v>
      </c>
      <c r="C2630" t="s">
        <v>73</v>
      </c>
      <c r="D2630">
        <v>0</v>
      </c>
      <c r="E2630">
        <v>0</v>
      </c>
      <c r="F2630" t="s">
        <v>74</v>
      </c>
    </row>
    <row r="2631" spans="1:6" x14ac:dyDescent="0.3">
      <c r="A2631" s="20">
        <v>45790</v>
      </c>
      <c r="B2631">
        <v>10</v>
      </c>
      <c r="C2631" t="s">
        <v>73</v>
      </c>
      <c r="D2631">
        <v>0</v>
      </c>
      <c r="E2631">
        <v>0</v>
      </c>
      <c r="F2631" t="s">
        <v>231</v>
      </c>
    </row>
    <row r="2632" spans="1:6" x14ac:dyDescent="0.3">
      <c r="A2632" s="20">
        <v>45790</v>
      </c>
      <c r="B2632">
        <v>10</v>
      </c>
      <c r="C2632" t="s">
        <v>73</v>
      </c>
      <c r="D2632">
        <v>0</v>
      </c>
      <c r="E2632">
        <v>0</v>
      </c>
      <c r="F2632" t="s">
        <v>38</v>
      </c>
    </row>
    <row r="2633" spans="1:6" x14ac:dyDescent="0.3">
      <c r="A2633" s="20">
        <v>45790</v>
      </c>
      <c r="B2633">
        <v>10</v>
      </c>
      <c r="C2633" t="s">
        <v>263</v>
      </c>
      <c r="D2633">
        <v>12226</v>
      </c>
      <c r="E2633">
        <v>1118</v>
      </c>
      <c r="F2633" t="s">
        <v>45</v>
      </c>
    </row>
    <row r="2634" spans="1:6" x14ac:dyDescent="0.3">
      <c r="A2634" s="20">
        <v>45790</v>
      </c>
      <c r="B2634">
        <v>10</v>
      </c>
      <c r="C2634" t="s">
        <v>263</v>
      </c>
      <c r="D2634">
        <v>1</v>
      </c>
      <c r="E2634">
        <v>1</v>
      </c>
      <c r="F2634" t="s">
        <v>77</v>
      </c>
    </row>
    <row r="2635" spans="1:6" x14ac:dyDescent="0.3">
      <c r="A2635" s="20">
        <v>45790</v>
      </c>
      <c r="B2635">
        <v>10</v>
      </c>
      <c r="C2635" t="s">
        <v>228</v>
      </c>
      <c r="D2635">
        <v>16695</v>
      </c>
      <c r="E2635">
        <v>2595</v>
      </c>
      <c r="F2635" t="s">
        <v>231</v>
      </c>
    </row>
    <row r="2636" spans="1:6" x14ac:dyDescent="0.3">
      <c r="A2636" s="20">
        <v>45790</v>
      </c>
      <c r="B2636">
        <v>10</v>
      </c>
      <c r="C2636" t="s">
        <v>159</v>
      </c>
      <c r="D2636">
        <v>37126</v>
      </c>
      <c r="E2636">
        <v>1357</v>
      </c>
      <c r="F2636" t="s">
        <v>31</v>
      </c>
    </row>
    <row r="2637" spans="1:6" x14ac:dyDescent="0.3">
      <c r="A2637" s="20">
        <v>45790</v>
      </c>
      <c r="B2637">
        <v>10</v>
      </c>
      <c r="C2637" t="s">
        <v>249</v>
      </c>
      <c r="D2637">
        <v>16186</v>
      </c>
      <c r="E2637">
        <v>720</v>
      </c>
      <c r="F2637" t="s">
        <v>31</v>
      </c>
    </row>
    <row r="2638" spans="1:6" x14ac:dyDescent="0.3">
      <c r="A2638" s="20">
        <v>45790</v>
      </c>
      <c r="B2638">
        <v>10</v>
      </c>
      <c r="C2638" t="s">
        <v>158</v>
      </c>
      <c r="D2638">
        <v>11994</v>
      </c>
      <c r="E2638">
        <v>917</v>
      </c>
      <c r="F2638" t="s">
        <v>31</v>
      </c>
    </row>
    <row r="2639" spans="1:6" x14ac:dyDescent="0.3">
      <c r="A2639" s="20">
        <v>45790</v>
      </c>
      <c r="B2639">
        <v>10</v>
      </c>
      <c r="C2639" t="s">
        <v>244</v>
      </c>
      <c r="D2639">
        <v>44041</v>
      </c>
      <c r="E2639">
        <v>3882</v>
      </c>
      <c r="F2639" t="s">
        <v>31</v>
      </c>
    </row>
    <row r="2640" spans="1:6" x14ac:dyDescent="0.3">
      <c r="A2640" s="20">
        <v>45790</v>
      </c>
      <c r="B2640">
        <v>10</v>
      </c>
      <c r="C2640" t="s">
        <v>152</v>
      </c>
      <c r="D2640">
        <v>5925</v>
      </c>
      <c r="E2640">
        <v>509</v>
      </c>
      <c r="F2640" t="s">
        <v>138</v>
      </c>
    </row>
    <row r="2641" spans="1:6" x14ac:dyDescent="0.3">
      <c r="A2641" s="20">
        <v>45790</v>
      </c>
      <c r="B2641">
        <v>10</v>
      </c>
      <c r="C2641" t="s">
        <v>261</v>
      </c>
      <c r="D2641">
        <v>29234</v>
      </c>
      <c r="E2641">
        <v>2127</v>
      </c>
      <c r="F2641" t="s">
        <v>31</v>
      </c>
    </row>
    <row r="2642" spans="1:6" x14ac:dyDescent="0.3">
      <c r="A2642" s="20">
        <v>45790</v>
      </c>
      <c r="B2642">
        <v>10</v>
      </c>
      <c r="C2642" t="s">
        <v>250</v>
      </c>
      <c r="D2642">
        <v>744</v>
      </c>
      <c r="E2642">
        <v>109</v>
      </c>
      <c r="F2642" t="s">
        <v>86</v>
      </c>
    </row>
    <row r="2643" spans="1:6" x14ac:dyDescent="0.3">
      <c r="A2643" s="20">
        <v>45790</v>
      </c>
      <c r="B2643">
        <v>10</v>
      </c>
      <c r="C2643" t="s">
        <v>250</v>
      </c>
      <c r="D2643">
        <v>211</v>
      </c>
      <c r="E2643">
        <v>17</v>
      </c>
      <c r="F2643" t="s">
        <v>257</v>
      </c>
    </row>
    <row r="2644" spans="1:6" x14ac:dyDescent="0.3">
      <c r="A2644" s="20">
        <v>45790</v>
      </c>
      <c r="B2644">
        <v>10</v>
      </c>
      <c r="C2644" t="s">
        <v>160</v>
      </c>
      <c r="D2644">
        <v>566</v>
      </c>
      <c r="E2644">
        <v>108</v>
      </c>
      <c r="F2644" t="s">
        <v>47</v>
      </c>
    </row>
    <row r="2645" spans="1:6" x14ac:dyDescent="0.3">
      <c r="A2645" s="20">
        <v>45790</v>
      </c>
      <c r="B2645">
        <v>10</v>
      </c>
      <c r="C2645" t="s">
        <v>160</v>
      </c>
      <c r="D2645">
        <v>1292</v>
      </c>
      <c r="E2645">
        <v>307</v>
      </c>
      <c r="F2645" t="s">
        <v>39</v>
      </c>
    </row>
    <row r="2646" spans="1:6" x14ac:dyDescent="0.3">
      <c r="A2646" s="20">
        <v>45790</v>
      </c>
      <c r="B2646">
        <v>10</v>
      </c>
      <c r="C2646" t="s">
        <v>160</v>
      </c>
      <c r="D2646">
        <v>4598</v>
      </c>
      <c r="E2646">
        <v>916</v>
      </c>
      <c r="F2646" t="s">
        <v>231</v>
      </c>
    </row>
    <row r="2647" spans="1:6" x14ac:dyDescent="0.3">
      <c r="A2647" s="20">
        <v>45790</v>
      </c>
      <c r="B2647">
        <v>10</v>
      </c>
      <c r="C2647" t="s">
        <v>160</v>
      </c>
      <c r="D2647">
        <v>135</v>
      </c>
      <c r="E2647">
        <v>28</v>
      </c>
      <c r="F2647" t="s">
        <v>43</v>
      </c>
    </row>
    <row r="2648" spans="1:6" x14ac:dyDescent="0.3">
      <c r="A2648" s="20">
        <v>45790</v>
      </c>
      <c r="B2648">
        <v>10</v>
      </c>
      <c r="C2648" t="s">
        <v>162</v>
      </c>
      <c r="D2648">
        <v>12361</v>
      </c>
      <c r="E2648">
        <v>1754</v>
      </c>
      <c r="F2648" t="s">
        <v>47</v>
      </c>
    </row>
    <row r="2649" spans="1:6" x14ac:dyDescent="0.3">
      <c r="A2649" s="20">
        <v>45790</v>
      </c>
      <c r="B2649">
        <v>10</v>
      </c>
      <c r="C2649" t="s">
        <v>240</v>
      </c>
      <c r="D2649">
        <v>19787</v>
      </c>
      <c r="E2649">
        <v>1069</v>
      </c>
      <c r="F2649" t="s">
        <v>38</v>
      </c>
    </row>
    <row r="2650" spans="1:6" x14ac:dyDescent="0.3">
      <c r="A2650" s="20">
        <v>45790</v>
      </c>
      <c r="B2650">
        <v>10</v>
      </c>
      <c r="C2650" t="s">
        <v>40</v>
      </c>
      <c r="D2650">
        <v>100772</v>
      </c>
      <c r="E2650">
        <v>6564</v>
      </c>
      <c r="F2650" t="s">
        <v>38</v>
      </c>
    </row>
    <row r="2651" spans="1:6" x14ac:dyDescent="0.3">
      <c r="A2651" s="20">
        <v>45790</v>
      </c>
      <c r="B2651">
        <v>10</v>
      </c>
      <c r="C2651" t="s">
        <v>76</v>
      </c>
      <c r="D2651">
        <v>39853</v>
      </c>
      <c r="E2651">
        <v>3304</v>
      </c>
      <c r="F2651" t="s">
        <v>38</v>
      </c>
    </row>
    <row r="2652" spans="1:6" x14ac:dyDescent="0.3">
      <c r="A2652" s="20">
        <v>45790</v>
      </c>
      <c r="B2652">
        <v>10</v>
      </c>
      <c r="C2652" t="s">
        <v>81</v>
      </c>
      <c r="D2652">
        <v>83818</v>
      </c>
      <c r="E2652">
        <v>4325</v>
      </c>
      <c r="F2652" t="s">
        <v>38</v>
      </c>
    </row>
    <row r="2653" spans="1:6" x14ac:dyDescent="0.3">
      <c r="A2653" s="20">
        <v>45790</v>
      </c>
      <c r="B2653">
        <v>10</v>
      </c>
      <c r="C2653" t="s">
        <v>235</v>
      </c>
      <c r="D2653">
        <v>12051</v>
      </c>
      <c r="E2653">
        <v>1370</v>
      </c>
      <c r="F2653" t="s">
        <v>234</v>
      </c>
    </row>
    <row r="2654" spans="1:6" x14ac:dyDescent="0.3">
      <c r="A2654" s="20">
        <v>45790</v>
      </c>
      <c r="B2654">
        <v>11</v>
      </c>
      <c r="C2654" t="s">
        <v>73</v>
      </c>
      <c r="D2654">
        <v>0</v>
      </c>
      <c r="E2654">
        <v>0</v>
      </c>
      <c r="F2654" t="s">
        <v>46</v>
      </c>
    </row>
    <row r="2655" spans="1:6" x14ac:dyDescent="0.3">
      <c r="A2655" s="20">
        <v>45790</v>
      </c>
      <c r="B2655">
        <v>11</v>
      </c>
      <c r="C2655" t="s">
        <v>241</v>
      </c>
      <c r="D2655">
        <v>13736</v>
      </c>
      <c r="E2655">
        <v>882</v>
      </c>
      <c r="F2655" t="s">
        <v>31</v>
      </c>
    </row>
    <row r="2656" spans="1:6" x14ac:dyDescent="0.3">
      <c r="A2656" s="20">
        <v>45790</v>
      </c>
      <c r="B2656">
        <v>11</v>
      </c>
      <c r="C2656" t="s">
        <v>158</v>
      </c>
      <c r="D2656">
        <v>22146</v>
      </c>
      <c r="E2656">
        <v>485</v>
      </c>
      <c r="F2656" t="s">
        <v>42</v>
      </c>
    </row>
    <row r="2657" spans="1:6" x14ac:dyDescent="0.3">
      <c r="A2657" s="20">
        <v>45790</v>
      </c>
      <c r="B2657">
        <v>11</v>
      </c>
      <c r="C2657" t="s">
        <v>52</v>
      </c>
      <c r="D2657">
        <v>27</v>
      </c>
      <c r="E2657">
        <v>27</v>
      </c>
      <c r="F2657" t="s">
        <v>259</v>
      </c>
    </row>
    <row r="2658" spans="1:6" x14ac:dyDescent="0.3">
      <c r="A2658" s="20">
        <v>45790</v>
      </c>
      <c r="B2658">
        <v>11</v>
      </c>
      <c r="C2658" t="s">
        <v>267</v>
      </c>
      <c r="D2658">
        <v>10955</v>
      </c>
      <c r="E2658">
        <v>601</v>
      </c>
      <c r="F2658" t="s">
        <v>31</v>
      </c>
    </row>
    <row r="2659" spans="1:6" x14ac:dyDescent="0.3">
      <c r="A2659" s="20">
        <v>45790</v>
      </c>
      <c r="B2659">
        <v>11</v>
      </c>
      <c r="C2659" t="s">
        <v>254</v>
      </c>
      <c r="D2659">
        <v>20219</v>
      </c>
      <c r="E2659">
        <v>799</v>
      </c>
      <c r="F2659" t="s">
        <v>31</v>
      </c>
    </row>
    <row r="2660" spans="1:6" x14ac:dyDescent="0.3">
      <c r="A2660" s="20">
        <v>45790</v>
      </c>
      <c r="B2660">
        <v>11</v>
      </c>
      <c r="C2660" t="s">
        <v>152</v>
      </c>
      <c r="D2660">
        <v>9701</v>
      </c>
      <c r="E2660">
        <v>1285</v>
      </c>
      <c r="F2660" t="s">
        <v>252</v>
      </c>
    </row>
    <row r="2661" spans="1:6" x14ac:dyDescent="0.3">
      <c r="A2661" s="20">
        <v>45790</v>
      </c>
      <c r="B2661">
        <v>11</v>
      </c>
      <c r="C2661" t="s">
        <v>71</v>
      </c>
      <c r="D2661">
        <v>3205</v>
      </c>
      <c r="E2661">
        <v>312</v>
      </c>
      <c r="F2661" t="s">
        <v>32</v>
      </c>
    </row>
    <row r="2662" spans="1:6" x14ac:dyDescent="0.3">
      <c r="A2662" s="20">
        <v>45790</v>
      </c>
      <c r="B2662">
        <v>11</v>
      </c>
      <c r="C2662" t="s">
        <v>71</v>
      </c>
      <c r="D2662">
        <v>27654</v>
      </c>
      <c r="E2662">
        <v>2813</v>
      </c>
      <c r="F2662" t="s">
        <v>164</v>
      </c>
    </row>
    <row r="2663" spans="1:6" x14ac:dyDescent="0.3">
      <c r="A2663" s="20">
        <v>45790</v>
      </c>
      <c r="B2663">
        <v>11</v>
      </c>
      <c r="C2663" t="s">
        <v>238</v>
      </c>
      <c r="D2663">
        <v>2178</v>
      </c>
      <c r="E2663">
        <v>226</v>
      </c>
      <c r="F2663" t="s">
        <v>44</v>
      </c>
    </row>
    <row r="2664" spans="1:6" x14ac:dyDescent="0.3">
      <c r="A2664" s="20">
        <v>45790</v>
      </c>
      <c r="B2664">
        <v>11</v>
      </c>
      <c r="C2664" t="s">
        <v>250</v>
      </c>
      <c r="D2664">
        <v>86</v>
      </c>
      <c r="E2664">
        <v>15</v>
      </c>
      <c r="F2664" t="s">
        <v>74</v>
      </c>
    </row>
    <row r="2665" spans="1:6" x14ac:dyDescent="0.3">
      <c r="A2665" s="20">
        <v>45790</v>
      </c>
      <c r="B2665">
        <v>11</v>
      </c>
      <c r="C2665" t="s">
        <v>250</v>
      </c>
      <c r="D2665">
        <v>6196</v>
      </c>
      <c r="E2665">
        <v>2144</v>
      </c>
      <c r="F2665" t="s">
        <v>252</v>
      </c>
    </row>
    <row r="2666" spans="1:6" x14ac:dyDescent="0.3">
      <c r="A2666" s="20">
        <v>45790</v>
      </c>
      <c r="B2666">
        <v>11</v>
      </c>
      <c r="C2666" t="s">
        <v>160</v>
      </c>
      <c r="D2666">
        <v>96</v>
      </c>
      <c r="E2666">
        <v>22</v>
      </c>
      <c r="F2666" t="s">
        <v>138</v>
      </c>
    </row>
    <row r="2667" spans="1:6" x14ac:dyDescent="0.3">
      <c r="A2667" s="20">
        <v>45790</v>
      </c>
      <c r="B2667">
        <v>11</v>
      </c>
      <c r="C2667" t="s">
        <v>55</v>
      </c>
      <c r="D2667">
        <v>91661</v>
      </c>
      <c r="E2667">
        <v>9952</v>
      </c>
      <c r="F2667" t="s">
        <v>38</v>
      </c>
    </row>
    <row r="2668" spans="1:6" x14ac:dyDescent="0.3">
      <c r="A2668" s="20">
        <v>45790</v>
      </c>
      <c r="B2668">
        <v>11</v>
      </c>
      <c r="C2668" t="s">
        <v>253</v>
      </c>
      <c r="D2668">
        <v>1081</v>
      </c>
      <c r="E2668">
        <v>212</v>
      </c>
      <c r="F2668" t="s">
        <v>47</v>
      </c>
    </row>
    <row r="2669" spans="1:6" x14ac:dyDescent="0.3">
      <c r="A2669" s="20">
        <v>45790</v>
      </c>
      <c r="B2669">
        <v>12</v>
      </c>
      <c r="C2669" t="s">
        <v>73</v>
      </c>
      <c r="D2669">
        <v>0</v>
      </c>
      <c r="E2669">
        <v>0</v>
      </c>
      <c r="F2669" t="s">
        <v>234</v>
      </c>
    </row>
    <row r="2670" spans="1:6" x14ac:dyDescent="0.3">
      <c r="A2670" s="20">
        <v>45790</v>
      </c>
      <c r="B2670">
        <v>12</v>
      </c>
      <c r="C2670" t="s">
        <v>73</v>
      </c>
      <c r="D2670">
        <v>0</v>
      </c>
      <c r="E2670">
        <v>0</v>
      </c>
      <c r="F2670" t="s">
        <v>45</v>
      </c>
    </row>
    <row r="2671" spans="1:6" x14ac:dyDescent="0.3">
      <c r="A2671" s="20">
        <v>45790</v>
      </c>
      <c r="B2671">
        <v>12</v>
      </c>
      <c r="C2671" t="s">
        <v>73</v>
      </c>
      <c r="D2671">
        <v>0</v>
      </c>
      <c r="E2671">
        <v>0</v>
      </c>
      <c r="F2671" t="s">
        <v>161</v>
      </c>
    </row>
    <row r="2672" spans="1:6" x14ac:dyDescent="0.3">
      <c r="A2672" s="20">
        <v>45790</v>
      </c>
      <c r="B2672">
        <v>12</v>
      </c>
      <c r="C2672" t="s">
        <v>228</v>
      </c>
      <c r="D2672">
        <v>154</v>
      </c>
      <c r="E2672">
        <v>26</v>
      </c>
      <c r="F2672" t="s">
        <v>72</v>
      </c>
    </row>
    <row r="2673" spans="1:6" x14ac:dyDescent="0.3">
      <c r="A2673" s="20">
        <v>45790</v>
      </c>
      <c r="B2673">
        <v>12</v>
      </c>
      <c r="C2673" t="s">
        <v>236</v>
      </c>
      <c r="D2673">
        <v>68615</v>
      </c>
      <c r="E2673">
        <v>7106</v>
      </c>
      <c r="F2673" t="s">
        <v>31</v>
      </c>
    </row>
    <row r="2674" spans="1:6" x14ac:dyDescent="0.3">
      <c r="A2674" s="20">
        <v>45790</v>
      </c>
      <c r="B2674">
        <v>12</v>
      </c>
      <c r="C2674" t="s">
        <v>236</v>
      </c>
      <c r="D2674">
        <v>963</v>
      </c>
      <c r="E2674">
        <v>186</v>
      </c>
      <c r="F2674" t="s">
        <v>42</v>
      </c>
    </row>
    <row r="2675" spans="1:6" x14ac:dyDescent="0.3">
      <c r="A2675" s="20">
        <v>45790</v>
      </c>
      <c r="B2675">
        <v>12</v>
      </c>
      <c r="C2675" t="s">
        <v>41</v>
      </c>
      <c r="D2675">
        <v>2891</v>
      </c>
      <c r="E2675">
        <v>207</v>
      </c>
      <c r="F2675" t="s">
        <v>31</v>
      </c>
    </row>
    <row r="2676" spans="1:6" x14ac:dyDescent="0.3">
      <c r="A2676" s="20">
        <v>45790</v>
      </c>
      <c r="B2676">
        <v>12</v>
      </c>
      <c r="C2676" t="s">
        <v>54</v>
      </c>
      <c r="D2676">
        <v>195</v>
      </c>
      <c r="E2676">
        <v>44</v>
      </c>
      <c r="F2676" t="s">
        <v>31</v>
      </c>
    </row>
    <row r="2677" spans="1:6" x14ac:dyDescent="0.3">
      <c r="A2677" s="20">
        <v>45790</v>
      </c>
      <c r="B2677">
        <v>12</v>
      </c>
      <c r="C2677" t="s">
        <v>237</v>
      </c>
      <c r="D2677">
        <v>36606</v>
      </c>
      <c r="E2677">
        <v>3820</v>
      </c>
      <c r="F2677" t="s">
        <v>31</v>
      </c>
    </row>
    <row r="2678" spans="1:6" x14ac:dyDescent="0.3">
      <c r="A2678" s="20">
        <v>45790</v>
      </c>
      <c r="B2678">
        <v>12</v>
      </c>
      <c r="C2678" t="s">
        <v>243</v>
      </c>
      <c r="D2678">
        <v>10925</v>
      </c>
      <c r="E2678">
        <v>1287</v>
      </c>
      <c r="F2678" t="s">
        <v>31</v>
      </c>
    </row>
    <row r="2679" spans="1:6" x14ac:dyDescent="0.3">
      <c r="A2679" s="20">
        <v>45790</v>
      </c>
      <c r="B2679">
        <v>12</v>
      </c>
      <c r="C2679" t="s">
        <v>264</v>
      </c>
      <c r="D2679">
        <v>589</v>
      </c>
      <c r="E2679">
        <v>127</v>
      </c>
      <c r="F2679" t="s">
        <v>31</v>
      </c>
    </row>
    <row r="2680" spans="1:6" x14ac:dyDescent="0.3">
      <c r="A2680" s="20">
        <v>45790</v>
      </c>
      <c r="B2680">
        <v>12</v>
      </c>
      <c r="C2680" t="s">
        <v>250</v>
      </c>
      <c r="D2680">
        <v>146</v>
      </c>
      <c r="E2680">
        <v>33</v>
      </c>
      <c r="F2680" t="s">
        <v>34</v>
      </c>
    </row>
    <row r="2681" spans="1:6" x14ac:dyDescent="0.3">
      <c r="A2681" s="20">
        <v>45790</v>
      </c>
      <c r="B2681">
        <v>12</v>
      </c>
      <c r="C2681" t="s">
        <v>250</v>
      </c>
      <c r="D2681">
        <v>131</v>
      </c>
      <c r="E2681">
        <v>22</v>
      </c>
      <c r="F2681" t="s">
        <v>85</v>
      </c>
    </row>
    <row r="2682" spans="1:6" x14ac:dyDescent="0.3">
      <c r="A2682" s="20">
        <v>45790</v>
      </c>
      <c r="B2682">
        <v>12</v>
      </c>
      <c r="C2682" t="s">
        <v>250</v>
      </c>
      <c r="D2682">
        <v>898</v>
      </c>
      <c r="E2682">
        <v>112</v>
      </c>
      <c r="F2682" t="s">
        <v>75</v>
      </c>
    </row>
    <row r="2683" spans="1:6" x14ac:dyDescent="0.3">
      <c r="A2683" s="20">
        <v>45790</v>
      </c>
      <c r="B2683">
        <v>12</v>
      </c>
      <c r="C2683" t="s">
        <v>160</v>
      </c>
      <c r="D2683">
        <v>3068</v>
      </c>
      <c r="E2683">
        <v>623</v>
      </c>
      <c r="F2683" t="s">
        <v>229</v>
      </c>
    </row>
    <row r="2684" spans="1:6" x14ac:dyDescent="0.3">
      <c r="A2684" s="20">
        <v>45790</v>
      </c>
      <c r="B2684">
        <v>12</v>
      </c>
      <c r="C2684" t="s">
        <v>165</v>
      </c>
      <c r="D2684">
        <v>5</v>
      </c>
      <c r="E2684">
        <v>5</v>
      </c>
      <c r="F2684" t="s">
        <v>38</v>
      </c>
    </row>
    <row r="2685" spans="1:6" x14ac:dyDescent="0.3">
      <c r="A2685" s="20">
        <v>45790</v>
      </c>
      <c r="B2685">
        <v>12</v>
      </c>
      <c r="C2685" t="s">
        <v>251</v>
      </c>
      <c r="D2685">
        <v>5894</v>
      </c>
      <c r="E2685">
        <v>645</v>
      </c>
      <c r="F2685" t="s">
        <v>44</v>
      </c>
    </row>
    <row r="2686" spans="1:6" x14ac:dyDescent="0.3">
      <c r="A2686" s="20">
        <v>45790</v>
      </c>
      <c r="B2686">
        <v>13</v>
      </c>
      <c r="C2686" t="s">
        <v>73</v>
      </c>
      <c r="D2686">
        <v>0</v>
      </c>
      <c r="E2686">
        <v>0</v>
      </c>
      <c r="F2686" t="s">
        <v>163</v>
      </c>
    </row>
    <row r="2687" spans="1:6" x14ac:dyDescent="0.3">
      <c r="A2687" s="20">
        <v>45790</v>
      </c>
      <c r="B2687">
        <v>13</v>
      </c>
      <c r="C2687" t="s">
        <v>73</v>
      </c>
      <c r="D2687">
        <v>0</v>
      </c>
      <c r="E2687">
        <v>0</v>
      </c>
      <c r="F2687" t="s">
        <v>74</v>
      </c>
    </row>
    <row r="2688" spans="1:6" x14ac:dyDescent="0.3">
      <c r="A2688" s="20">
        <v>45790</v>
      </c>
      <c r="B2688">
        <v>13</v>
      </c>
      <c r="C2688" t="s">
        <v>249</v>
      </c>
      <c r="D2688">
        <v>17005</v>
      </c>
      <c r="E2688">
        <v>725</v>
      </c>
      <c r="F2688" t="s">
        <v>31</v>
      </c>
    </row>
    <row r="2689" spans="1:6" x14ac:dyDescent="0.3">
      <c r="A2689" s="20">
        <v>45790</v>
      </c>
      <c r="B2689">
        <v>13</v>
      </c>
      <c r="C2689" t="s">
        <v>239</v>
      </c>
      <c r="D2689">
        <v>78386</v>
      </c>
      <c r="E2689">
        <v>6186</v>
      </c>
      <c r="F2689" t="s">
        <v>31</v>
      </c>
    </row>
    <row r="2690" spans="1:6" x14ac:dyDescent="0.3">
      <c r="A2690" s="20">
        <v>45790</v>
      </c>
      <c r="B2690">
        <v>13</v>
      </c>
      <c r="C2690" t="s">
        <v>244</v>
      </c>
      <c r="D2690">
        <v>41829</v>
      </c>
      <c r="E2690">
        <v>4447</v>
      </c>
      <c r="F2690" t="s">
        <v>31</v>
      </c>
    </row>
    <row r="2691" spans="1:6" x14ac:dyDescent="0.3">
      <c r="A2691" s="20">
        <v>45790</v>
      </c>
      <c r="B2691">
        <v>13</v>
      </c>
      <c r="C2691" t="s">
        <v>152</v>
      </c>
      <c r="D2691">
        <v>6569</v>
      </c>
      <c r="E2691">
        <v>597</v>
      </c>
      <c r="F2691" t="s">
        <v>138</v>
      </c>
    </row>
    <row r="2692" spans="1:6" x14ac:dyDescent="0.3">
      <c r="A2692" s="20">
        <v>45790</v>
      </c>
      <c r="B2692">
        <v>13</v>
      </c>
      <c r="C2692" t="s">
        <v>261</v>
      </c>
      <c r="D2692">
        <v>20091</v>
      </c>
      <c r="E2692">
        <v>1569</v>
      </c>
      <c r="F2692" t="s">
        <v>31</v>
      </c>
    </row>
    <row r="2693" spans="1:6" x14ac:dyDescent="0.3">
      <c r="A2693" s="20">
        <v>45790</v>
      </c>
      <c r="B2693">
        <v>13</v>
      </c>
      <c r="C2693" t="s">
        <v>255</v>
      </c>
      <c r="D2693">
        <v>7399</v>
      </c>
      <c r="E2693">
        <v>1153</v>
      </c>
      <c r="F2693" t="s">
        <v>39</v>
      </c>
    </row>
    <row r="2694" spans="1:6" x14ac:dyDescent="0.3">
      <c r="A2694" s="20">
        <v>45790</v>
      </c>
      <c r="B2694">
        <v>13</v>
      </c>
      <c r="C2694" t="s">
        <v>256</v>
      </c>
      <c r="D2694">
        <v>7256</v>
      </c>
      <c r="E2694">
        <v>49</v>
      </c>
      <c r="F2694" t="s">
        <v>163</v>
      </c>
    </row>
    <row r="2695" spans="1:6" x14ac:dyDescent="0.3">
      <c r="A2695" s="20">
        <v>45790</v>
      </c>
      <c r="B2695">
        <v>13</v>
      </c>
      <c r="C2695" t="s">
        <v>250</v>
      </c>
      <c r="D2695">
        <v>785</v>
      </c>
      <c r="E2695">
        <v>100</v>
      </c>
      <c r="F2695" t="s">
        <v>86</v>
      </c>
    </row>
    <row r="2696" spans="1:6" x14ac:dyDescent="0.3">
      <c r="A2696" s="20">
        <v>45790</v>
      </c>
      <c r="B2696">
        <v>13</v>
      </c>
      <c r="C2696" t="s">
        <v>250</v>
      </c>
      <c r="D2696">
        <v>312</v>
      </c>
      <c r="E2696">
        <v>77</v>
      </c>
      <c r="F2696" t="s">
        <v>257</v>
      </c>
    </row>
    <row r="2697" spans="1:6" x14ac:dyDescent="0.3">
      <c r="A2697" s="20">
        <v>45790</v>
      </c>
      <c r="B2697">
        <v>13</v>
      </c>
      <c r="C2697" t="s">
        <v>160</v>
      </c>
      <c r="D2697">
        <v>471</v>
      </c>
      <c r="E2697">
        <v>63</v>
      </c>
      <c r="F2697" t="s">
        <v>47</v>
      </c>
    </row>
    <row r="2698" spans="1:6" x14ac:dyDescent="0.3">
      <c r="A2698" s="20">
        <v>45790</v>
      </c>
      <c r="B2698">
        <v>13</v>
      </c>
      <c r="C2698" t="s">
        <v>160</v>
      </c>
      <c r="D2698">
        <v>953</v>
      </c>
      <c r="E2698">
        <v>228</v>
      </c>
      <c r="F2698" t="s">
        <v>39</v>
      </c>
    </row>
    <row r="2699" spans="1:6" x14ac:dyDescent="0.3">
      <c r="A2699" s="20">
        <v>45790</v>
      </c>
      <c r="B2699">
        <v>13</v>
      </c>
      <c r="C2699" t="s">
        <v>160</v>
      </c>
      <c r="D2699">
        <v>439</v>
      </c>
      <c r="E2699">
        <v>92</v>
      </c>
      <c r="F2699" t="s">
        <v>74</v>
      </c>
    </row>
    <row r="2700" spans="1:6" x14ac:dyDescent="0.3">
      <c r="A2700" s="20">
        <v>45790</v>
      </c>
      <c r="B2700">
        <v>13</v>
      </c>
      <c r="C2700" t="s">
        <v>160</v>
      </c>
      <c r="D2700">
        <v>5000</v>
      </c>
      <c r="E2700">
        <v>884</v>
      </c>
      <c r="F2700" t="s">
        <v>231</v>
      </c>
    </row>
    <row r="2701" spans="1:6" x14ac:dyDescent="0.3">
      <c r="A2701" s="20">
        <v>45790</v>
      </c>
      <c r="B2701">
        <v>13</v>
      </c>
      <c r="C2701" t="s">
        <v>160</v>
      </c>
      <c r="D2701">
        <v>7755</v>
      </c>
      <c r="E2701">
        <v>1903</v>
      </c>
      <c r="F2701" t="s">
        <v>43</v>
      </c>
    </row>
    <row r="2702" spans="1:6" x14ac:dyDescent="0.3">
      <c r="A2702" s="20">
        <v>45790</v>
      </c>
      <c r="B2702">
        <v>13</v>
      </c>
      <c r="C2702" t="s">
        <v>240</v>
      </c>
      <c r="D2702">
        <v>19642</v>
      </c>
      <c r="E2702">
        <v>1062</v>
      </c>
      <c r="F2702" t="s">
        <v>38</v>
      </c>
    </row>
    <row r="2703" spans="1:6" x14ac:dyDescent="0.3">
      <c r="A2703" s="20">
        <v>45790</v>
      </c>
      <c r="B2703">
        <v>13</v>
      </c>
      <c r="C2703" t="s">
        <v>40</v>
      </c>
      <c r="D2703">
        <v>97378</v>
      </c>
      <c r="E2703">
        <v>6400</v>
      </c>
      <c r="F2703" t="s">
        <v>38</v>
      </c>
    </row>
    <row r="2704" spans="1:6" x14ac:dyDescent="0.3">
      <c r="A2704" s="20">
        <v>45790</v>
      </c>
      <c r="B2704">
        <v>13</v>
      </c>
      <c r="C2704" t="s">
        <v>76</v>
      </c>
      <c r="D2704">
        <v>86015</v>
      </c>
      <c r="E2704">
        <v>4988</v>
      </c>
      <c r="F2704" t="s">
        <v>38</v>
      </c>
    </row>
    <row r="2705" spans="1:6" x14ac:dyDescent="0.3">
      <c r="A2705" s="20">
        <v>45790</v>
      </c>
      <c r="B2705">
        <v>13</v>
      </c>
      <c r="C2705" t="s">
        <v>81</v>
      </c>
      <c r="D2705">
        <v>88542</v>
      </c>
      <c r="E2705">
        <v>4064</v>
      </c>
      <c r="F2705" t="s">
        <v>38</v>
      </c>
    </row>
    <row r="2706" spans="1:6" x14ac:dyDescent="0.3">
      <c r="A2706" s="20">
        <v>45790</v>
      </c>
      <c r="B2706">
        <v>13</v>
      </c>
      <c r="C2706" t="s">
        <v>235</v>
      </c>
      <c r="D2706">
        <v>12400</v>
      </c>
      <c r="E2706">
        <v>1273</v>
      </c>
      <c r="F2706" t="s">
        <v>234</v>
      </c>
    </row>
    <row r="2707" spans="1:6" x14ac:dyDescent="0.3">
      <c r="A2707" s="20">
        <v>45790</v>
      </c>
      <c r="B2707">
        <v>13</v>
      </c>
      <c r="C2707" t="s">
        <v>235</v>
      </c>
      <c r="D2707">
        <v>929</v>
      </c>
      <c r="E2707">
        <v>174</v>
      </c>
      <c r="F2707" t="s">
        <v>161</v>
      </c>
    </row>
    <row r="2708" spans="1:6" x14ac:dyDescent="0.3">
      <c r="A2708" s="20">
        <v>45790</v>
      </c>
      <c r="B2708">
        <v>14</v>
      </c>
      <c r="C2708" t="s">
        <v>73</v>
      </c>
      <c r="D2708">
        <v>0</v>
      </c>
      <c r="E2708">
        <v>0</v>
      </c>
      <c r="F2708" t="s">
        <v>46</v>
      </c>
    </row>
    <row r="2709" spans="1:6" x14ac:dyDescent="0.3">
      <c r="A2709" s="20">
        <v>45790</v>
      </c>
      <c r="B2709">
        <v>14</v>
      </c>
      <c r="C2709" t="s">
        <v>73</v>
      </c>
      <c r="D2709">
        <v>0</v>
      </c>
      <c r="E2709">
        <v>0</v>
      </c>
      <c r="F2709" t="s">
        <v>75</v>
      </c>
    </row>
    <row r="2710" spans="1:6" x14ac:dyDescent="0.3">
      <c r="A2710" s="20">
        <v>45790</v>
      </c>
      <c r="B2710">
        <v>14</v>
      </c>
      <c r="C2710" t="s">
        <v>228</v>
      </c>
      <c r="D2710">
        <v>624</v>
      </c>
      <c r="E2710">
        <v>74</v>
      </c>
      <c r="F2710" t="s">
        <v>43</v>
      </c>
    </row>
    <row r="2711" spans="1:6" x14ac:dyDescent="0.3">
      <c r="A2711" s="20">
        <v>45790</v>
      </c>
      <c r="B2711">
        <v>14</v>
      </c>
      <c r="C2711" t="s">
        <v>241</v>
      </c>
      <c r="D2711">
        <v>8564</v>
      </c>
      <c r="E2711">
        <v>520</v>
      </c>
      <c r="F2711" t="s">
        <v>31</v>
      </c>
    </row>
    <row r="2712" spans="1:6" x14ac:dyDescent="0.3">
      <c r="A2712" s="20">
        <v>45790</v>
      </c>
      <c r="B2712">
        <v>14</v>
      </c>
      <c r="C2712" t="s">
        <v>254</v>
      </c>
      <c r="D2712">
        <v>10949</v>
      </c>
      <c r="E2712">
        <v>429</v>
      </c>
      <c r="F2712" t="s">
        <v>31</v>
      </c>
    </row>
    <row r="2713" spans="1:6" x14ac:dyDescent="0.3">
      <c r="A2713" s="20">
        <v>45790</v>
      </c>
      <c r="B2713">
        <v>14</v>
      </c>
      <c r="C2713" t="s">
        <v>71</v>
      </c>
      <c r="D2713">
        <v>8499</v>
      </c>
      <c r="E2713">
        <v>2625</v>
      </c>
      <c r="F2713" t="s">
        <v>32</v>
      </c>
    </row>
    <row r="2714" spans="1:6" x14ac:dyDescent="0.3">
      <c r="A2714" s="20">
        <v>45790</v>
      </c>
      <c r="B2714">
        <v>14</v>
      </c>
      <c r="C2714" t="s">
        <v>71</v>
      </c>
      <c r="D2714">
        <v>21785</v>
      </c>
      <c r="E2714">
        <v>2167</v>
      </c>
      <c r="F2714" t="s">
        <v>164</v>
      </c>
    </row>
    <row r="2715" spans="1:6" x14ac:dyDescent="0.3">
      <c r="A2715" s="20">
        <v>45790</v>
      </c>
      <c r="B2715">
        <v>14</v>
      </c>
      <c r="C2715" t="s">
        <v>233</v>
      </c>
      <c r="D2715">
        <v>3893</v>
      </c>
      <c r="E2715">
        <v>516</v>
      </c>
      <c r="F2715" t="s">
        <v>85</v>
      </c>
    </row>
    <row r="2716" spans="1:6" x14ac:dyDescent="0.3">
      <c r="A2716" s="20">
        <v>45790</v>
      </c>
      <c r="B2716">
        <v>14</v>
      </c>
      <c r="C2716" t="s">
        <v>238</v>
      </c>
      <c r="D2716">
        <v>2330</v>
      </c>
      <c r="E2716">
        <v>135</v>
      </c>
      <c r="F2716" t="s">
        <v>44</v>
      </c>
    </row>
    <row r="2717" spans="1:6" x14ac:dyDescent="0.3">
      <c r="A2717" s="20">
        <v>45790</v>
      </c>
      <c r="B2717">
        <v>14</v>
      </c>
      <c r="C2717" t="s">
        <v>250</v>
      </c>
      <c r="D2717">
        <v>6365</v>
      </c>
      <c r="E2717">
        <v>2103</v>
      </c>
      <c r="F2717" t="s">
        <v>252</v>
      </c>
    </row>
    <row r="2718" spans="1:6" x14ac:dyDescent="0.3">
      <c r="A2718" s="20">
        <v>45790</v>
      </c>
      <c r="B2718">
        <v>14</v>
      </c>
      <c r="C2718" t="s">
        <v>160</v>
      </c>
      <c r="D2718">
        <v>39</v>
      </c>
      <c r="E2718">
        <v>9</v>
      </c>
      <c r="F2718" t="s">
        <v>138</v>
      </c>
    </row>
    <row r="2719" spans="1:6" x14ac:dyDescent="0.3">
      <c r="A2719" s="20">
        <v>45790</v>
      </c>
      <c r="B2719">
        <v>14</v>
      </c>
      <c r="C2719" t="s">
        <v>55</v>
      </c>
      <c r="D2719">
        <v>94373</v>
      </c>
      <c r="E2719">
        <v>6968</v>
      </c>
      <c r="F2719" t="s">
        <v>38</v>
      </c>
    </row>
    <row r="2720" spans="1:6" x14ac:dyDescent="0.3">
      <c r="A2720" s="20">
        <v>45790</v>
      </c>
      <c r="B2720">
        <v>14</v>
      </c>
      <c r="C2720" t="s">
        <v>253</v>
      </c>
      <c r="D2720">
        <v>1060</v>
      </c>
      <c r="E2720">
        <v>204</v>
      </c>
      <c r="F2720" t="s">
        <v>47</v>
      </c>
    </row>
    <row r="2721" spans="1:6" x14ac:dyDescent="0.3">
      <c r="A2721" s="20">
        <v>45790</v>
      </c>
      <c r="B2721">
        <v>15</v>
      </c>
      <c r="C2721" t="s">
        <v>73</v>
      </c>
      <c r="D2721">
        <v>0</v>
      </c>
      <c r="E2721">
        <v>0</v>
      </c>
      <c r="F2721" t="s">
        <v>234</v>
      </c>
    </row>
    <row r="2722" spans="1:6" x14ac:dyDescent="0.3">
      <c r="A2722" s="20">
        <v>45790</v>
      </c>
      <c r="B2722">
        <v>15</v>
      </c>
      <c r="C2722" t="s">
        <v>73</v>
      </c>
      <c r="D2722">
        <v>0</v>
      </c>
      <c r="E2722">
        <v>0</v>
      </c>
      <c r="F2722" t="s">
        <v>45</v>
      </c>
    </row>
    <row r="2723" spans="1:6" x14ac:dyDescent="0.3">
      <c r="A2723" s="20">
        <v>45790</v>
      </c>
      <c r="B2723">
        <v>15</v>
      </c>
      <c r="C2723" t="s">
        <v>73</v>
      </c>
      <c r="D2723">
        <v>0</v>
      </c>
      <c r="E2723">
        <v>0</v>
      </c>
      <c r="F2723" t="s">
        <v>161</v>
      </c>
    </row>
    <row r="2724" spans="1:6" x14ac:dyDescent="0.3">
      <c r="A2724" s="20">
        <v>45790</v>
      </c>
      <c r="B2724">
        <v>15</v>
      </c>
      <c r="C2724" t="s">
        <v>156</v>
      </c>
      <c r="D2724">
        <v>13564</v>
      </c>
      <c r="E2724">
        <v>1871</v>
      </c>
      <c r="F2724" t="s">
        <v>75</v>
      </c>
    </row>
    <row r="2725" spans="1:6" x14ac:dyDescent="0.3">
      <c r="A2725" s="20">
        <v>45790</v>
      </c>
      <c r="B2725">
        <v>15</v>
      </c>
      <c r="C2725" t="s">
        <v>228</v>
      </c>
      <c r="D2725">
        <v>115</v>
      </c>
      <c r="E2725">
        <v>19</v>
      </c>
      <c r="F2725" t="s">
        <v>72</v>
      </c>
    </row>
    <row r="2726" spans="1:6" x14ac:dyDescent="0.3">
      <c r="A2726" s="20">
        <v>45790</v>
      </c>
      <c r="B2726">
        <v>15</v>
      </c>
      <c r="C2726" t="s">
        <v>41</v>
      </c>
      <c r="D2726">
        <v>3352</v>
      </c>
      <c r="E2726">
        <v>164</v>
      </c>
      <c r="F2726" t="s">
        <v>31</v>
      </c>
    </row>
    <row r="2727" spans="1:6" x14ac:dyDescent="0.3">
      <c r="A2727" s="20">
        <v>45790</v>
      </c>
      <c r="B2727">
        <v>15</v>
      </c>
      <c r="C2727" t="s">
        <v>54</v>
      </c>
      <c r="D2727">
        <v>152</v>
      </c>
      <c r="E2727">
        <v>27</v>
      </c>
      <c r="F2727" t="s">
        <v>31</v>
      </c>
    </row>
    <row r="2728" spans="1:6" x14ac:dyDescent="0.3">
      <c r="A2728" s="20">
        <v>45790</v>
      </c>
      <c r="B2728">
        <v>15</v>
      </c>
      <c r="C2728" t="s">
        <v>243</v>
      </c>
      <c r="D2728">
        <v>15249</v>
      </c>
      <c r="E2728">
        <v>1500</v>
      </c>
      <c r="F2728" t="s">
        <v>31</v>
      </c>
    </row>
    <row r="2729" spans="1:6" x14ac:dyDescent="0.3">
      <c r="A2729" s="20">
        <v>45790</v>
      </c>
      <c r="B2729">
        <v>15</v>
      </c>
      <c r="C2729" t="s">
        <v>264</v>
      </c>
      <c r="D2729">
        <v>332</v>
      </c>
      <c r="E2729">
        <v>53</v>
      </c>
      <c r="F2729" t="s">
        <v>31</v>
      </c>
    </row>
    <row r="2730" spans="1:6" x14ac:dyDescent="0.3">
      <c r="A2730" s="20">
        <v>45790</v>
      </c>
      <c r="B2730">
        <v>15</v>
      </c>
      <c r="C2730" t="s">
        <v>250</v>
      </c>
      <c r="D2730">
        <v>168</v>
      </c>
      <c r="E2730">
        <v>43</v>
      </c>
      <c r="F2730" t="s">
        <v>34</v>
      </c>
    </row>
    <row r="2731" spans="1:6" x14ac:dyDescent="0.3">
      <c r="A2731" s="20">
        <v>45790</v>
      </c>
      <c r="B2731">
        <v>15</v>
      </c>
      <c r="C2731" t="s">
        <v>250</v>
      </c>
      <c r="D2731">
        <v>856</v>
      </c>
      <c r="E2731">
        <v>105</v>
      </c>
      <c r="F2731" t="s">
        <v>75</v>
      </c>
    </row>
    <row r="2732" spans="1:6" x14ac:dyDescent="0.3">
      <c r="A2732" s="20">
        <v>45790</v>
      </c>
      <c r="B2732">
        <v>15</v>
      </c>
      <c r="C2732" t="s">
        <v>160</v>
      </c>
      <c r="D2732">
        <v>4179</v>
      </c>
      <c r="E2732">
        <v>674</v>
      </c>
      <c r="F2732" t="s">
        <v>229</v>
      </c>
    </row>
    <row r="2733" spans="1:6" x14ac:dyDescent="0.3">
      <c r="A2733" s="20">
        <v>45790</v>
      </c>
      <c r="B2733">
        <v>15</v>
      </c>
      <c r="C2733" t="s">
        <v>251</v>
      </c>
      <c r="D2733">
        <v>8132</v>
      </c>
      <c r="E2733">
        <v>767</v>
      </c>
      <c r="F2733" t="s">
        <v>44</v>
      </c>
    </row>
    <row r="2734" spans="1:6" x14ac:dyDescent="0.3">
      <c r="A2734" s="20">
        <v>45790</v>
      </c>
      <c r="B2734">
        <v>15</v>
      </c>
      <c r="C2734" t="s">
        <v>235</v>
      </c>
      <c r="D2734">
        <v>1068</v>
      </c>
      <c r="E2734">
        <v>126</v>
      </c>
      <c r="F2734" t="s">
        <v>75</v>
      </c>
    </row>
    <row r="2735" spans="1:6" x14ac:dyDescent="0.3">
      <c r="A2735" s="20">
        <v>45790</v>
      </c>
      <c r="B2735">
        <v>16</v>
      </c>
      <c r="C2735" t="s">
        <v>73</v>
      </c>
      <c r="D2735">
        <v>0</v>
      </c>
      <c r="E2735">
        <v>0</v>
      </c>
      <c r="F2735" t="s">
        <v>163</v>
      </c>
    </row>
    <row r="2736" spans="1:6" x14ac:dyDescent="0.3">
      <c r="A2736" s="20">
        <v>45790</v>
      </c>
      <c r="B2736">
        <v>16</v>
      </c>
      <c r="C2736" t="s">
        <v>228</v>
      </c>
      <c r="D2736">
        <v>12226</v>
      </c>
      <c r="E2736">
        <v>1865</v>
      </c>
      <c r="F2736" t="s">
        <v>45</v>
      </c>
    </row>
    <row r="2737" spans="1:6" x14ac:dyDescent="0.3">
      <c r="A2737" s="20">
        <v>45790</v>
      </c>
      <c r="B2737">
        <v>16</v>
      </c>
      <c r="C2737" t="s">
        <v>249</v>
      </c>
      <c r="D2737">
        <v>8655</v>
      </c>
      <c r="E2737">
        <v>324</v>
      </c>
      <c r="F2737" t="s">
        <v>31</v>
      </c>
    </row>
    <row r="2738" spans="1:6" x14ac:dyDescent="0.3">
      <c r="A2738" s="20">
        <v>45790</v>
      </c>
      <c r="B2738">
        <v>16</v>
      </c>
      <c r="C2738" t="s">
        <v>239</v>
      </c>
      <c r="D2738">
        <v>76613</v>
      </c>
      <c r="E2738">
        <v>5815</v>
      </c>
      <c r="F2738" t="s">
        <v>31</v>
      </c>
    </row>
    <row r="2739" spans="1:6" x14ac:dyDescent="0.3">
      <c r="A2739" s="20">
        <v>45790</v>
      </c>
      <c r="B2739">
        <v>16</v>
      </c>
      <c r="C2739" t="s">
        <v>244</v>
      </c>
      <c r="D2739">
        <v>39168</v>
      </c>
      <c r="E2739">
        <v>4100</v>
      </c>
      <c r="F2739" t="s">
        <v>31</v>
      </c>
    </row>
    <row r="2740" spans="1:6" x14ac:dyDescent="0.3">
      <c r="A2740" s="20">
        <v>45790</v>
      </c>
      <c r="B2740">
        <v>16</v>
      </c>
      <c r="C2740" t="s">
        <v>152</v>
      </c>
      <c r="D2740">
        <v>4600</v>
      </c>
      <c r="E2740">
        <v>488</v>
      </c>
      <c r="F2740" t="s">
        <v>138</v>
      </c>
    </row>
    <row r="2741" spans="1:6" x14ac:dyDescent="0.3">
      <c r="A2741" s="20">
        <v>45790</v>
      </c>
      <c r="B2741">
        <v>16</v>
      </c>
      <c r="C2741" t="s">
        <v>261</v>
      </c>
      <c r="D2741">
        <v>18998</v>
      </c>
      <c r="E2741">
        <v>1305</v>
      </c>
      <c r="F2741" t="s">
        <v>31</v>
      </c>
    </row>
    <row r="2742" spans="1:6" x14ac:dyDescent="0.3">
      <c r="A2742" s="20">
        <v>45790</v>
      </c>
      <c r="B2742">
        <v>16</v>
      </c>
      <c r="C2742" t="s">
        <v>255</v>
      </c>
      <c r="D2742">
        <v>12192</v>
      </c>
      <c r="E2742">
        <v>1669</v>
      </c>
      <c r="F2742" t="s">
        <v>39</v>
      </c>
    </row>
    <row r="2743" spans="1:6" x14ac:dyDescent="0.3">
      <c r="A2743" s="20">
        <v>45790</v>
      </c>
      <c r="B2743">
        <v>16</v>
      </c>
      <c r="C2743" t="s">
        <v>256</v>
      </c>
      <c r="D2743">
        <v>21378</v>
      </c>
      <c r="E2743">
        <v>141</v>
      </c>
      <c r="F2743" t="s">
        <v>163</v>
      </c>
    </row>
    <row r="2744" spans="1:6" x14ac:dyDescent="0.3">
      <c r="A2744" s="20">
        <v>45790</v>
      </c>
      <c r="B2744">
        <v>16</v>
      </c>
      <c r="C2744" t="s">
        <v>262</v>
      </c>
      <c r="D2744">
        <v>18725</v>
      </c>
      <c r="E2744">
        <v>460</v>
      </c>
      <c r="F2744" t="s">
        <v>86</v>
      </c>
    </row>
    <row r="2745" spans="1:6" x14ac:dyDescent="0.3">
      <c r="A2745" s="20">
        <v>45790</v>
      </c>
      <c r="B2745">
        <v>16</v>
      </c>
      <c r="C2745" t="s">
        <v>250</v>
      </c>
      <c r="D2745">
        <v>373</v>
      </c>
      <c r="E2745">
        <v>106</v>
      </c>
      <c r="F2745" t="s">
        <v>257</v>
      </c>
    </row>
    <row r="2746" spans="1:6" x14ac:dyDescent="0.3">
      <c r="A2746" s="20">
        <v>45790</v>
      </c>
      <c r="B2746">
        <v>16</v>
      </c>
      <c r="C2746" t="s">
        <v>160</v>
      </c>
      <c r="D2746">
        <v>338</v>
      </c>
      <c r="E2746">
        <v>48</v>
      </c>
      <c r="F2746" t="s">
        <v>47</v>
      </c>
    </row>
    <row r="2747" spans="1:6" x14ac:dyDescent="0.3">
      <c r="A2747" s="20">
        <v>45790</v>
      </c>
      <c r="B2747">
        <v>16</v>
      </c>
      <c r="C2747" t="s">
        <v>160</v>
      </c>
      <c r="D2747">
        <v>1053</v>
      </c>
      <c r="E2747">
        <v>205</v>
      </c>
      <c r="F2747" t="s">
        <v>39</v>
      </c>
    </row>
    <row r="2748" spans="1:6" x14ac:dyDescent="0.3">
      <c r="A2748" s="20">
        <v>45790</v>
      </c>
      <c r="B2748">
        <v>16</v>
      </c>
      <c r="C2748" t="s">
        <v>160</v>
      </c>
      <c r="D2748">
        <v>448</v>
      </c>
      <c r="E2748">
        <v>86</v>
      </c>
      <c r="F2748" t="s">
        <v>74</v>
      </c>
    </row>
    <row r="2749" spans="1:6" x14ac:dyDescent="0.3">
      <c r="A2749" s="20">
        <v>45790</v>
      </c>
      <c r="B2749">
        <v>16</v>
      </c>
      <c r="C2749" t="s">
        <v>160</v>
      </c>
      <c r="D2749">
        <v>3940</v>
      </c>
      <c r="E2749">
        <v>743</v>
      </c>
      <c r="F2749" t="s">
        <v>231</v>
      </c>
    </row>
    <row r="2750" spans="1:6" x14ac:dyDescent="0.3">
      <c r="A2750" s="20">
        <v>45790</v>
      </c>
      <c r="B2750">
        <v>16</v>
      </c>
      <c r="C2750" t="s">
        <v>160</v>
      </c>
      <c r="D2750">
        <v>9122</v>
      </c>
      <c r="E2750">
        <v>2077</v>
      </c>
      <c r="F2750" t="s">
        <v>43</v>
      </c>
    </row>
    <row r="2751" spans="1:6" x14ac:dyDescent="0.3">
      <c r="A2751" s="20">
        <v>45790</v>
      </c>
      <c r="B2751">
        <v>16</v>
      </c>
      <c r="C2751" t="s">
        <v>235</v>
      </c>
      <c r="D2751">
        <v>9041</v>
      </c>
      <c r="E2751">
        <v>856</v>
      </c>
      <c r="F2751" t="s">
        <v>234</v>
      </c>
    </row>
    <row r="2752" spans="1:6" x14ac:dyDescent="0.3">
      <c r="A2752" s="20">
        <v>45790</v>
      </c>
      <c r="B2752">
        <v>16</v>
      </c>
      <c r="C2752" t="s">
        <v>235</v>
      </c>
      <c r="D2752">
        <v>807</v>
      </c>
      <c r="E2752">
        <v>139</v>
      </c>
      <c r="F2752" t="s">
        <v>161</v>
      </c>
    </row>
    <row r="2753" spans="1:6" x14ac:dyDescent="0.3">
      <c r="A2753" s="20">
        <v>45790</v>
      </c>
      <c r="B2753">
        <v>17</v>
      </c>
      <c r="C2753" t="s">
        <v>73</v>
      </c>
      <c r="D2753">
        <v>0</v>
      </c>
      <c r="E2753">
        <v>0</v>
      </c>
      <c r="F2753" t="s">
        <v>46</v>
      </c>
    </row>
    <row r="2754" spans="1:6" x14ac:dyDescent="0.3">
      <c r="A2754" s="20">
        <v>45790</v>
      </c>
      <c r="B2754">
        <v>17</v>
      </c>
      <c r="C2754" t="s">
        <v>73</v>
      </c>
      <c r="D2754">
        <v>0</v>
      </c>
      <c r="E2754">
        <v>0</v>
      </c>
      <c r="F2754" t="s">
        <v>75</v>
      </c>
    </row>
    <row r="2755" spans="1:6" x14ac:dyDescent="0.3">
      <c r="A2755" s="20">
        <v>45790</v>
      </c>
      <c r="B2755">
        <v>17</v>
      </c>
      <c r="C2755" t="s">
        <v>228</v>
      </c>
      <c r="D2755">
        <v>447</v>
      </c>
      <c r="E2755">
        <v>54</v>
      </c>
      <c r="F2755" t="s">
        <v>43</v>
      </c>
    </row>
    <row r="2756" spans="1:6" x14ac:dyDescent="0.3">
      <c r="A2756" s="20">
        <v>45790</v>
      </c>
      <c r="B2756">
        <v>17</v>
      </c>
      <c r="C2756" t="s">
        <v>230</v>
      </c>
      <c r="D2756">
        <v>35368</v>
      </c>
      <c r="E2756">
        <v>2486</v>
      </c>
      <c r="F2756" t="s">
        <v>31</v>
      </c>
    </row>
    <row r="2757" spans="1:6" x14ac:dyDescent="0.3">
      <c r="A2757" s="20">
        <v>45790</v>
      </c>
      <c r="B2757">
        <v>17</v>
      </c>
      <c r="C2757" t="s">
        <v>158</v>
      </c>
      <c r="D2757">
        <v>11160</v>
      </c>
      <c r="E2757">
        <v>378</v>
      </c>
      <c r="F2757" t="s">
        <v>42</v>
      </c>
    </row>
    <row r="2758" spans="1:6" x14ac:dyDescent="0.3">
      <c r="A2758" s="20">
        <v>45790</v>
      </c>
      <c r="B2758">
        <v>17</v>
      </c>
      <c r="C2758" t="s">
        <v>48</v>
      </c>
      <c r="D2758">
        <v>57730</v>
      </c>
      <c r="E2758">
        <v>2921</v>
      </c>
      <c r="F2758" t="s">
        <v>31</v>
      </c>
    </row>
    <row r="2759" spans="1:6" x14ac:dyDescent="0.3">
      <c r="A2759" s="20">
        <v>45790</v>
      </c>
      <c r="B2759">
        <v>17</v>
      </c>
      <c r="C2759" t="s">
        <v>71</v>
      </c>
      <c r="D2759">
        <v>3289</v>
      </c>
      <c r="E2759">
        <v>349</v>
      </c>
      <c r="F2759" t="s">
        <v>32</v>
      </c>
    </row>
    <row r="2760" spans="1:6" x14ac:dyDescent="0.3">
      <c r="A2760" s="20">
        <v>45790</v>
      </c>
      <c r="B2760">
        <v>17</v>
      </c>
      <c r="C2760" t="s">
        <v>71</v>
      </c>
      <c r="D2760">
        <v>14447</v>
      </c>
      <c r="E2760">
        <v>1839</v>
      </c>
      <c r="F2760" t="s">
        <v>164</v>
      </c>
    </row>
    <row r="2761" spans="1:6" x14ac:dyDescent="0.3">
      <c r="A2761" s="20">
        <v>45790</v>
      </c>
      <c r="B2761">
        <v>17</v>
      </c>
      <c r="C2761" t="s">
        <v>233</v>
      </c>
      <c r="D2761">
        <v>3161</v>
      </c>
      <c r="E2761">
        <v>467</v>
      </c>
      <c r="F2761" t="s">
        <v>85</v>
      </c>
    </row>
    <row r="2762" spans="1:6" x14ac:dyDescent="0.3">
      <c r="A2762" s="20">
        <v>45790</v>
      </c>
      <c r="B2762">
        <v>17</v>
      </c>
      <c r="C2762" t="s">
        <v>238</v>
      </c>
      <c r="D2762">
        <v>8046</v>
      </c>
      <c r="E2762">
        <v>1018</v>
      </c>
      <c r="F2762" t="s">
        <v>229</v>
      </c>
    </row>
    <row r="2763" spans="1:6" x14ac:dyDescent="0.3">
      <c r="A2763" s="20">
        <v>45790</v>
      </c>
      <c r="B2763">
        <v>17</v>
      </c>
      <c r="C2763" t="s">
        <v>160</v>
      </c>
      <c r="D2763">
        <v>32</v>
      </c>
      <c r="E2763">
        <v>12</v>
      </c>
      <c r="F2763" t="s">
        <v>138</v>
      </c>
    </row>
    <row r="2764" spans="1:6" x14ac:dyDescent="0.3">
      <c r="A2764" s="20">
        <v>45790</v>
      </c>
      <c r="B2764">
        <v>17</v>
      </c>
      <c r="C2764" t="s">
        <v>55</v>
      </c>
      <c r="D2764">
        <v>98306</v>
      </c>
      <c r="E2764">
        <v>6294</v>
      </c>
      <c r="F2764" t="s">
        <v>38</v>
      </c>
    </row>
    <row r="2765" spans="1:6" x14ac:dyDescent="0.3">
      <c r="A2765" s="20">
        <v>45790</v>
      </c>
      <c r="B2765">
        <v>17</v>
      </c>
      <c r="C2765" t="s">
        <v>253</v>
      </c>
      <c r="D2765">
        <v>1045</v>
      </c>
      <c r="E2765">
        <v>252</v>
      </c>
      <c r="F2765" t="s">
        <v>47</v>
      </c>
    </row>
    <row r="2766" spans="1:6" x14ac:dyDescent="0.3">
      <c r="A2766" s="20">
        <v>45790</v>
      </c>
      <c r="B2766">
        <v>18</v>
      </c>
      <c r="C2766" t="s">
        <v>73</v>
      </c>
      <c r="D2766">
        <v>0</v>
      </c>
      <c r="E2766">
        <v>0</v>
      </c>
      <c r="F2766" t="s">
        <v>234</v>
      </c>
    </row>
    <row r="2767" spans="1:6" x14ac:dyDescent="0.3">
      <c r="A2767" s="20">
        <v>45790</v>
      </c>
      <c r="B2767">
        <v>18</v>
      </c>
      <c r="C2767" t="s">
        <v>73</v>
      </c>
      <c r="D2767">
        <v>0</v>
      </c>
      <c r="E2767">
        <v>0</v>
      </c>
      <c r="F2767" t="s">
        <v>45</v>
      </c>
    </row>
    <row r="2768" spans="1:6" x14ac:dyDescent="0.3">
      <c r="A2768" s="20">
        <v>45790</v>
      </c>
      <c r="B2768">
        <v>18</v>
      </c>
      <c r="C2768" t="s">
        <v>73</v>
      </c>
      <c r="D2768">
        <v>0</v>
      </c>
      <c r="E2768">
        <v>0</v>
      </c>
      <c r="F2768" t="s">
        <v>161</v>
      </c>
    </row>
    <row r="2769" spans="1:6" x14ac:dyDescent="0.3">
      <c r="A2769" s="20">
        <v>45790</v>
      </c>
      <c r="B2769">
        <v>18</v>
      </c>
      <c r="C2769" t="s">
        <v>73</v>
      </c>
      <c r="D2769">
        <v>0</v>
      </c>
      <c r="E2769">
        <v>0</v>
      </c>
      <c r="F2769" t="s">
        <v>72</v>
      </c>
    </row>
    <row r="2770" spans="1:6" x14ac:dyDescent="0.3">
      <c r="A2770" s="20">
        <v>45790</v>
      </c>
      <c r="B2770">
        <v>18</v>
      </c>
      <c r="C2770" t="s">
        <v>156</v>
      </c>
      <c r="D2770">
        <v>6360</v>
      </c>
      <c r="E2770">
        <v>1273</v>
      </c>
      <c r="F2770" t="s">
        <v>75</v>
      </c>
    </row>
    <row r="2771" spans="1:6" x14ac:dyDescent="0.3">
      <c r="A2771" s="20">
        <v>45790</v>
      </c>
      <c r="B2771">
        <v>18</v>
      </c>
      <c r="C2771" t="s">
        <v>263</v>
      </c>
      <c r="D2771">
        <v>6382</v>
      </c>
      <c r="E2771">
        <v>309</v>
      </c>
      <c r="F2771" t="s">
        <v>229</v>
      </c>
    </row>
    <row r="2772" spans="1:6" x14ac:dyDescent="0.3">
      <c r="A2772" s="20">
        <v>45790</v>
      </c>
      <c r="B2772">
        <v>18</v>
      </c>
      <c r="C2772" t="s">
        <v>67</v>
      </c>
      <c r="D2772">
        <v>28807</v>
      </c>
      <c r="E2772">
        <v>1009</v>
      </c>
      <c r="F2772" t="s">
        <v>31</v>
      </c>
    </row>
    <row r="2773" spans="1:6" x14ac:dyDescent="0.3">
      <c r="A2773" s="20">
        <v>45790</v>
      </c>
      <c r="B2773">
        <v>18</v>
      </c>
      <c r="C2773" t="s">
        <v>41</v>
      </c>
      <c r="D2773">
        <v>1784</v>
      </c>
      <c r="E2773">
        <v>121</v>
      </c>
      <c r="F2773" t="s">
        <v>31</v>
      </c>
    </row>
    <row r="2774" spans="1:6" x14ac:dyDescent="0.3">
      <c r="A2774" s="20">
        <v>45790</v>
      </c>
      <c r="B2774">
        <v>18</v>
      </c>
      <c r="C2774" t="s">
        <v>232</v>
      </c>
      <c r="D2774">
        <v>2741</v>
      </c>
      <c r="E2774">
        <v>206</v>
      </c>
      <c r="F2774" t="s">
        <v>74</v>
      </c>
    </row>
    <row r="2775" spans="1:6" x14ac:dyDescent="0.3">
      <c r="A2775" s="20">
        <v>45790</v>
      </c>
      <c r="B2775">
        <v>18</v>
      </c>
      <c r="C2775" t="s">
        <v>232</v>
      </c>
      <c r="D2775">
        <v>18375</v>
      </c>
      <c r="E2775">
        <v>2607</v>
      </c>
      <c r="F2775" t="s">
        <v>229</v>
      </c>
    </row>
    <row r="2776" spans="1:6" x14ac:dyDescent="0.3">
      <c r="A2776" s="20">
        <v>45790</v>
      </c>
      <c r="B2776">
        <v>18</v>
      </c>
      <c r="C2776" t="s">
        <v>238</v>
      </c>
      <c r="D2776">
        <v>6372</v>
      </c>
      <c r="E2776">
        <v>629</v>
      </c>
      <c r="F2776" t="s">
        <v>47</v>
      </c>
    </row>
    <row r="2777" spans="1:6" x14ac:dyDescent="0.3">
      <c r="A2777" s="20">
        <v>45790</v>
      </c>
      <c r="B2777">
        <v>18</v>
      </c>
      <c r="C2777" t="s">
        <v>255</v>
      </c>
      <c r="D2777">
        <v>7119</v>
      </c>
      <c r="E2777">
        <v>1179</v>
      </c>
      <c r="F2777" t="s">
        <v>74</v>
      </c>
    </row>
    <row r="2778" spans="1:6" x14ac:dyDescent="0.3">
      <c r="A2778" s="20">
        <v>45790</v>
      </c>
      <c r="B2778">
        <v>18</v>
      </c>
      <c r="C2778" t="s">
        <v>250</v>
      </c>
      <c r="D2778">
        <v>133</v>
      </c>
      <c r="E2778">
        <v>33</v>
      </c>
      <c r="F2778" t="s">
        <v>34</v>
      </c>
    </row>
    <row r="2779" spans="1:6" x14ac:dyDescent="0.3">
      <c r="A2779" s="20">
        <v>45790</v>
      </c>
      <c r="B2779">
        <v>18</v>
      </c>
      <c r="C2779" t="s">
        <v>250</v>
      </c>
      <c r="D2779">
        <v>192</v>
      </c>
      <c r="E2779">
        <v>47</v>
      </c>
      <c r="F2779" t="s">
        <v>75</v>
      </c>
    </row>
    <row r="2780" spans="1:6" x14ac:dyDescent="0.3">
      <c r="A2780" s="20">
        <v>45790</v>
      </c>
      <c r="B2780">
        <v>18</v>
      </c>
      <c r="C2780" t="s">
        <v>251</v>
      </c>
      <c r="D2780">
        <v>467</v>
      </c>
      <c r="E2780">
        <v>31</v>
      </c>
      <c r="F2780" t="s">
        <v>44</v>
      </c>
    </row>
    <row r="2781" spans="1:6" x14ac:dyDescent="0.3">
      <c r="A2781" s="20">
        <v>45790</v>
      </c>
      <c r="B2781">
        <v>18</v>
      </c>
      <c r="C2781" t="s">
        <v>235</v>
      </c>
      <c r="D2781">
        <v>1003</v>
      </c>
      <c r="E2781">
        <v>144</v>
      </c>
      <c r="F2781" t="s">
        <v>75</v>
      </c>
    </row>
    <row r="2782" spans="1:6" x14ac:dyDescent="0.3">
      <c r="A2782" s="20">
        <v>45790</v>
      </c>
      <c r="B2782">
        <v>19</v>
      </c>
      <c r="C2782" t="s">
        <v>73</v>
      </c>
      <c r="D2782">
        <v>0</v>
      </c>
      <c r="E2782">
        <v>0</v>
      </c>
      <c r="F2782" t="s">
        <v>163</v>
      </c>
    </row>
    <row r="2783" spans="1:6" x14ac:dyDescent="0.3">
      <c r="A2783" s="20">
        <v>45790</v>
      </c>
      <c r="B2783">
        <v>19</v>
      </c>
      <c r="C2783" t="s">
        <v>228</v>
      </c>
      <c r="D2783">
        <v>6613</v>
      </c>
      <c r="E2783">
        <v>1183</v>
      </c>
      <c r="F2783" t="s">
        <v>45</v>
      </c>
    </row>
    <row r="2784" spans="1:6" x14ac:dyDescent="0.3">
      <c r="A2784" s="20">
        <v>45790</v>
      </c>
      <c r="B2784">
        <v>19</v>
      </c>
      <c r="C2784" t="s">
        <v>239</v>
      </c>
      <c r="D2784">
        <v>68681</v>
      </c>
      <c r="E2784">
        <v>3827</v>
      </c>
      <c r="F2784" t="s">
        <v>31</v>
      </c>
    </row>
    <row r="2785" spans="1:6" x14ac:dyDescent="0.3">
      <c r="A2785" s="20">
        <v>45790</v>
      </c>
      <c r="B2785">
        <v>19</v>
      </c>
      <c r="C2785" t="s">
        <v>244</v>
      </c>
      <c r="D2785">
        <v>21585</v>
      </c>
      <c r="E2785">
        <v>1788</v>
      </c>
      <c r="F2785" t="s">
        <v>31</v>
      </c>
    </row>
    <row r="2786" spans="1:6" x14ac:dyDescent="0.3">
      <c r="A2786" s="20">
        <v>45790</v>
      </c>
      <c r="B2786">
        <v>19</v>
      </c>
      <c r="C2786" t="s">
        <v>36</v>
      </c>
      <c r="D2786">
        <v>15</v>
      </c>
      <c r="E2786">
        <v>0</v>
      </c>
      <c r="F2786" t="s">
        <v>31</v>
      </c>
    </row>
    <row r="2787" spans="1:6" x14ac:dyDescent="0.3">
      <c r="A2787" s="20">
        <v>45790</v>
      </c>
      <c r="B2787">
        <v>19</v>
      </c>
      <c r="C2787" t="s">
        <v>255</v>
      </c>
      <c r="D2787">
        <v>11545</v>
      </c>
      <c r="E2787">
        <v>1418</v>
      </c>
      <c r="F2787" t="s">
        <v>39</v>
      </c>
    </row>
    <row r="2788" spans="1:6" x14ac:dyDescent="0.3">
      <c r="A2788" s="20">
        <v>45790</v>
      </c>
      <c r="B2788">
        <v>19</v>
      </c>
      <c r="C2788" t="s">
        <v>256</v>
      </c>
      <c r="D2788">
        <v>13815</v>
      </c>
      <c r="E2788">
        <v>134</v>
      </c>
      <c r="F2788" t="s">
        <v>163</v>
      </c>
    </row>
    <row r="2789" spans="1:6" x14ac:dyDescent="0.3">
      <c r="A2789" s="20">
        <v>45790</v>
      </c>
      <c r="B2789">
        <v>19</v>
      </c>
      <c r="C2789" t="s">
        <v>250</v>
      </c>
      <c r="D2789">
        <v>2</v>
      </c>
      <c r="E2789">
        <v>0</v>
      </c>
      <c r="F2789" t="s">
        <v>257</v>
      </c>
    </row>
    <row r="2790" spans="1:6" x14ac:dyDescent="0.3">
      <c r="A2790" s="20">
        <v>45790</v>
      </c>
      <c r="B2790">
        <v>19</v>
      </c>
      <c r="C2790" t="s">
        <v>160</v>
      </c>
      <c r="D2790">
        <v>323</v>
      </c>
      <c r="E2790">
        <v>33</v>
      </c>
      <c r="F2790" t="s">
        <v>47</v>
      </c>
    </row>
    <row r="2791" spans="1:6" x14ac:dyDescent="0.3">
      <c r="A2791" s="20">
        <v>45790</v>
      </c>
      <c r="B2791">
        <v>19</v>
      </c>
      <c r="C2791" t="s">
        <v>160</v>
      </c>
      <c r="D2791">
        <v>307</v>
      </c>
      <c r="E2791">
        <v>55</v>
      </c>
      <c r="F2791" t="s">
        <v>74</v>
      </c>
    </row>
    <row r="2792" spans="1:6" x14ac:dyDescent="0.3">
      <c r="A2792" s="20">
        <v>45790</v>
      </c>
      <c r="B2792">
        <v>19</v>
      </c>
      <c r="C2792" t="s">
        <v>160</v>
      </c>
      <c r="D2792">
        <v>2868</v>
      </c>
      <c r="E2792">
        <v>433</v>
      </c>
      <c r="F2792" t="s">
        <v>231</v>
      </c>
    </row>
    <row r="2793" spans="1:6" x14ac:dyDescent="0.3">
      <c r="A2793" s="20">
        <v>45790</v>
      </c>
      <c r="B2793">
        <v>19</v>
      </c>
      <c r="C2793" t="s">
        <v>124</v>
      </c>
      <c r="D2793">
        <v>73769</v>
      </c>
      <c r="E2793">
        <v>3387</v>
      </c>
      <c r="F2793" t="s">
        <v>38</v>
      </c>
    </row>
    <row r="2794" spans="1:6" x14ac:dyDescent="0.3">
      <c r="A2794" s="20">
        <v>45790</v>
      </c>
      <c r="B2794">
        <v>19</v>
      </c>
      <c r="C2794" t="s">
        <v>235</v>
      </c>
      <c r="D2794">
        <v>7324</v>
      </c>
      <c r="E2794">
        <v>637</v>
      </c>
      <c r="F2794" t="s">
        <v>234</v>
      </c>
    </row>
    <row r="2795" spans="1:6" x14ac:dyDescent="0.3">
      <c r="A2795" s="20">
        <v>45790</v>
      </c>
      <c r="B2795">
        <v>19</v>
      </c>
      <c r="C2795" t="s">
        <v>235</v>
      </c>
      <c r="D2795">
        <v>407</v>
      </c>
      <c r="E2795">
        <v>59</v>
      </c>
      <c r="F2795" t="s">
        <v>161</v>
      </c>
    </row>
    <row r="2796" spans="1:6" x14ac:dyDescent="0.3">
      <c r="A2796" s="20">
        <v>45790</v>
      </c>
      <c r="B2796">
        <v>20</v>
      </c>
      <c r="C2796" t="s">
        <v>73</v>
      </c>
      <c r="D2796">
        <v>0</v>
      </c>
      <c r="E2796">
        <v>0</v>
      </c>
      <c r="F2796" t="s">
        <v>75</v>
      </c>
    </row>
    <row r="2797" spans="1:6" x14ac:dyDescent="0.3">
      <c r="A2797" s="20">
        <v>45790</v>
      </c>
      <c r="B2797">
        <v>20</v>
      </c>
      <c r="C2797" t="s">
        <v>228</v>
      </c>
      <c r="D2797">
        <v>1</v>
      </c>
      <c r="E2797">
        <v>0</v>
      </c>
      <c r="F2797" t="s">
        <v>43</v>
      </c>
    </row>
    <row r="2798" spans="1:6" x14ac:dyDescent="0.3">
      <c r="A2798" s="20">
        <v>45790</v>
      </c>
      <c r="B2798">
        <v>20</v>
      </c>
      <c r="C2798" t="s">
        <v>230</v>
      </c>
      <c r="D2798">
        <v>5581</v>
      </c>
      <c r="E2798">
        <v>326</v>
      </c>
      <c r="F2798" t="s">
        <v>31</v>
      </c>
    </row>
    <row r="2799" spans="1:6" x14ac:dyDescent="0.3">
      <c r="A2799" s="20">
        <v>45790</v>
      </c>
      <c r="B2799">
        <v>20</v>
      </c>
      <c r="C2799" t="s">
        <v>48</v>
      </c>
      <c r="D2799">
        <v>27833</v>
      </c>
      <c r="E2799">
        <v>940</v>
      </c>
      <c r="F2799" t="s">
        <v>31</v>
      </c>
    </row>
    <row r="2800" spans="1:6" x14ac:dyDescent="0.3">
      <c r="A2800" s="20">
        <v>45790</v>
      </c>
      <c r="B2800">
        <v>20</v>
      </c>
      <c r="C2800" t="s">
        <v>233</v>
      </c>
      <c r="D2800">
        <v>2713</v>
      </c>
      <c r="E2800">
        <v>532</v>
      </c>
      <c r="F2800" t="s">
        <v>34</v>
      </c>
    </row>
    <row r="2801" spans="1:6" x14ac:dyDescent="0.3">
      <c r="A2801" s="20">
        <v>45790</v>
      </c>
      <c r="B2801">
        <v>20</v>
      </c>
      <c r="C2801" t="s">
        <v>233</v>
      </c>
      <c r="D2801">
        <v>33</v>
      </c>
      <c r="E2801">
        <v>11</v>
      </c>
      <c r="F2801" t="s">
        <v>85</v>
      </c>
    </row>
    <row r="2802" spans="1:6" x14ac:dyDescent="0.3">
      <c r="A2802" s="20">
        <v>45790</v>
      </c>
      <c r="B2802">
        <v>20</v>
      </c>
      <c r="C2802" t="s">
        <v>238</v>
      </c>
      <c r="D2802">
        <v>3590</v>
      </c>
      <c r="E2802">
        <v>331</v>
      </c>
      <c r="F2802" t="s">
        <v>229</v>
      </c>
    </row>
    <row r="2803" spans="1:6" x14ac:dyDescent="0.3">
      <c r="A2803" s="20">
        <v>45790</v>
      </c>
      <c r="B2803">
        <v>20</v>
      </c>
      <c r="C2803" t="s">
        <v>253</v>
      </c>
      <c r="D2803">
        <v>1026</v>
      </c>
      <c r="E2803">
        <v>211</v>
      </c>
      <c r="F2803" t="s">
        <v>47</v>
      </c>
    </row>
    <row r="2804" spans="1:6" x14ac:dyDescent="0.3">
      <c r="A2804" s="20">
        <v>45790</v>
      </c>
      <c r="B2804">
        <v>21</v>
      </c>
      <c r="C2804" t="s">
        <v>67</v>
      </c>
      <c r="D2804">
        <v>1</v>
      </c>
      <c r="E2804">
        <v>0</v>
      </c>
      <c r="F2804" t="s">
        <v>31</v>
      </c>
    </row>
    <row r="2805" spans="1:6" x14ac:dyDescent="0.3">
      <c r="A2805" s="20">
        <v>45790</v>
      </c>
      <c r="B2805">
        <v>21</v>
      </c>
      <c r="C2805" t="s">
        <v>238</v>
      </c>
      <c r="D2805">
        <v>0</v>
      </c>
      <c r="E2805">
        <v>0</v>
      </c>
      <c r="F2805" t="s">
        <v>47</v>
      </c>
    </row>
    <row r="2806" spans="1:6" x14ac:dyDescent="0.3">
      <c r="A2806" s="20">
        <v>45790</v>
      </c>
      <c r="B2806">
        <v>22</v>
      </c>
      <c r="C2806" t="s">
        <v>235</v>
      </c>
      <c r="D2806">
        <v>17</v>
      </c>
      <c r="E2806">
        <v>15</v>
      </c>
      <c r="F2806" t="s">
        <v>72</v>
      </c>
    </row>
    <row r="2807" spans="1:6" x14ac:dyDescent="0.3">
      <c r="A2807" s="20">
        <v>45790</v>
      </c>
      <c r="B2807">
        <v>8</v>
      </c>
      <c r="C2807" t="s">
        <v>73</v>
      </c>
      <c r="D2807">
        <v>0</v>
      </c>
      <c r="E2807">
        <v>0</v>
      </c>
      <c r="F2807" t="s">
        <v>74</v>
      </c>
    </row>
    <row r="2808" spans="1:6" x14ac:dyDescent="0.3">
      <c r="A2808" s="20">
        <v>45790</v>
      </c>
      <c r="B2808">
        <v>8</v>
      </c>
      <c r="C2808" t="s">
        <v>73</v>
      </c>
      <c r="D2808">
        <v>0</v>
      </c>
      <c r="E2808">
        <v>0</v>
      </c>
      <c r="F2808" t="s">
        <v>86</v>
      </c>
    </row>
    <row r="2809" spans="1:6" x14ac:dyDescent="0.3">
      <c r="A2809" s="20">
        <v>45790</v>
      </c>
      <c r="B2809">
        <v>8</v>
      </c>
      <c r="C2809" t="s">
        <v>73</v>
      </c>
      <c r="D2809">
        <v>0</v>
      </c>
      <c r="E2809">
        <v>0</v>
      </c>
      <c r="F2809" t="s">
        <v>234</v>
      </c>
    </row>
    <row r="2810" spans="1:6" x14ac:dyDescent="0.3">
      <c r="A2810" s="20">
        <v>45790</v>
      </c>
      <c r="B2810">
        <v>8</v>
      </c>
      <c r="C2810" t="s">
        <v>73</v>
      </c>
      <c r="D2810">
        <v>0</v>
      </c>
      <c r="E2810">
        <v>0</v>
      </c>
      <c r="F2810" t="s">
        <v>45</v>
      </c>
    </row>
    <row r="2811" spans="1:6" x14ac:dyDescent="0.3">
      <c r="A2811" s="20">
        <v>45790</v>
      </c>
      <c r="B2811">
        <v>8</v>
      </c>
      <c r="C2811" t="s">
        <v>73</v>
      </c>
      <c r="D2811">
        <v>0</v>
      </c>
      <c r="E2811">
        <v>0</v>
      </c>
      <c r="F2811" t="s">
        <v>38</v>
      </c>
    </row>
    <row r="2812" spans="1:6" x14ac:dyDescent="0.3">
      <c r="A2812" s="20">
        <v>45790</v>
      </c>
      <c r="B2812">
        <v>8</v>
      </c>
      <c r="C2812" t="s">
        <v>73</v>
      </c>
      <c r="D2812">
        <v>0</v>
      </c>
      <c r="E2812">
        <v>0</v>
      </c>
      <c r="F2812" t="s">
        <v>75</v>
      </c>
    </row>
    <row r="2813" spans="1:6" x14ac:dyDescent="0.3">
      <c r="A2813" s="20">
        <v>45790</v>
      </c>
      <c r="B2813">
        <v>8</v>
      </c>
      <c r="C2813" t="s">
        <v>156</v>
      </c>
      <c r="D2813">
        <v>8216</v>
      </c>
      <c r="E2813">
        <v>1500</v>
      </c>
      <c r="F2813" t="s">
        <v>43</v>
      </c>
    </row>
    <row r="2814" spans="1:6" x14ac:dyDescent="0.3">
      <c r="A2814" s="20">
        <v>45790</v>
      </c>
      <c r="B2814">
        <v>8</v>
      </c>
      <c r="C2814" t="s">
        <v>228</v>
      </c>
      <c r="D2814">
        <v>160</v>
      </c>
      <c r="E2814">
        <v>42</v>
      </c>
      <c r="F2814" t="s">
        <v>72</v>
      </c>
    </row>
    <row r="2815" spans="1:6" x14ac:dyDescent="0.3">
      <c r="A2815" s="20">
        <v>45790</v>
      </c>
      <c r="B2815">
        <v>8</v>
      </c>
      <c r="C2815" t="s">
        <v>157</v>
      </c>
      <c r="D2815">
        <v>14871</v>
      </c>
      <c r="E2815">
        <v>3823</v>
      </c>
      <c r="F2815" t="s">
        <v>31</v>
      </c>
    </row>
    <row r="2816" spans="1:6" x14ac:dyDescent="0.3">
      <c r="A2816" s="20">
        <v>45790</v>
      </c>
      <c r="B2816">
        <v>8</v>
      </c>
      <c r="C2816" t="s">
        <v>48</v>
      </c>
      <c r="D2816">
        <v>0</v>
      </c>
      <c r="E2816">
        <v>0</v>
      </c>
      <c r="F2816" t="s">
        <v>259</v>
      </c>
    </row>
    <row r="2817" spans="1:6" x14ac:dyDescent="0.3">
      <c r="A2817" s="20">
        <v>45790</v>
      </c>
      <c r="B2817">
        <v>8</v>
      </c>
      <c r="C2817" t="s">
        <v>243</v>
      </c>
      <c r="D2817">
        <v>5178</v>
      </c>
      <c r="E2817">
        <v>424</v>
      </c>
      <c r="F2817" t="s">
        <v>31</v>
      </c>
    </row>
    <row r="2818" spans="1:6" x14ac:dyDescent="0.3">
      <c r="A2818" s="20">
        <v>45790</v>
      </c>
      <c r="B2818">
        <v>8</v>
      </c>
      <c r="C2818" t="s">
        <v>238</v>
      </c>
      <c r="D2818">
        <v>11171</v>
      </c>
      <c r="E2818">
        <v>1218</v>
      </c>
      <c r="F2818" t="s">
        <v>229</v>
      </c>
    </row>
    <row r="2819" spans="1:6" x14ac:dyDescent="0.3">
      <c r="A2819" s="20">
        <v>45790</v>
      </c>
      <c r="B2819">
        <v>8</v>
      </c>
      <c r="C2819" t="s">
        <v>250</v>
      </c>
      <c r="D2819">
        <v>154</v>
      </c>
      <c r="E2819">
        <v>30</v>
      </c>
      <c r="F2819" t="s">
        <v>85</v>
      </c>
    </row>
    <row r="2820" spans="1:6" x14ac:dyDescent="0.3">
      <c r="A2820" s="20">
        <v>45790</v>
      </c>
      <c r="B2820">
        <v>8</v>
      </c>
      <c r="C2820" t="s">
        <v>250</v>
      </c>
      <c r="D2820">
        <v>827</v>
      </c>
      <c r="E2820">
        <v>92</v>
      </c>
      <c r="F2820" t="s">
        <v>86</v>
      </c>
    </row>
    <row r="2821" spans="1:6" x14ac:dyDescent="0.3">
      <c r="A2821" s="20">
        <v>45790</v>
      </c>
      <c r="B2821">
        <v>8</v>
      </c>
      <c r="C2821" t="s">
        <v>160</v>
      </c>
      <c r="D2821">
        <v>83</v>
      </c>
      <c r="E2821">
        <v>19</v>
      </c>
      <c r="F2821" t="s">
        <v>72</v>
      </c>
    </row>
    <row r="2822" spans="1:6" x14ac:dyDescent="0.3">
      <c r="A2822" s="20">
        <v>45790</v>
      </c>
      <c r="B2822">
        <v>8</v>
      </c>
      <c r="C2822" t="s">
        <v>165</v>
      </c>
      <c r="D2822">
        <v>2</v>
      </c>
      <c r="E2822">
        <v>2</v>
      </c>
      <c r="F2822" t="s">
        <v>38</v>
      </c>
    </row>
    <row r="2823" spans="1:6" x14ac:dyDescent="0.3">
      <c r="A2823" s="20">
        <v>45790</v>
      </c>
      <c r="B2823">
        <v>8</v>
      </c>
      <c r="C2823" t="s">
        <v>240</v>
      </c>
      <c r="D2823">
        <v>19379</v>
      </c>
      <c r="E2823">
        <v>1011</v>
      </c>
      <c r="F2823" t="s">
        <v>38</v>
      </c>
    </row>
    <row r="2824" spans="1:6" x14ac:dyDescent="0.3">
      <c r="A2824" s="20">
        <v>45790</v>
      </c>
      <c r="B2824">
        <v>8</v>
      </c>
      <c r="C2824" t="s">
        <v>251</v>
      </c>
      <c r="D2824">
        <v>2413</v>
      </c>
      <c r="E2824">
        <v>334</v>
      </c>
      <c r="F2824" t="s">
        <v>47</v>
      </c>
    </row>
    <row r="2825" spans="1:6" x14ac:dyDescent="0.3">
      <c r="A2825" s="20">
        <v>45790</v>
      </c>
      <c r="B2825">
        <v>8</v>
      </c>
      <c r="C2825" t="s">
        <v>251</v>
      </c>
      <c r="D2825">
        <v>5364</v>
      </c>
      <c r="E2825">
        <v>884</v>
      </c>
      <c r="F2825" t="s">
        <v>44</v>
      </c>
    </row>
    <row r="2826" spans="1:6" x14ac:dyDescent="0.3">
      <c r="A2826" s="20">
        <v>45790</v>
      </c>
      <c r="B2826">
        <v>9</v>
      </c>
      <c r="C2826" t="s">
        <v>263</v>
      </c>
      <c r="D2826">
        <v>7482</v>
      </c>
      <c r="E2826">
        <v>196</v>
      </c>
      <c r="F2826" t="s">
        <v>229</v>
      </c>
    </row>
    <row r="2827" spans="1:6" x14ac:dyDescent="0.3">
      <c r="A2827" s="20">
        <v>45790</v>
      </c>
      <c r="B2827">
        <v>9</v>
      </c>
      <c r="C2827" t="s">
        <v>67</v>
      </c>
      <c r="D2827">
        <v>16361</v>
      </c>
      <c r="E2827">
        <v>672</v>
      </c>
      <c r="F2827" t="s">
        <v>31</v>
      </c>
    </row>
    <row r="2828" spans="1:6" x14ac:dyDescent="0.3">
      <c r="A2828" s="20">
        <v>45790</v>
      </c>
      <c r="B2828">
        <v>9</v>
      </c>
      <c r="C2828" t="s">
        <v>230</v>
      </c>
      <c r="D2828">
        <v>27911</v>
      </c>
      <c r="E2828">
        <v>2629</v>
      </c>
      <c r="F2828" t="s">
        <v>31</v>
      </c>
    </row>
    <row r="2829" spans="1:6" x14ac:dyDescent="0.3">
      <c r="A2829" s="20">
        <v>45790</v>
      </c>
      <c r="B2829">
        <v>9</v>
      </c>
      <c r="C2829" t="s">
        <v>52</v>
      </c>
      <c r="D2829">
        <v>26</v>
      </c>
      <c r="E2829">
        <v>26</v>
      </c>
      <c r="F2829" t="s">
        <v>259</v>
      </c>
    </row>
    <row r="2830" spans="1:6" x14ac:dyDescent="0.3">
      <c r="A2830" s="20">
        <v>45790</v>
      </c>
      <c r="B2830">
        <v>9</v>
      </c>
      <c r="C2830" t="s">
        <v>244</v>
      </c>
      <c r="D2830">
        <v>48061</v>
      </c>
      <c r="E2830">
        <v>5128</v>
      </c>
      <c r="F2830" t="s">
        <v>31</v>
      </c>
    </row>
    <row r="2831" spans="1:6" x14ac:dyDescent="0.3">
      <c r="A2831" s="20">
        <v>45790</v>
      </c>
      <c r="B2831">
        <v>9</v>
      </c>
      <c r="C2831" t="s">
        <v>267</v>
      </c>
      <c r="D2831">
        <v>17418</v>
      </c>
      <c r="E2831">
        <v>910</v>
      </c>
      <c r="F2831" t="s">
        <v>31</v>
      </c>
    </row>
    <row r="2832" spans="1:6" x14ac:dyDescent="0.3">
      <c r="A2832" s="20">
        <v>45790</v>
      </c>
      <c r="B2832">
        <v>9</v>
      </c>
      <c r="C2832" t="s">
        <v>232</v>
      </c>
      <c r="D2832">
        <v>3647</v>
      </c>
      <c r="E2832">
        <v>297</v>
      </c>
      <c r="F2832" t="s">
        <v>39</v>
      </c>
    </row>
    <row r="2833" spans="1:6" x14ac:dyDescent="0.3">
      <c r="A2833" s="20">
        <v>45790</v>
      </c>
      <c r="B2833">
        <v>9</v>
      </c>
      <c r="C2833" t="s">
        <v>255</v>
      </c>
      <c r="D2833">
        <v>8556</v>
      </c>
      <c r="E2833">
        <v>1381</v>
      </c>
      <c r="F2833" t="s">
        <v>74</v>
      </c>
    </row>
    <row r="2834" spans="1:6" x14ac:dyDescent="0.3">
      <c r="A2834" s="20">
        <v>45790</v>
      </c>
      <c r="B2834">
        <v>9</v>
      </c>
      <c r="C2834" t="s">
        <v>160</v>
      </c>
      <c r="D2834">
        <v>1084</v>
      </c>
      <c r="E2834">
        <v>230</v>
      </c>
      <c r="F2834" t="s">
        <v>39</v>
      </c>
    </row>
    <row r="2835" spans="1:6" x14ac:dyDescent="0.3">
      <c r="A2835" s="20">
        <v>45790</v>
      </c>
      <c r="B2835">
        <v>9</v>
      </c>
      <c r="C2835" t="s">
        <v>160</v>
      </c>
      <c r="D2835">
        <v>4821</v>
      </c>
      <c r="E2835">
        <v>955</v>
      </c>
      <c r="F2835" t="s">
        <v>231</v>
      </c>
    </row>
    <row r="2836" spans="1:6" x14ac:dyDescent="0.3">
      <c r="A2836" s="20">
        <v>45790</v>
      </c>
      <c r="B2836">
        <v>9</v>
      </c>
      <c r="C2836" t="s">
        <v>126</v>
      </c>
      <c r="D2836">
        <v>20</v>
      </c>
      <c r="E2836">
        <v>20</v>
      </c>
      <c r="F2836" t="s">
        <v>38</v>
      </c>
    </row>
    <row r="2837" spans="1:6" x14ac:dyDescent="0.3">
      <c r="A2837" s="20">
        <v>45790</v>
      </c>
      <c r="B2837">
        <v>9</v>
      </c>
      <c r="C2837" t="s">
        <v>40</v>
      </c>
      <c r="D2837">
        <v>101861</v>
      </c>
      <c r="E2837">
        <v>6638</v>
      </c>
      <c r="F2837" t="s">
        <v>38</v>
      </c>
    </row>
    <row r="2838" spans="1:6" x14ac:dyDescent="0.3">
      <c r="A2838" s="20">
        <v>45790</v>
      </c>
      <c r="B2838">
        <v>9</v>
      </c>
      <c r="C2838" t="s">
        <v>76</v>
      </c>
      <c r="D2838">
        <v>38157</v>
      </c>
      <c r="E2838">
        <v>2924</v>
      </c>
      <c r="F2838" t="s">
        <v>38</v>
      </c>
    </row>
    <row r="2839" spans="1:6" x14ac:dyDescent="0.3">
      <c r="A2839" s="20">
        <v>45790</v>
      </c>
      <c r="B2839">
        <v>10</v>
      </c>
      <c r="C2839" t="s">
        <v>73</v>
      </c>
      <c r="D2839">
        <v>0</v>
      </c>
      <c r="E2839">
        <v>0</v>
      </c>
      <c r="F2839" t="s">
        <v>229</v>
      </c>
    </row>
    <row r="2840" spans="1:6" x14ac:dyDescent="0.3">
      <c r="A2840" s="20">
        <v>45790</v>
      </c>
      <c r="B2840">
        <v>10</v>
      </c>
      <c r="C2840" t="s">
        <v>228</v>
      </c>
      <c r="D2840">
        <v>9019</v>
      </c>
      <c r="E2840">
        <v>1772</v>
      </c>
      <c r="F2840" t="s">
        <v>45</v>
      </c>
    </row>
    <row r="2841" spans="1:6" x14ac:dyDescent="0.3">
      <c r="A2841" s="20">
        <v>45790</v>
      </c>
      <c r="B2841">
        <v>10</v>
      </c>
      <c r="C2841" t="s">
        <v>158</v>
      </c>
      <c r="D2841">
        <v>29993</v>
      </c>
      <c r="E2841">
        <v>737</v>
      </c>
      <c r="F2841" t="s">
        <v>42</v>
      </c>
    </row>
    <row r="2842" spans="1:6" x14ac:dyDescent="0.3">
      <c r="A2842" s="20">
        <v>45790</v>
      </c>
      <c r="B2842">
        <v>10</v>
      </c>
      <c r="C2842" t="s">
        <v>236</v>
      </c>
      <c r="D2842">
        <v>948</v>
      </c>
      <c r="E2842">
        <v>198</v>
      </c>
      <c r="F2842" t="s">
        <v>42</v>
      </c>
    </row>
    <row r="2843" spans="1:6" x14ac:dyDescent="0.3">
      <c r="A2843" s="20">
        <v>45790</v>
      </c>
      <c r="B2843">
        <v>10</v>
      </c>
      <c r="C2843" t="s">
        <v>35</v>
      </c>
      <c r="D2843">
        <v>4829</v>
      </c>
      <c r="E2843">
        <v>335</v>
      </c>
      <c r="F2843" t="s">
        <v>31</v>
      </c>
    </row>
    <row r="2844" spans="1:6" x14ac:dyDescent="0.3">
      <c r="A2844" s="20">
        <v>45790</v>
      </c>
      <c r="B2844">
        <v>10</v>
      </c>
      <c r="C2844" t="s">
        <v>36</v>
      </c>
      <c r="D2844">
        <v>861</v>
      </c>
      <c r="E2844">
        <v>176</v>
      </c>
      <c r="F2844" t="s">
        <v>31</v>
      </c>
    </row>
    <row r="2845" spans="1:6" x14ac:dyDescent="0.3">
      <c r="A2845" s="20">
        <v>45790</v>
      </c>
      <c r="B2845">
        <v>10</v>
      </c>
      <c r="C2845" t="s">
        <v>254</v>
      </c>
      <c r="D2845">
        <v>20840</v>
      </c>
      <c r="E2845">
        <v>822</v>
      </c>
      <c r="F2845" t="s">
        <v>31</v>
      </c>
    </row>
    <row r="2846" spans="1:6" x14ac:dyDescent="0.3">
      <c r="A2846" s="20">
        <v>45790</v>
      </c>
      <c r="B2846">
        <v>10</v>
      </c>
      <c r="C2846" t="s">
        <v>71</v>
      </c>
      <c r="D2846">
        <v>6904</v>
      </c>
      <c r="E2846">
        <v>800</v>
      </c>
      <c r="F2846" t="s">
        <v>229</v>
      </c>
    </row>
    <row r="2847" spans="1:6" x14ac:dyDescent="0.3">
      <c r="A2847" s="20">
        <v>45790</v>
      </c>
      <c r="B2847">
        <v>10</v>
      </c>
      <c r="C2847" t="s">
        <v>232</v>
      </c>
      <c r="D2847">
        <v>6559</v>
      </c>
      <c r="E2847">
        <v>358</v>
      </c>
      <c r="F2847" t="s">
        <v>74</v>
      </c>
    </row>
    <row r="2848" spans="1:6" x14ac:dyDescent="0.3">
      <c r="A2848" s="20">
        <v>45790</v>
      </c>
      <c r="B2848">
        <v>10</v>
      </c>
      <c r="C2848" t="s">
        <v>262</v>
      </c>
      <c r="D2848">
        <v>20062</v>
      </c>
      <c r="E2848">
        <v>502</v>
      </c>
      <c r="F2848" t="s">
        <v>86</v>
      </c>
    </row>
    <row r="2849" spans="1:6" x14ac:dyDescent="0.3">
      <c r="A2849" s="20">
        <v>45790</v>
      </c>
      <c r="B2849">
        <v>10</v>
      </c>
      <c r="C2849" t="s">
        <v>160</v>
      </c>
      <c r="D2849">
        <v>142</v>
      </c>
      <c r="E2849">
        <v>42</v>
      </c>
      <c r="F2849" t="s">
        <v>44</v>
      </c>
    </row>
    <row r="2850" spans="1:6" x14ac:dyDescent="0.3">
      <c r="A2850" s="20">
        <v>45790</v>
      </c>
      <c r="B2850">
        <v>10</v>
      </c>
      <c r="C2850" t="s">
        <v>160</v>
      </c>
      <c r="D2850">
        <v>295</v>
      </c>
      <c r="E2850">
        <v>72</v>
      </c>
      <c r="F2850" t="s">
        <v>32</v>
      </c>
    </row>
    <row r="2851" spans="1:6" x14ac:dyDescent="0.3">
      <c r="A2851" s="20">
        <v>45790</v>
      </c>
      <c r="B2851">
        <v>10</v>
      </c>
      <c r="C2851" t="s">
        <v>160</v>
      </c>
      <c r="D2851">
        <v>17</v>
      </c>
      <c r="E2851">
        <v>4</v>
      </c>
      <c r="F2851" t="s">
        <v>138</v>
      </c>
    </row>
    <row r="2852" spans="1:6" x14ac:dyDescent="0.3">
      <c r="A2852" s="20">
        <v>45790</v>
      </c>
      <c r="B2852">
        <v>10</v>
      </c>
      <c r="C2852" t="s">
        <v>55</v>
      </c>
      <c r="D2852">
        <v>90735</v>
      </c>
      <c r="E2852">
        <v>9046</v>
      </c>
      <c r="F2852" t="s">
        <v>38</v>
      </c>
    </row>
    <row r="2853" spans="1:6" x14ac:dyDescent="0.3">
      <c r="A2853" s="20">
        <v>45790</v>
      </c>
      <c r="B2853">
        <v>10</v>
      </c>
      <c r="C2853" t="s">
        <v>235</v>
      </c>
      <c r="D2853">
        <v>883</v>
      </c>
      <c r="E2853">
        <v>153</v>
      </c>
      <c r="F2853" t="s">
        <v>161</v>
      </c>
    </row>
    <row r="2854" spans="1:6" x14ac:dyDescent="0.3">
      <c r="A2854" s="20">
        <v>45790</v>
      </c>
      <c r="B2854">
        <v>11</v>
      </c>
      <c r="C2854" t="s">
        <v>73</v>
      </c>
      <c r="D2854">
        <v>0</v>
      </c>
      <c r="E2854">
        <v>0</v>
      </c>
      <c r="F2854" t="s">
        <v>74</v>
      </c>
    </row>
    <row r="2855" spans="1:6" x14ac:dyDescent="0.3">
      <c r="A2855" s="20">
        <v>45790</v>
      </c>
      <c r="B2855">
        <v>11</v>
      </c>
      <c r="C2855" t="s">
        <v>73</v>
      </c>
      <c r="D2855">
        <v>0</v>
      </c>
      <c r="E2855">
        <v>0</v>
      </c>
      <c r="F2855" t="s">
        <v>86</v>
      </c>
    </row>
    <row r="2856" spans="1:6" x14ac:dyDescent="0.3">
      <c r="A2856" s="20">
        <v>45790</v>
      </c>
      <c r="B2856">
        <v>11</v>
      </c>
      <c r="C2856" t="s">
        <v>73</v>
      </c>
      <c r="D2856">
        <v>0</v>
      </c>
      <c r="E2856">
        <v>0</v>
      </c>
      <c r="F2856" t="s">
        <v>234</v>
      </c>
    </row>
    <row r="2857" spans="1:6" x14ac:dyDescent="0.3">
      <c r="A2857" s="20">
        <v>45790</v>
      </c>
      <c r="B2857">
        <v>11</v>
      </c>
      <c r="C2857" t="s">
        <v>73</v>
      </c>
      <c r="D2857">
        <v>0</v>
      </c>
      <c r="E2857">
        <v>0</v>
      </c>
      <c r="F2857" t="s">
        <v>45</v>
      </c>
    </row>
    <row r="2858" spans="1:6" x14ac:dyDescent="0.3">
      <c r="A2858" s="20">
        <v>45790</v>
      </c>
      <c r="B2858">
        <v>11</v>
      </c>
      <c r="C2858" t="s">
        <v>73</v>
      </c>
      <c r="D2858">
        <v>0</v>
      </c>
      <c r="E2858">
        <v>0</v>
      </c>
      <c r="F2858" t="s">
        <v>38</v>
      </c>
    </row>
    <row r="2859" spans="1:6" x14ac:dyDescent="0.3">
      <c r="A2859" s="20">
        <v>45790</v>
      </c>
      <c r="B2859">
        <v>11</v>
      </c>
      <c r="C2859" t="s">
        <v>73</v>
      </c>
      <c r="D2859">
        <v>0</v>
      </c>
      <c r="E2859">
        <v>0</v>
      </c>
      <c r="F2859" t="s">
        <v>75</v>
      </c>
    </row>
    <row r="2860" spans="1:6" x14ac:dyDescent="0.3">
      <c r="A2860" s="20">
        <v>45790</v>
      </c>
      <c r="B2860">
        <v>11</v>
      </c>
      <c r="C2860" t="s">
        <v>228</v>
      </c>
      <c r="D2860">
        <v>140</v>
      </c>
      <c r="E2860">
        <v>32</v>
      </c>
      <c r="F2860" t="s">
        <v>72</v>
      </c>
    </row>
    <row r="2861" spans="1:6" x14ac:dyDescent="0.3">
      <c r="A2861" s="20">
        <v>45790</v>
      </c>
      <c r="B2861">
        <v>11</v>
      </c>
      <c r="C2861" t="s">
        <v>157</v>
      </c>
      <c r="D2861">
        <v>14341</v>
      </c>
      <c r="E2861">
        <v>3987</v>
      </c>
      <c r="F2861" t="s">
        <v>31</v>
      </c>
    </row>
    <row r="2862" spans="1:6" x14ac:dyDescent="0.3">
      <c r="A2862" s="20">
        <v>45790</v>
      </c>
      <c r="B2862">
        <v>11</v>
      </c>
      <c r="C2862" t="s">
        <v>49</v>
      </c>
      <c r="D2862">
        <v>0</v>
      </c>
      <c r="E2862">
        <v>0</v>
      </c>
      <c r="F2862" t="s">
        <v>77</v>
      </c>
    </row>
    <row r="2863" spans="1:6" x14ac:dyDescent="0.3">
      <c r="A2863" s="20">
        <v>45790</v>
      </c>
      <c r="B2863">
        <v>11</v>
      </c>
      <c r="C2863" t="s">
        <v>243</v>
      </c>
      <c r="D2863">
        <v>5125</v>
      </c>
      <c r="E2863">
        <v>494</v>
      </c>
      <c r="F2863" t="s">
        <v>31</v>
      </c>
    </row>
    <row r="2864" spans="1:6" x14ac:dyDescent="0.3">
      <c r="A2864" s="20">
        <v>45790</v>
      </c>
      <c r="B2864">
        <v>11</v>
      </c>
      <c r="C2864" t="s">
        <v>152</v>
      </c>
      <c r="D2864">
        <v>5067</v>
      </c>
      <c r="E2864">
        <v>507</v>
      </c>
      <c r="F2864" t="s">
        <v>138</v>
      </c>
    </row>
    <row r="2865" spans="1:6" x14ac:dyDescent="0.3">
      <c r="A2865" s="20">
        <v>45790</v>
      </c>
      <c r="B2865">
        <v>11</v>
      </c>
      <c r="C2865" t="s">
        <v>152</v>
      </c>
      <c r="D2865">
        <v>1481</v>
      </c>
      <c r="E2865">
        <v>144</v>
      </c>
      <c r="F2865" t="s">
        <v>75</v>
      </c>
    </row>
    <row r="2866" spans="1:6" x14ac:dyDescent="0.3">
      <c r="A2866" s="20">
        <v>45790</v>
      </c>
      <c r="B2866">
        <v>11</v>
      </c>
      <c r="C2866" t="s">
        <v>233</v>
      </c>
      <c r="D2866">
        <v>15647</v>
      </c>
      <c r="E2866">
        <v>2123</v>
      </c>
      <c r="F2866" t="s">
        <v>34</v>
      </c>
    </row>
    <row r="2867" spans="1:6" x14ac:dyDescent="0.3">
      <c r="A2867" s="20">
        <v>45790</v>
      </c>
      <c r="B2867">
        <v>11</v>
      </c>
      <c r="C2867" t="s">
        <v>238</v>
      </c>
      <c r="D2867">
        <v>10181</v>
      </c>
      <c r="E2867">
        <v>1117</v>
      </c>
      <c r="F2867" t="s">
        <v>229</v>
      </c>
    </row>
    <row r="2868" spans="1:6" x14ac:dyDescent="0.3">
      <c r="A2868" s="20">
        <v>45790</v>
      </c>
      <c r="B2868">
        <v>11</v>
      </c>
      <c r="C2868" t="s">
        <v>155</v>
      </c>
      <c r="D2868">
        <v>147</v>
      </c>
      <c r="E2868">
        <v>41</v>
      </c>
      <c r="F2868" t="s">
        <v>229</v>
      </c>
    </row>
    <row r="2869" spans="1:6" x14ac:dyDescent="0.3">
      <c r="A2869" s="20">
        <v>45790</v>
      </c>
      <c r="B2869">
        <v>11</v>
      </c>
      <c r="C2869" t="s">
        <v>250</v>
      </c>
      <c r="D2869">
        <v>138</v>
      </c>
      <c r="E2869">
        <v>29</v>
      </c>
      <c r="F2869" t="s">
        <v>85</v>
      </c>
    </row>
    <row r="2870" spans="1:6" x14ac:dyDescent="0.3">
      <c r="A2870" s="20">
        <v>45790</v>
      </c>
      <c r="B2870">
        <v>11</v>
      </c>
      <c r="C2870" t="s">
        <v>250</v>
      </c>
      <c r="D2870">
        <v>776</v>
      </c>
      <c r="E2870">
        <v>68</v>
      </c>
      <c r="F2870" t="s">
        <v>86</v>
      </c>
    </row>
    <row r="2871" spans="1:6" x14ac:dyDescent="0.3">
      <c r="A2871" s="20">
        <v>45790</v>
      </c>
      <c r="B2871">
        <v>11</v>
      </c>
      <c r="C2871" t="s">
        <v>250</v>
      </c>
      <c r="D2871">
        <v>8659</v>
      </c>
      <c r="E2871">
        <v>2182</v>
      </c>
      <c r="F2871" t="s">
        <v>43</v>
      </c>
    </row>
    <row r="2872" spans="1:6" x14ac:dyDescent="0.3">
      <c r="A2872" s="20">
        <v>45790</v>
      </c>
      <c r="B2872">
        <v>11</v>
      </c>
      <c r="C2872" t="s">
        <v>160</v>
      </c>
      <c r="D2872">
        <v>12</v>
      </c>
      <c r="E2872">
        <v>2</v>
      </c>
      <c r="F2872" t="s">
        <v>72</v>
      </c>
    </row>
    <row r="2873" spans="1:6" x14ac:dyDescent="0.3">
      <c r="A2873" s="20">
        <v>45790</v>
      </c>
      <c r="B2873">
        <v>11</v>
      </c>
      <c r="C2873" t="s">
        <v>240</v>
      </c>
      <c r="D2873">
        <v>17719</v>
      </c>
      <c r="E2873">
        <v>1028</v>
      </c>
      <c r="F2873" t="s">
        <v>38</v>
      </c>
    </row>
    <row r="2874" spans="1:6" x14ac:dyDescent="0.3">
      <c r="A2874" s="20">
        <v>45790</v>
      </c>
      <c r="B2874">
        <v>11</v>
      </c>
      <c r="C2874" t="s">
        <v>251</v>
      </c>
      <c r="D2874">
        <v>3080</v>
      </c>
      <c r="E2874">
        <v>421</v>
      </c>
      <c r="F2874" t="s">
        <v>47</v>
      </c>
    </row>
    <row r="2875" spans="1:6" x14ac:dyDescent="0.3">
      <c r="A2875" s="20">
        <v>45790</v>
      </c>
      <c r="B2875">
        <v>11</v>
      </c>
      <c r="C2875" t="s">
        <v>251</v>
      </c>
      <c r="D2875">
        <v>7033</v>
      </c>
      <c r="E2875">
        <v>962</v>
      </c>
      <c r="F2875" t="s">
        <v>44</v>
      </c>
    </row>
    <row r="2876" spans="1:6" x14ac:dyDescent="0.3">
      <c r="A2876" s="20">
        <v>45790</v>
      </c>
      <c r="B2876">
        <v>12</v>
      </c>
      <c r="C2876" t="s">
        <v>73</v>
      </c>
      <c r="D2876">
        <v>0</v>
      </c>
      <c r="E2876">
        <v>0</v>
      </c>
      <c r="F2876" t="s">
        <v>163</v>
      </c>
    </row>
    <row r="2877" spans="1:6" x14ac:dyDescent="0.3">
      <c r="A2877" s="20">
        <v>45790</v>
      </c>
      <c r="B2877">
        <v>12</v>
      </c>
      <c r="C2877" t="s">
        <v>263</v>
      </c>
      <c r="D2877">
        <v>13949</v>
      </c>
      <c r="E2877">
        <v>793</v>
      </c>
      <c r="F2877" t="s">
        <v>229</v>
      </c>
    </row>
    <row r="2878" spans="1:6" x14ac:dyDescent="0.3">
      <c r="A2878" s="20">
        <v>45790</v>
      </c>
      <c r="B2878">
        <v>12</v>
      </c>
      <c r="C2878" t="s">
        <v>67</v>
      </c>
      <c r="D2878">
        <v>10888</v>
      </c>
      <c r="E2878">
        <v>611</v>
      </c>
      <c r="F2878" t="s">
        <v>31</v>
      </c>
    </row>
    <row r="2879" spans="1:6" x14ac:dyDescent="0.3">
      <c r="A2879" s="20">
        <v>45790</v>
      </c>
      <c r="B2879">
        <v>12</v>
      </c>
      <c r="C2879" t="s">
        <v>52</v>
      </c>
      <c r="D2879">
        <v>33</v>
      </c>
      <c r="E2879">
        <v>33</v>
      </c>
      <c r="F2879" t="s">
        <v>259</v>
      </c>
    </row>
    <row r="2880" spans="1:6" x14ac:dyDescent="0.3">
      <c r="A2880" s="20">
        <v>45790</v>
      </c>
      <c r="B2880">
        <v>12</v>
      </c>
      <c r="C2880" t="s">
        <v>244</v>
      </c>
      <c r="D2880">
        <v>46833</v>
      </c>
      <c r="E2880">
        <v>5486</v>
      </c>
      <c r="F2880" t="s">
        <v>31</v>
      </c>
    </row>
    <row r="2881" spans="1:6" x14ac:dyDescent="0.3">
      <c r="A2881" s="20">
        <v>45790</v>
      </c>
      <c r="B2881">
        <v>12</v>
      </c>
      <c r="C2881" t="s">
        <v>232</v>
      </c>
      <c r="D2881">
        <v>387</v>
      </c>
      <c r="E2881">
        <v>36</v>
      </c>
      <c r="F2881" t="s">
        <v>68</v>
      </c>
    </row>
    <row r="2882" spans="1:6" x14ac:dyDescent="0.3">
      <c r="A2882" s="20">
        <v>45790</v>
      </c>
      <c r="B2882">
        <v>12</v>
      </c>
      <c r="C2882" t="s">
        <v>265</v>
      </c>
      <c r="D2882">
        <v>2639</v>
      </c>
      <c r="E2882">
        <v>140</v>
      </c>
      <c r="F2882" t="s">
        <v>31</v>
      </c>
    </row>
    <row r="2883" spans="1:6" x14ac:dyDescent="0.3">
      <c r="A2883" s="20">
        <v>45790</v>
      </c>
      <c r="B2883">
        <v>12</v>
      </c>
      <c r="C2883" t="s">
        <v>255</v>
      </c>
      <c r="D2883">
        <v>3734</v>
      </c>
      <c r="E2883">
        <v>622</v>
      </c>
      <c r="F2883" t="s">
        <v>74</v>
      </c>
    </row>
    <row r="2884" spans="1:6" x14ac:dyDescent="0.3">
      <c r="A2884" s="20">
        <v>45790</v>
      </c>
      <c r="B2884">
        <v>12</v>
      </c>
      <c r="C2884" t="s">
        <v>255</v>
      </c>
      <c r="D2884">
        <v>6904</v>
      </c>
      <c r="E2884">
        <v>1373</v>
      </c>
      <c r="F2884" t="s">
        <v>75</v>
      </c>
    </row>
    <row r="2885" spans="1:6" x14ac:dyDescent="0.3">
      <c r="A2885" s="20">
        <v>45790</v>
      </c>
      <c r="B2885">
        <v>12</v>
      </c>
      <c r="C2885" t="s">
        <v>250</v>
      </c>
      <c r="D2885">
        <v>6767</v>
      </c>
      <c r="E2885">
        <v>2238</v>
      </c>
      <c r="F2885" t="s">
        <v>252</v>
      </c>
    </row>
    <row r="2886" spans="1:6" x14ac:dyDescent="0.3">
      <c r="A2886" s="20">
        <v>45790</v>
      </c>
      <c r="B2886">
        <v>12</v>
      </c>
      <c r="C2886" t="s">
        <v>160</v>
      </c>
      <c r="D2886">
        <v>1105</v>
      </c>
      <c r="E2886">
        <v>228</v>
      </c>
      <c r="F2886" t="s">
        <v>39</v>
      </c>
    </row>
    <row r="2887" spans="1:6" x14ac:dyDescent="0.3">
      <c r="A2887" s="20">
        <v>45790</v>
      </c>
      <c r="B2887">
        <v>12</v>
      </c>
      <c r="C2887" t="s">
        <v>160</v>
      </c>
      <c r="D2887">
        <v>4819</v>
      </c>
      <c r="E2887">
        <v>861</v>
      </c>
      <c r="F2887" t="s">
        <v>231</v>
      </c>
    </row>
    <row r="2888" spans="1:6" x14ac:dyDescent="0.3">
      <c r="A2888" s="20">
        <v>45790</v>
      </c>
      <c r="B2888">
        <v>12</v>
      </c>
      <c r="C2888" t="s">
        <v>126</v>
      </c>
      <c r="D2888">
        <v>26</v>
      </c>
      <c r="E2888">
        <v>26</v>
      </c>
      <c r="F2888" t="s">
        <v>38</v>
      </c>
    </row>
    <row r="2889" spans="1:6" x14ac:dyDescent="0.3">
      <c r="A2889" s="20">
        <v>45790</v>
      </c>
      <c r="B2889">
        <v>13</v>
      </c>
      <c r="C2889" t="s">
        <v>263</v>
      </c>
      <c r="D2889">
        <v>15579</v>
      </c>
      <c r="E2889">
        <v>1242</v>
      </c>
      <c r="F2889" t="s">
        <v>45</v>
      </c>
    </row>
    <row r="2890" spans="1:6" x14ac:dyDescent="0.3">
      <c r="A2890" s="20">
        <v>45790</v>
      </c>
      <c r="B2890">
        <v>13</v>
      </c>
      <c r="C2890" t="s">
        <v>228</v>
      </c>
      <c r="D2890">
        <v>10730</v>
      </c>
      <c r="E2890">
        <v>1883</v>
      </c>
      <c r="F2890" t="s">
        <v>45</v>
      </c>
    </row>
    <row r="2891" spans="1:6" x14ac:dyDescent="0.3">
      <c r="A2891" s="20">
        <v>45790</v>
      </c>
      <c r="B2891">
        <v>13</v>
      </c>
      <c r="C2891" t="s">
        <v>48</v>
      </c>
      <c r="D2891">
        <v>57208</v>
      </c>
      <c r="E2891">
        <v>3883</v>
      </c>
      <c r="F2891" t="s">
        <v>31</v>
      </c>
    </row>
    <row r="2892" spans="1:6" x14ac:dyDescent="0.3">
      <c r="A2892" s="20">
        <v>45790</v>
      </c>
      <c r="B2892">
        <v>13</v>
      </c>
      <c r="C2892" t="s">
        <v>236</v>
      </c>
      <c r="D2892">
        <v>1009</v>
      </c>
      <c r="E2892">
        <v>204</v>
      </c>
      <c r="F2892" t="s">
        <v>42</v>
      </c>
    </row>
    <row r="2893" spans="1:6" x14ac:dyDescent="0.3">
      <c r="A2893" s="20">
        <v>45790</v>
      </c>
      <c r="B2893">
        <v>13</v>
      </c>
      <c r="C2893" t="s">
        <v>35</v>
      </c>
      <c r="D2893">
        <v>4941</v>
      </c>
      <c r="E2893">
        <v>311</v>
      </c>
      <c r="F2893" t="s">
        <v>31</v>
      </c>
    </row>
    <row r="2894" spans="1:6" x14ac:dyDescent="0.3">
      <c r="A2894" s="20">
        <v>45790</v>
      </c>
      <c r="B2894">
        <v>13</v>
      </c>
      <c r="C2894" t="s">
        <v>53</v>
      </c>
      <c r="D2894">
        <v>2202</v>
      </c>
      <c r="E2894">
        <v>74</v>
      </c>
      <c r="F2894" t="s">
        <v>31</v>
      </c>
    </row>
    <row r="2895" spans="1:6" x14ac:dyDescent="0.3">
      <c r="A2895" s="20">
        <v>45790</v>
      </c>
      <c r="B2895">
        <v>13</v>
      </c>
      <c r="C2895" t="s">
        <v>36</v>
      </c>
      <c r="D2895">
        <v>508</v>
      </c>
      <c r="E2895">
        <v>111</v>
      </c>
      <c r="F2895" t="s">
        <v>31</v>
      </c>
    </row>
    <row r="2896" spans="1:6" x14ac:dyDescent="0.3">
      <c r="A2896" s="20">
        <v>45790</v>
      </c>
      <c r="B2896">
        <v>13</v>
      </c>
      <c r="C2896" t="s">
        <v>262</v>
      </c>
      <c r="D2896">
        <v>20353</v>
      </c>
      <c r="E2896">
        <v>492</v>
      </c>
      <c r="F2896" t="s">
        <v>86</v>
      </c>
    </row>
    <row r="2897" spans="1:6" x14ac:dyDescent="0.3">
      <c r="A2897" s="20">
        <v>45790</v>
      </c>
      <c r="B2897">
        <v>13</v>
      </c>
      <c r="C2897" t="s">
        <v>160</v>
      </c>
      <c r="D2897">
        <v>269</v>
      </c>
      <c r="E2897">
        <v>60</v>
      </c>
      <c r="F2897" t="s">
        <v>32</v>
      </c>
    </row>
    <row r="2898" spans="1:6" x14ac:dyDescent="0.3">
      <c r="A2898" s="20">
        <v>45790</v>
      </c>
      <c r="B2898">
        <v>13</v>
      </c>
      <c r="C2898" t="s">
        <v>160</v>
      </c>
      <c r="D2898">
        <v>3626</v>
      </c>
      <c r="E2898">
        <v>728</v>
      </c>
      <c r="F2898" t="s">
        <v>229</v>
      </c>
    </row>
    <row r="2899" spans="1:6" x14ac:dyDescent="0.3">
      <c r="A2899" s="20">
        <v>45790</v>
      </c>
      <c r="B2899">
        <v>13</v>
      </c>
      <c r="C2899" t="s">
        <v>160</v>
      </c>
      <c r="D2899">
        <v>14</v>
      </c>
      <c r="E2899">
        <v>6</v>
      </c>
      <c r="F2899" t="s">
        <v>138</v>
      </c>
    </row>
    <row r="2900" spans="1:6" x14ac:dyDescent="0.3">
      <c r="A2900" s="20">
        <v>45790</v>
      </c>
      <c r="B2900">
        <v>13</v>
      </c>
      <c r="C2900" t="s">
        <v>162</v>
      </c>
      <c r="D2900">
        <v>13476</v>
      </c>
      <c r="E2900">
        <v>1587</v>
      </c>
      <c r="F2900" t="s">
        <v>47</v>
      </c>
    </row>
    <row r="2901" spans="1:6" x14ac:dyDescent="0.3">
      <c r="A2901" s="20">
        <v>45790</v>
      </c>
      <c r="B2901">
        <v>13</v>
      </c>
      <c r="C2901" t="s">
        <v>55</v>
      </c>
      <c r="D2901">
        <v>95613</v>
      </c>
      <c r="E2901">
        <v>7853</v>
      </c>
      <c r="F2901" t="s">
        <v>38</v>
      </c>
    </row>
    <row r="2902" spans="1:6" x14ac:dyDescent="0.3">
      <c r="A2902" s="20">
        <v>45790</v>
      </c>
      <c r="B2902">
        <v>14</v>
      </c>
      <c r="C2902" t="s">
        <v>73</v>
      </c>
      <c r="D2902">
        <v>0</v>
      </c>
      <c r="E2902">
        <v>0</v>
      </c>
      <c r="F2902" t="s">
        <v>74</v>
      </c>
    </row>
    <row r="2903" spans="1:6" x14ac:dyDescent="0.3">
      <c r="A2903" s="20">
        <v>45790</v>
      </c>
      <c r="B2903">
        <v>14</v>
      </c>
      <c r="C2903" t="s">
        <v>73</v>
      </c>
      <c r="D2903">
        <v>0</v>
      </c>
      <c r="E2903">
        <v>0</v>
      </c>
      <c r="F2903" t="s">
        <v>234</v>
      </c>
    </row>
    <row r="2904" spans="1:6" x14ac:dyDescent="0.3">
      <c r="A2904" s="20">
        <v>45790</v>
      </c>
      <c r="B2904">
        <v>14</v>
      </c>
      <c r="C2904" t="s">
        <v>73</v>
      </c>
      <c r="D2904">
        <v>0</v>
      </c>
      <c r="E2904">
        <v>0</v>
      </c>
      <c r="F2904" t="s">
        <v>45</v>
      </c>
    </row>
    <row r="2905" spans="1:6" x14ac:dyDescent="0.3">
      <c r="A2905" s="20">
        <v>45790</v>
      </c>
      <c r="B2905">
        <v>14</v>
      </c>
      <c r="C2905" t="s">
        <v>73</v>
      </c>
      <c r="D2905">
        <v>0</v>
      </c>
      <c r="E2905">
        <v>0</v>
      </c>
      <c r="F2905" t="s">
        <v>38</v>
      </c>
    </row>
    <row r="2906" spans="1:6" x14ac:dyDescent="0.3">
      <c r="A2906" s="20">
        <v>45790</v>
      </c>
      <c r="B2906">
        <v>14</v>
      </c>
      <c r="C2906" t="s">
        <v>50</v>
      </c>
      <c r="D2906">
        <v>353</v>
      </c>
      <c r="E2906">
        <v>68</v>
      </c>
      <c r="F2906" t="s">
        <v>31</v>
      </c>
    </row>
    <row r="2907" spans="1:6" x14ac:dyDescent="0.3">
      <c r="A2907" s="20">
        <v>45790</v>
      </c>
      <c r="B2907">
        <v>14</v>
      </c>
      <c r="C2907" t="s">
        <v>243</v>
      </c>
      <c r="D2907">
        <v>16444</v>
      </c>
      <c r="E2907">
        <v>1489</v>
      </c>
      <c r="F2907" t="s">
        <v>31</v>
      </c>
    </row>
    <row r="2908" spans="1:6" x14ac:dyDescent="0.3">
      <c r="A2908" s="20">
        <v>45790</v>
      </c>
      <c r="B2908">
        <v>14</v>
      </c>
      <c r="C2908" t="s">
        <v>152</v>
      </c>
      <c r="D2908">
        <v>7950</v>
      </c>
      <c r="E2908">
        <v>685</v>
      </c>
      <c r="F2908" t="s">
        <v>138</v>
      </c>
    </row>
    <row r="2909" spans="1:6" x14ac:dyDescent="0.3">
      <c r="A2909" s="20">
        <v>45790</v>
      </c>
      <c r="B2909">
        <v>14</v>
      </c>
      <c r="C2909" t="s">
        <v>233</v>
      </c>
      <c r="D2909">
        <v>17080</v>
      </c>
      <c r="E2909">
        <v>2282</v>
      </c>
      <c r="F2909" t="s">
        <v>34</v>
      </c>
    </row>
    <row r="2910" spans="1:6" x14ac:dyDescent="0.3">
      <c r="A2910" s="20">
        <v>45790</v>
      </c>
      <c r="B2910">
        <v>14</v>
      </c>
      <c r="C2910" t="s">
        <v>238</v>
      </c>
      <c r="D2910">
        <v>11175</v>
      </c>
      <c r="E2910">
        <v>1230</v>
      </c>
      <c r="F2910" t="s">
        <v>229</v>
      </c>
    </row>
    <row r="2911" spans="1:6" x14ac:dyDescent="0.3">
      <c r="A2911" s="20">
        <v>45790</v>
      </c>
      <c r="B2911">
        <v>14</v>
      </c>
      <c r="C2911" t="s">
        <v>261</v>
      </c>
      <c r="D2911">
        <v>23196</v>
      </c>
      <c r="E2911">
        <v>1459</v>
      </c>
      <c r="F2911" t="s">
        <v>31</v>
      </c>
    </row>
    <row r="2912" spans="1:6" x14ac:dyDescent="0.3">
      <c r="A2912" s="20">
        <v>45790</v>
      </c>
      <c r="B2912">
        <v>14</v>
      </c>
      <c r="C2912" t="s">
        <v>155</v>
      </c>
      <c r="D2912">
        <v>46</v>
      </c>
      <c r="E2912">
        <v>13</v>
      </c>
      <c r="F2912" t="s">
        <v>229</v>
      </c>
    </row>
    <row r="2913" spans="1:6" x14ac:dyDescent="0.3">
      <c r="A2913" s="20">
        <v>45790</v>
      </c>
      <c r="B2913">
        <v>14</v>
      </c>
      <c r="C2913" t="s">
        <v>250</v>
      </c>
      <c r="D2913">
        <v>813</v>
      </c>
      <c r="E2913">
        <v>111</v>
      </c>
      <c r="F2913" t="s">
        <v>86</v>
      </c>
    </row>
    <row r="2914" spans="1:6" x14ac:dyDescent="0.3">
      <c r="A2914" s="20">
        <v>45790</v>
      </c>
      <c r="B2914">
        <v>14</v>
      </c>
      <c r="C2914" t="s">
        <v>250</v>
      </c>
      <c r="D2914">
        <v>262</v>
      </c>
      <c r="E2914">
        <v>58</v>
      </c>
      <c r="F2914" t="s">
        <v>257</v>
      </c>
    </row>
    <row r="2915" spans="1:6" x14ac:dyDescent="0.3">
      <c r="A2915" s="20">
        <v>45790</v>
      </c>
      <c r="B2915">
        <v>14</v>
      </c>
      <c r="C2915" t="s">
        <v>240</v>
      </c>
      <c r="D2915">
        <v>20298</v>
      </c>
      <c r="E2915">
        <v>1053</v>
      </c>
      <c r="F2915" t="s">
        <v>38</v>
      </c>
    </row>
    <row r="2916" spans="1:6" x14ac:dyDescent="0.3">
      <c r="A2916" s="20">
        <v>45790</v>
      </c>
      <c r="B2916">
        <v>14</v>
      </c>
      <c r="C2916" t="s">
        <v>251</v>
      </c>
      <c r="D2916">
        <v>2589</v>
      </c>
      <c r="E2916">
        <v>315</v>
      </c>
      <c r="F2916" t="s">
        <v>47</v>
      </c>
    </row>
    <row r="2917" spans="1:6" x14ac:dyDescent="0.3">
      <c r="A2917" s="20">
        <v>45790</v>
      </c>
      <c r="B2917">
        <v>14</v>
      </c>
      <c r="C2917" t="s">
        <v>251</v>
      </c>
      <c r="D2917">
        <v>7545</v>
      </c>
      <c r="E2917">
        <v>788</v>
      </c>
      <c r="F2917" t="s">
        <v>44</v>
      </c>
    </row>
    <row r="2918" spans="1:6" x14ac:dyDescent="0.3">
      <c r="A2918" s="20">
        <v>45790</v>
      </c>
      <c r="B2918">
        <v>14</v>
      </c>
      <c r="C2918" t="s">
        <v>235</v>
      </c>
      <c r="D2918">
        <v>4624</v>
      </c>
      <c r="E2918">
        <v>350</v>
      </c>
      <c r="F2918" t="s">
        <v>39</v>
      </c>
    </row>
    <row r="2919" spans="1:6" x14ac:dyDescent="0.3">
      <c r="A2919" s="20">
        <v>45790</v>
      </c>
      <c r="B2919">
        <v>15</v>
      </c>
      <c r="C2919" t="s">
        <v>73</v>
      </c>
      <c r="D2919">
        <v>0</v>
      </c>
      <c r="E2919">
        <v>0</v>
      </c>
      <c r="F2919" t="s">
        <v>163</v>
      </c>
    </row>
    <row r="2920" spans="1:6" x14ac:dyDescent="0.3">
      <c r="A2920" s="20">
        <v>45790</v>
      </c>
      <c r="B2920">
        <v>15</v>
      </c>
      <c r="C2920" t="s">
        <v>73</v>
      </c>
      <c r="D2920">
        <v>0</v>
      </c>
      <c r="E2920">
        <v>0</v>
      </c>
      <c r="F2920" t="s">
        <v>43</v>
      </c>
    </row>
    <row r="2921" spans="1:6" x14ac:dyDescent="0.3">
      <c r="A2921" s="20">
        <v>45790</v>
      </c>
      <c r="B2921">
        <v>15</v>
      </c>
      <c r="C2921" t="s">
        <v>263</v>
      </c>
      <c r="D2921">
        <v>15173</v>
      </c>
      <c r="E2921">
        <v>692</v>
      </c>
      <c r="F2921" t="s">
        <v>229</v>
      </c>
    </row>
    <row r="2922" spans="1:6" x14ac:dyDescent="0.3">
      <c r="A2922" s="20">
        <v>45790</v>
      </c>
      <c r="B2922">
        <v>15</v>
      </c>
      <c r="C2922" t="s">
        <v>67</v>
      </c>
      <c r="D2922">
        <v>5569</v>
      </c>
      <c r="E2922">
        <v>242</v>
      </c>
      <c r="F2922" t="s">
        <v>31</v>
      </c>
    </row>
    <row r="2923" spans="1:6" x14ac:dyDescent="0.3">
      <c r="A2923" s="20">
        <v>45790</v>
      </c>
      <c r="B2923">
        <v>15</v>
      </c>
      <c r="C2923" t="s">
        <v>52</v>
      </c>
      <c r="D2923">
        <v>40</v>
      </c>
      <c r="E2923">
        <v>40</v>
      </c>
      <c r="F2923" t="s">
        <v>259</v>
      </c>
    </row>
    <row r="2924" spans="1:6" x14ac:dyDescent="0.3">
      <c r="A2924" s="20">
        <v>45790</v>
      </c>
      <c r="B2924">
        <v>15</v>
      </c>
      <c r="C2924" t="s">
        <v>244</v>
      </c>
      <c r="D2924">
        <v>41160</v>
      </c>
      <c r="E2924">
        <v>3972</v>
      </c>
      <c r="F2924" t="s">
        <v>31</v>
      </c>
    </row>
    <row r="2925" spans="1:6" x14ac:dyDescent="0.3">
      <c r="A2925" s="20">
        <v>45790</v>
      </c>
      <c r="B2925">
        <v>15</v>
      </c>
      <c r="C2925" t="s">
        <v>232</v>
      </c>
      <c r="D2925">
        <v>470</v>
      </c>
      <c r="E2925">
        <v>48</v>
      </c>
      <c r="F2925" t="s">
        <v>68</v>
      </c>
    </row>
    <row r="2926" spans="1:6" x14ac:dyDescent="0.3">
      <c r="A2926" s="20">
        <v>45790</v>
      </c>
      <c r="B2926">
        <v>15</v>
      </c>
      <c r="C2926" t="s">
        <v>265</v>
      </c>
      <c r="D2926">
        <v>16327</v>
      </c>
      <c r="E2926">
        <v>806</v>
      </c>
      <c r="F2926" t="s">
        <v>31</v>
      </c>
    </row>
    <row r="2927" spans="1:6" x14ac:dyDescent="0.3">
      <c r="A2927" s="20">
        <v>45790</v>
      </c>
      <c r="B2927">
        <v>15</v>
      </c>
      <c r="C2927" t="s">
        <v>255</v>
      </c>
      <c r="D2927">
        <v>9439</v>
      </c>
      <c r="E2927">
        <v>1686</v>
      </c>
      <c r="F2927" t="s">
        <v>74</v>
      </c>
    </row>
    <row r="2928" spans="1:6" x14ac:dyDescent="0.3">
      <c r="A2928" s="20">
        <v>45790</v>
      </c>
      <c r="B2928">
        <v>15</v>
      </c>
      <c r="C2928" t="s">
        <v>155</v>
      </c>
      <c r="D2928">
        <v>30</v>
      </c>
      <c r="E2928">
        <v>22</v>
      </c>
      <c r="F2928" t="s">
        <v>32</v>
      </c>
    </row>
    <row r="2929" spans="1:6" x14ac:dyDescent="0.3">
      <c r="A2929" s="20">
        <v>45790</v>
      </c>
      <c r="B2929">
        <v>15</v>
      </c>
      <c r="C2929" t="s">
        <v>250</v>
      </c>
      <c r="D2929">
        <v>7650</v>
      </c>
      <c r="E2929">
        <v>2228</v>
      </c>
      <c r="F2929" t="s">
        <v>252</v>
      </c>
    </row>
    <row r="2930" spans="1:6" x14ac:dyDescent="0.3">
      <c r="A2930" s="20">
        <v>45790</v>
      </c>
      <c r="B2930">
        <v>15</v>
      </c>
      <c r="C2930" t="s">
        <v>160</v>
      </c>
      <c r="D2930">
        <v>4507</v>
      </c>
      <c r="E2930">
        <v>775</v>
      </c>
      <c r="F2930" t="s">
        <v>231</v>
      </c>
    </row>
    <row r="2931" spans="1:6" x14ac:dyDescent="0.3">
      <c r="A2931" s="20">
        <v>45790</v>
      </c>
      <c r="B2931">
        <v>15</v>
      </c>
      <c r="C2931" t="s">
        <v>160</v>
      </c>
      <c r="D2931">
        <v>1</v>
      </c>
      <c r="E2931">
        <v>1</v>
      </c>
      <c r="F2931" t="s">
        <v>77</v>
      </c>
    </row>
    <row r="2932" spans="1:6" x14ac:dyDescent="0.3">
      <c r="A2932" s="20">
        <v>45790</v>
      </c>
      <c r="B2932">
        <v>15</v>
      </c>
      <c r="C2932" t="s">
        <v>126</v>
      </c>
      <c r="D2932">
        <v>11</v>
      </c>
      <c r="E2932">
        <v>11</v>
      </c>
      <c r="F2932" t="s">
        <v>38</v>
      </c>
    </row>
    <row r="2933" spans="1:6" x14ac:dyDescent="0.3">
      <c r="A2933" s="20">
        <v>45790</v>
      </c>
      <c r="B2933">
        <v>15</v>
      </c>
      <c r="C2933" t="s">
        <v>235</v>
      </c>
      <c r="D2933">
        <v>8184</v>
      </c>
      <c r="E2933">
        <v>782</v>
      </c>
      <c r="F2933" t="s">
        <v>229</v>
      </c>
    </row>
    <row r="2934" spans="1:6" x14ac:dyDescent="0.3">
      <c r="A2934" s="20">
        <v>45790</v>
      </c>
      <c r="B2934">
        <v>16</v>
      </c>
      <c r="C2934" t="s">
        <v>73</v>
      </c>
      <c r="D2934">
        <v>0</v>
      </c>
      <c r="E2934">
        <v>0</v>
      </c>
    </row>
    <row r="2935" spans="1:6" x14ac:dyDescent="0.3">
      <c r="A2935" s="20">
        <v>45790</v>
      </c>
      <c r="B2935">
        <v>16</v>
      </c>
      <c r="C2935" t="s">
        <v>73</v>
      </c>
      <c r="D2935">
        <v>0</v>
      </c>
      <c r="E2935">
        <v>0</v>
      </c>
      <c r="F2935" t="s">
        <v>161</v>
      </c>
    </row>
    <row r="2936" spans="1:6" x14ac:dyDescent="0.3">
      <c r="A2936" s="20">
        <v>45790</v>
      </c>
      <c r="B2936">
        <v>16</v>
      </c>
      <c r="C2936" t="s">
        <v>263</v>
      </c>
      <c r="D2936">
        <v>15884</v>
      </c>
      <c r="E2936">
        <v>1229</v>
      </c>
      <c r="F2936" t="s">
        <v>45</v>
      </c>
    </row>
    <row r="2937" spans="1:6" x14ac:dyDescent="0.3">
      <c r="A2937" s="20">
        <v>45790</v>
      </c>
      <c r="B2937">
        <v>16</v>
      </c>
      <c r="C2937" t="s">
        <v>66</v>
      </c>
      <c r="D2937">
        <v>17347</v>
      </c>
      <c r="E2937">
        <v>1209</v>
      </c>
      <c r="F2937" t="s">
        <v>31</v>
      </c>
    </row>
    <row r="2938" spans="1:6" x14ac:dyDescent="0.3">
      <c r="A2938" s="20">
        <v>45790</v>
      </c>
      <c r="B2938">
        <v>16</v>
      </c>
      <c r="C2938" t="s">
        <v>158</v>
      </c>
      <c r="D2938">
        <v>11144</v>
      </c>
      <c r="E2938">
        <v>451</v>
      </c>
      <c r="F2938" t="s">
        <v>31</v>
      </c>
    </row>
    <row r="2939" spans="1:6" x14ac:dyDescent="0.3">
      <c r="A2939" s="20">
        <v>45790</v>
      </c>
      <c r="B2939">
        <v>16</v>
      </c>
      <c r="C2939" t="s">
        <v>48</v>
      </c>
      <c r="D2939">
        <v>54762</v>
      </c>
      <c r="E2939">
        <v>2902</v>
      </c>
      <c r="F2939" t="s">
        <v>31</v>
      </c>
    </row>
    <row r="2940" spans="1:6" x14ac:dyDescent="0.3">
      <c r="A2940" s="20">
        <v>45790</v>
      </c>
      <c r="B2940">
        <v>16</v>
      </c>
      <c r="C2940" t="s">
        <v>236</v>
      </c>
      <c r="D2940">
        <v>950</v>
      </c>
      <c r="E2940">
        <v>198</v>
      </c>
      <c r="F2940" t="s">
        <v>42</v>
      </c>
    </row>
    <row r="2941" spans="1:6" x14ac:dyDescent="0.3">
      <c r="A2941" s="20">
        <v>45790</v>
      </c>
      <c r="B2941">
        <v>16</v>
      </c>
      <c r="C2941" t="s">
        <v>53</v>
      </c>
      <c r="D2941">
        <v>2272</v>
      </c>
      <c r="E2941">
        <v>67</v>
      </c>
      <c r="F2941" t="s">
        <v>31</v>
      </c>
    </row>
    <row r="2942" spans="1:6" x14ac:dyDescent="0.3">
      <c r="A2942" s="20">
        <v>45790</v>
      </c>
      <c r="B2942">
        <v>16</v>
      </c>
      <c r="C2942" t="s">
        <v>36</v>
      </c>
      <c r="D2942">
        <v>381</v>
      </c>
      <c r="E2942">
        <v>78</v>
      </c>
      <c r="F2942" t="s">
        <v>31</v>
      </c>
    </row>
    <row r="2943" spans="1:6" x14ac:dyDescent="0.3">
      <c r="A2943" s="20">
        <v>45790</v>
      </c>
      <c r="B2943">
        <v>16</v>
      </c>
      <c r="C2943" t="s">
        <v>250</v>
      </c>
      <c r="D2943">
        <v>156</v>
      </c>
      <c r="E2943">
        <v>33</v>
      </c>
      <c r="F2943" t="s">
        <v>34</v>
      </c>
    </row>
    <row r="2944" spans="1:6" x14ac:dyDescent="0.3">
      <c r="A2944" s="20">
        <v>45790</v>
      </c>
      <c r="B2944">
        <v>16</v>
      </c>
      <c r="C2944" t="s">
        <v>160</v>
      </c>
      <c r="D2944">
        <v>4756</v>
      </c>
      <c r="E2944">
        <v>735</v>
      </c>
      <c r="F2944" t="s">
        <v>229</v>
      </c>
    </row>
    <row r="2945" spans="1:6" x14ac:dyDescent="0.3">
      <c r="A2945" s="20">
        <v>45790</v>
      </c>
      <c r="B2945">
        <v>16</v>
      </c>
      <c r="C2945" t="s">
        <v>162</v>
      </c>
      <c r="D2945">
        <v>12913</v>
      </c>
      <c r="E2945">
        <v>1392</v>
      </c>
      <c r="F2945" t="s">
        <v>47</v>
      </c>
    </row>
    <row r="2946" spans="1:6" x14ac:dyDescent="0.3">
      <c r="A2946" s="20">
        <v>45790</v>
      </c>
      <c r="B2946">
        <v>16</v>
      </c>
      <c r="C2946" t="s">
        <v>162</v>
      </c>
      <c r="D2946">
        <v>10857</v>
      </c>
      <c r="E2946">
        <v>950</v>
      </c>
      <c r="F2946" t="s">
        <v>44</v>
      </c>
    </row>
    <row r="2947" spans="1:6" x14ac:dyDescent="0.3">
      <c r="A2947" s="20">
        <v>45790</v>
      </c>
      <c r="B2947">
        <v>16</v>
      </c>
      <c r="C2947" t="s">
        <v>235</v>
      </c>
      <c r="D2947">
        <v>956</v>
      </c>
      <c r="E2947">
        <v>121</v>
      </c>
      <c r="F2947" t="s">
        <v>75</v>
      </c>
    </row>
    <row r="2948" spans="1:6" x14ac:dyDescent="0.3">
      <c r="A2948" s="20">
        <v>45790</v>
      </c>
      <c r="B2948">
        <v>17</v>
      </c>
      <c r="C2948" t="s">
        <v>73</v>
      </c>
      <c r="D2948">
        <v>0</v>
      </c>
      <c r="E2948">
        <v>0</v>
      </c>
      <c r="F2948" t="s">
        <v>74</v>
      </c>
    </row>
    <row r="2949" spans="1:6" x14ac:dyDescent="0.3">
      <c r="A2949" s="20">
        <v>45790</v>
      </c>
      <c r="B2949">
        <v>17</v>
      </c>
      <c r="C2949" t="s">
        <v>73</v>
      </c>
      <c r="D2949">
        <v>0</v>
      </c>
      <c r="E2949">
        <v>0</v>
      </c>
      <c r="F2949" t="s">
        <v>234</v>
      </c>
    </row>
    <row r="2950" spans="1:6" x14ac:dyDescent="0.3">
      <c r="A2950" s="20">
        <v>45790</v>
      </c>
      <c r="B2950">
        <v>17</v>
      </c>
      <c r="C2950" t="s">
        <v>50</v>
      </c>
      <c r="D2950">
        <v>326</v>
      </c>
      <c r="E2950">
        <v>55</v>
      </c>
      <c r="F2950" t="s">
        <v>31</v>
      </c>
    </row>
    <row r="2951" spans="1:6" x14ac:dyDescent="0.3">
      <c r="A2951" s="20">
        <v>45790</v>
      </c>
      <c r="B2951">
        <v>17</v>
      </c>
      <c r="C2951" t="s">
        <v>152</v>
      </c>
      <c r="D2951">
        <v>1846</v>
      </c>
      <c r="E2951">
        <v>216</v>
      </c>
      <c r="F2951" t="s">
        <v>138</v>
      </c>
    </row>
    <row r="2952" spans="1:6" x14ac:dyDescent="0.3">
      <c r="A2952" s="20">
        <v>45790</v>
      </c>
      <c r="B2952">
        <v>17</v>
      </c>
      <c r="C2952" t="s">
        <v>233</v>
      </c>
      <c r="D2952">
        <v>14292</v>
      </c>
      <c r="E2952">
        <v>2418</v>
      </c>
      <c r="F2952" t="s">
        <v>34</v>
      </c>
    </row>
    <row r="2953" spans="1:6" x14ac:dyDescent="0.3">
      <c r="A2953" s="20">
        <v>45790</v>
      </c>
      <c r="B2953">
        <v>17</v>
      </c>
      <c r="C2953" t="s">
        <v>261</v>
      </c>
      <c r="D2953">
        <v>16499</v>
      </c>
      <c r="E2953">
        <v>1105</v>
      </c>
      <c r="F2953" t="s">
        <v>31</v>
      </c>
    </row>
    <row r="2954" spans="1:6" x14ac:dyDescent="0.3">
      <c r="A2954" s="20">
        <v>45790</v>
      </c>
      <c r="B2954">
        <v>17</v>
      </c>
      <c r="C2954" t="s">
        <v>256</v>
      </c>
      <c r="D2954">
        <v>18829</v>
      </c>
      <c r="E2954">
        <v>139</v>
      </c>
      <c r="F2954" t="s">
        <v>163</v>
      </c>
    </row>
    <row r="2955" spans="1:6" x14ac:dyDescent="0.3">
      <c r="A2955" s="20">
        <v>45790</v>
      </c>
      <c r="B2955">
        <v>17</v>
      </c>
      <c r="C2955" t="s">
        <v>250</v>
      </c>
      <c r="D2955">
        <v>204</v>
      </c>
      <c r="E2955">
        <v>19</v>
      </c>
      <c r="F2955" t="s">
        <v>86</v>
      </c>
    </row>
    <row r="2956" spans="1:6" x14ac:dyDescent="0.3">
      <c r="A2956" s="20">
        <v>45790</v>
      </c>
      <c r="B2956">
        <v>17</v>
      </c>
      <c r="C2956" t="s">
        <v>250</v>
      </c>
      <c r="D2956">
        <v>336</v>
      </c>
      <c r="E2956">
        <v>94</v>
      </c>
      <c r="F2956" t="s">
        <v>257</v>
      </c>
    </row>
    <row r="2957" spans="1:6" x14ac:dyDescent="0.3">
      <c r="A2957" s="20">
        <v>45790</v>
      </c>
      <c r="B2957">
        <v>17</v>
      </c>
      <c r="C2957" t="s">
        <v>160</v>
      </c>
      <c r="D2957">
        <v>426</v>
      </c>
      <c r="E2957">
        <v>80</v>
      </c>
      <c r="F2957" t="s">
        <v>74</v>
      </c>
    </row>
    <row r="2958" spans="1:6" x14ac:dyDescent="0.3">
      <c r="A2958" s="20">
        <v>45790</v>
      </c>
      <c r="B2958">
        <v>17</v>
      </c>
      <c r="C2958" t="s">
        <v>160</v>
      </c>
      <c r="D2958">
        <v>346</v>
      </c>
      <c r="E2958">
        <v>102</v>
      </c>
      <c r="F2958" t="s">
        <v>45</v>
      </c>
    </row>
    <row r="2959" spans="1:6" x14ac:dyDescent="0.3">
      <c r="A2959" s="20">
        <v>45790</v>
      </c>
      <c r="B2959">
        <v>17</v>
      </c>
      <c r="C2959" t="s">
        <v>251</v>
      </c>
      <c r="D2959">
        <v>2951</v>
      </c>
      <c r="E2959">
        <v>193</v>
      </c>
      <c r="F2959" t="s">
        <v>44</v>
      </c>
    </row>
    <row r="2960" spans="1:6" x14ac:dyDescent="0.3">
      <c r="A2960" s="20">
        <v>45790</v>
      </c>
      <c r="B2960">
        <v>18</v>
      </c>
      <c r="C2960" t="s">
        <v>73</v>
      </c>
      <c r="D2960">
        <v>0</v>
      </c>
      <c r="E2960">
        <v>0</v>
      </c>
      <c r="F2960" t="s">
        <v>43</v>
      </c>
    </row>
    <row r="2961" spans="1:6" x14ac:dyDescent="0.3">
      <c r="A2961" s="20">
        <v>45790</v>
      </c>
      <c r="B2961">
        <v>18</v>
      </c>
      <c r="C2961" t="s">
        <v>156</v>
      </c>
      <c r="D2961">
        <v>3438</v>
      </c>
      <c r="E2961">
        <v>781</v>
      </c>
      <c r="F2961" t="s">
        <v>45</v>
      </c>
    </row>
    <row r="2962" spans="1:6" x14ac:dyDescent="0.3">
      <c r="A2962" s="20">
        <v>45790</v>
      </c>
      <c r="B2962">
        <v>18</v>
      </c>
      <c r="C2962" t="s">
        <v>139</v>
      </c>
      <c r="D2962">
        <v>429</v>
      </c>
      <c r="E2962">
        <v>8</v>
      </c>
      <c r="F2962" t="s">
        <v>46</v>
      </c>
    </row>
    <row r="2963" spans="1:6" x14ac:dyDescent="0.3">
      <c r="A2963" s="20">
        <v>45790</v>
      </c>
      <c r="B2963">
        <v>18</v>
      </c>
      <c r="C2963" t="s">
        <v>232</v>
      </c>
      <c r="D2963">
        <v>217</v>
      </c>
      <c r="E2963">
        <v>12</v>
      </c>
      <c r="F2963" t="s">
        <v>68</v>
      </c>
    </row>
    <row r="2964" spans="1:6" x14ac:dyDescent="0.3">
      <c r="A2964" s="20">
        <v>45790</v>
      </c>
      <c r="B2964">
        <v>18</v>
      </c>
      <c r="C2964" t="s">
        <v>265</v>
      </c>
      <c r="D2964">
        <v>446</v>
      </c>
      <c r="E2964">
        <v>15</v>
      </c>
      <c r="F2964" t="s">
        <v>31</v>
      </c>
    </row>
    <row r="2965" spans="1:6" x14ac:dyDescent="0.3">
      <c r="A2965" s="20">
        <v>45790</v>
      </c>
      <c r="B2965">
        <v>18</v>
      </c>
      <c r="C2965" t="s">
        <v>155</v>
      </c>
      <c r="D2965">
        <v>1</v>
      </c>
      <c r="E2965">
        <v>0</v>
      </c>
      <c r="F2965" t="s">
        <v>32</v>
      </c>
    </row>
    <row r="2966" spans="1:6" x14ac:dyDescent="0.3">
      <c r="A2966" s="20">
        <v>45790</v>
      </c>
      <c r="B2966">
        <v>18</v>
      </c>
      <c r="C2966" t="s">
        <v>250</v>
      </c>
      <c r="D2966">
        <v>10992</v>
      </c>
      <c r="E2966">
        <v>2540</v>
      </c>
      <c r="F2966" t="s">
        <v>252</v>
      </c>
    </row>
    <row r="2967" spans="1:6" x14ac:dyDescent="0.3">
      <c r="A2967" s="20">
        <v>45790</v>
      </c>
      <c r="B2967">
        <v>18</v>
      </c>
      <c r="C2967" t="s">
        <v>51</v>
      </c>
      <c r="D2967">
        <v>30849</v>
      </c>
      <c r="E2967">
        <v>1012</v>
      </c>
      <c r="F2967" t="s">
        <v>38</v>
      </c>
    </row>
    <row r="2968" spans="1:6" x14ac:dyDescent="0.3">
      <c r="A2968" s="20">
        <v>45790</v>
      </c>
      <c r="B2968">
        <v>18</v>
      </c>
      <c r="C2968" t="s">
        <v>235</v>
      </c>
      <c r="D2968">
        <v>6093</v>
      </c>
      <c r="E2968">
        <v>618</v>
      </c>
      <c r="F2968" t="s">
        <v>229</v>
      </c>
    </row>
    <row r="2969" spans="1:6" x14ac:dyDescent="0.3">
      <c r="A2969" s="20">
        <v>45790</v>
      </c>
      <c r="B2969">
        <v>19</v>
      </c>
      <c r="C2969" t="s">
        <v>73</v>
      </c>
      <c r="D2969">
        <v>0</v>
      </c>
      <c r="E2969">
        <v>0</v>
      </c>
    </row>
    <row r="2970" spans="1:6" x14ac:dyDescent="0.3">
      <c r="A2970" s="20">
        <v>45790</v>
      </c>
      <c r="B2970">
        <v>19</v>
      </c>
      <c r="C2970" t="s">
        <v>73</v>
      </c>
      <c r="D2970">
        <v>0</v>
      </c>
      <c r="E2970">
        <v>0</v>
      </c>
      <c r="F2970" t="s">
        <v>161</v>
      </c>
    </row>
    <row r="2971" spans="1:6" x14ac:dyDescent="0.3">
      <c r="A2971" s="20">
        <v>45790</v>
      </c>
      <c r="B2971">
        <v>19</v>
      </c>
      <c r="C2971" t="s">
        <v>66</v>
      </c>
      <c r="D2971">
        <v>53377</v>
      </c>
      <c r="E2971">
        <v>2163</v>
      </c>
      <c r="F2971" t="s">
        <v>31</v>
      </c>
    </row>
    <row r="2972" spans="1:6" x14ac:dyDescent="0.3">
      <c r="A2972" s="20">
        <v>45790</v>
      </c>
      <c r="B2972">
        <v>19</v>
      </c>
      <c r="C2972" t="s">
        <v>158</v>
      </c>
      <c r="D2972">
        <v>3361</v>
      </c>
      <c r="E2972">
        <v>202</v>
      </c>
      <c r="F2972" t="s">
        <v>31</v>
      </c>
    </row>
    <row r="2973" spans="1:6" x14ac:dyDescent="0.3">
      <c r="A2973" s="20">
        <v>45790</v>
      </c>
      <c r="B2973">
        <v>19</v>
      </c>
      <c r="C2973" t="s">
        <v>48</v>
      </c>
      <c r="D2973">
        <v>60131</v>
      </c>
      <c r="E2973">
        <v>2340</v>
      </c>
      <c r="F2973" t="s">
        <v>31</v>
      </c>
    </row>
    <row r="2974" spans="1:6" x14ac:dyDescent="0.3">
      <c r="A2974" s="20">
        <v>45790</v>
      </c>
      <c r="B2974">
        <v>19</v>
      </c>
      <c r="C2974" t="s">
        <v>53</v>
      </c>
      <c r="D2974">
        <v>1402</v>
      </c>
      <c r="E2974">
        <v>34</v>
      </c>
      <c r="F2974" t="s">
        <v>31</v>
      </c>
    </row>
    <row r="2975" spans="1:6" x14ac:dyDescent="0.3">
      <c r="A2975" s="20">
        <v>45790</v>
      </c>
      <c r="B2975">
        <v>19</v>
      </c>
      <c r="C2975" t="s">
        <v>250</v>
      </c>
      <c r="D2975">
        <v>112</v>
      </c>
      <c r="E2975">
        <v>16</v>
      </c>
      <c r="F2975" t="s">
        <v>34</v>
      </c>
    </row>
    <row r="2976" spans="1:6" x14ac:dyDescent="0.3">
      <c r="A2976" s="20">
        <v>45790</v>
      </c>
      <c r="B2976">
        <v>19</v>
      </c>
      <c r="C2976" t="s">
        <v>160</v>
      </c>
      <c r="D2976">
        <v>4684</v>
      </c>
      <c r="E2976">
        <v>461</v>
      </c>
      <c r="F2976" t="s">
        <v>229</v>
      </c>
    </row>
    <row r="2977" spans="1:6" x14ac:dyDescent="0.3">
      <c r="A2977" s="20">
        <v>45790</v>
      </c>
      <c r="B2977">
        <v>19</v>
      </c>
      <c r="C2977" t="s">
        <v>162</v>
      </c>
      <c r="D2977">
        <v>1574</v>
      </c>
      <c r="E2977">
        <v>275</v>
      </c>
      <c r="F2977" t="s">
        <v>47</v>
      </c>
    </row>
    <row r="2978" spans="1:6" x14ac:dyDescent="0.3">
      <c r="A2978" s="20">
        <v>45790</v>
      </c>
      <c r="B2978">
        <v>19</v>
      </c>
      <c r="C2978" t="s">
        <v>162</v>
      </c>
      <c r="D2978">
        <v>26</v>
      </c>
      <c r="E2978">
        <v>2</v>
      </c>
      <c r="F2978" t="s">
        <v>44</v>
      </c>
    </row>
    <row r="2979" spans="1:6" x14ac:dyDescent="0.3">
      <c r="A2979" s="20">
        <v>45790</v>
      </c>
      <c r="B2979">
        <v>19</v>
      </c>
      <c r="C2979" t="s">
        <v>37</v>
      </c>
      <c r="D2979">
        <v>46819</v>
      </c>
      <c r="E2979">
        <v>1025</v>
      </c>
      <c r="F2979" t="s">
        <v>38</v>
      </c>
    </row>
    <row r="2980" spans="1:6" x14ac:dyDescent="0.3">
      <c r="A2980" s="20">
        <v>45790</v>
      </c>
      <c r="B2980">
        <v>19</v>
      </c>
      <c r="C2980" t="s">
        <v>235</v>
      </c>
      <c r="D2980">
        <v>1237</v>
      </c>
      <c r="E2980">
        <v>181</v>
      </c>
      <c r="F2980" t="s">
        <v>75</v>
      </c>
    </row>
    <row r="2981" spans="1:6" x14ac:dyDescent="0.3">
      <c r="A2981" s="20">
        <v>45790</v>
      </c>
      <c r="B2981">
        <v>20</v>
      </c>
      <c r="C2981" t="s">
        <v>237</v>
      </c>
      <c r="D2981">
        <v>4529</v>
      </c>
      <c r="E2981">
        <v>359</v>
      </c>
      <c r="F2981" t="s">
        <v>31</v>
      </c>
    </row>
    <row r="2982" spans="1:6" x14ac:dyDescent="0.3">
      <c r="A2982" s="20">
        <v>45790</v>
      </c>
      <c r="B2982">
        <v>20</v>
      </c>
      <c r="C2982" t="s">
        <v>50</v>
      </c>
      <c r="D2982">
        <v>68</v>
      </c>
      <c r="E2982">
        <v>25</v>
      </c>
      <c r="F2982" t="s">
        <v>31</v>
      </c>
    </row>
    <row r="2983" spans="1:6" x14ac:dyDescent="0.3">
      <c r="A2983" s="20">
        <v>45790</v>
      </c>
      <c r="B2983">
        <v>20</v>
      </c>
      <c r="C2983" t="s">
        <v>71</v>
      </c>
      <c r="D2983">
        <v>4834</v>
      </c>
      <c r="E2983">
        <v>574</v>
      </c>
      <c r="F2983" t="s">
        <v>164</v>
      </c>
    </row>
    <row r="2984" spans="1:6" x14ac:dyDescent="0.3">
      <c r="A2984" s="20">
        <v>45790</v>
      </c>
      <c r="B2984">
        <v>20</v>
      </c>
      <c r="C2984" t="s">
        <v>256</v>
      </c>
      <c r="D2984">
        <v>5</v>
      </c>
      <c r="E2984">
        <v>0</v>
      </c>
      <c r="F2984" t="s">
        <v>163</v>
      </c>
    </row>
    <row r="2985" spans="1:6" x14ac:dyDescent="0.3">
      <c r="A2985" s="20">
        <v>45790</v>
      </c>
      <c r="B2985">
        <v>20</v>
      </c>
      <c r="C2985" t="s">
        <v>160</v>
      </c>
      <c r="D2985">
        <v>241</v>
      </c>
      <c r="E2985">
        <v>20</v>
      </c>
      <c r="F2985" t="s">
        <v>74</v>
      </c>
    </row>
    <row r="2986" spans="1:6" x14ac:dyDescent="0.3">
      <c r="A2986" s="20">
        <v>45790</v>
      </c>
      <c r="B2986">
        <v>20</v>
      </c>
      <c r="C2986" t="s">
        <v>160</v>
      </c>
      <c r="D2986">
        <v>18</v>
      </c>
      <c r="E2986">
        <v>4</v>
      </c>
      <c r="F2986" t="s">
        <v>234</v>
      </c>
    </row>
    <row r="2987" spans="1:6" x14ac:dyDescent="0.3">
      <c r="A2987" s="20">
        <v>45790</v>
      </c>
      <c r="B2987">
        <v>20</v>
      </c>
      <c r="C2987" t="s">
        <v>160</v>
      </c>
      <c r="D2987">
        <v>141</v>
      </c>
      <c r="E2987">
        <v>18</v>
      </c>
      <c r="F2987" t="s">
        <v>45</v>
      </c>
    </row>
    <row r="2988" spans="1:6" x14ac:dyDescent="0.3">
      <c r="A2988" s="20">
        <v>45790</v>
      </c>
      <c r="B2988">
        <v>20</v>
      </c>
      <c r="C2988" t="s">
        <v>124</v>
      </c>
      <c r="D2988">
        <v>43143</v>
      </c>
      <c r="E2988">
        <v>1997</v>
      </c>
      <c r="F2988" t="s">
        <v>38</v>
      </c>
    </row>
    <row r="2989" spans="1:6" x14ac:dyDescent="0.3">
      <c r="A2989" s="20">
        <v>45790</v>
      </c>
      <c r="B2989">
        <v>20</v>
      </c>
      <c r="C2989" t="s">
        <v>125</v>
      </c>
      <c r="D2989">
        <v>59241</v>
      </c>
      <c r="E2989">
        <v>2797</v>
      </c>
      <c r="F2989" t="s">
        <v>38</v>
      </c>
    </row>
    <row r="2990" spans="1:6" x14ac:dyDescent="0.3">
      <c r="A2990" s="20">
        <v>45790</v>
      </c>
      <c r="B2990">
        <v>21</v>
      </c>
      <c r="C2990" t="s">
        <v>159</v>
      </c>
      <c r="D2990">
        <v>3</v>
      </c>
      <c r="E2990">
        <v>0</v>
      </c>
      <c r="F2990" t="s">
        <v>31</v>
      </c>
    </row>
    <row r="2991" spans="1:6" x14ac:dyDescent="0.3">
      <c r="A2991" s="20">
        <v>45790</v>
      </c>
      <c r="B2991">
        <v>22</v>
      </c>
      <c r="C2991" t="s">
        <v>73</v>
      </c>
      <c r="D2991">
        <v>0</v>
      </c>
      <c r="E2991">
        <v>0</v>
      </c>
      <c r="F2991" t="s">
        <v>72</v>
      </c>
    </row>
    <row r="2992" spans="1:6" x14ac:dyDescent="0.3">
      <c r="A2992" s="20">
        <v>45790</v>
      </c>
      <c r="B2992">
        <v>8</v>
      </c>
      <c r="C2992" t="s">
        <v>156</v>
      </c>
      <c r="D2992">
        <v>107</v>
      </c>
      <c r="E2992">
        <v>12</v>
      </c>
      <c r="F2992" t="s">
        <v>33</v>
      </c>
    </row>
    <row r="2993" spans="1:6" x14ac:dyDescent="0.3">
      <c r="A2993" s="20">
        <v>45790</v>
      </c>
      <c r="B2993">
        <v>8</v>
      </c>
      <c r="C2993" t="s">
        <v>156</v>
      </c>
      <c r="D2993">
        <v>2163</v>
      </c>
      <c r="E2993">
        <v>541</v>
      </c>
      <c r="F2993" t="s">
        <v>72</v>
      </c>
    </row>
    <row r="2994" spans="1:6" x14ac:dyDescent="0.3">
      <c r="A2994" s="20">
        <v>45790</v>
      </c>
      <c r="B2994">
        <v>8</v>
      </c>
      <c r="C2994" t="s">
        <v>239</v>
      </c>
      <c r="D2994">
        <v>81964</v>
      </c>
      <c r="E2994">
        <v>8679</v>
      </c>
      <c r="F2994" t="s">
        <v>31</v>
      </c>
    </row>
    <row r="2995" spans="1:6" x14ac:dyDescent="0.3">
      <c r="A2995" s="20">
        <v>45790</v>
      </c>
      <c r="B2995">
        <v>8</v>
      </c>
      <c r="C2995" t="s">
        <v>50</v>
      </c>
      <c r="D2995">
        <v>641</v>
      </c>
      <c r="E2995">
        <v>203</v>
      </c>
      <c r="F2995" t="s">
        <v>31</v>
      </c>
    </row>
    <row r="2996" spans="1:6" x14ac:dyDescent="0.3">
      <c r="A2996" s="20">
        <v>45790</v>
      </c>
      <c r="B2996">
        <v>8</v>
      </c>
      <c r="C2996" t="s">
        <v>152</v>
      </c>
      <c r="D2996">
        <v>4023</v>
      </c>
      <c r="E2996">
        <v>563</v>
      </c>
      <c r="F2996" t="s">
        <v>138</v>
      </c>
    </row>
    <row r="2997" spans="1:6" x14ac:dyDescent="0.3">
      <c r="A2997" s="20">
        <v>45790</v>
      </c>
      <c r="B2997">
        <v>8</v>
      </c>
      <c r="C2997" t="s">
        <v>233</v>
      </c>
      <c r="D2997">
        <v>14967</v>
      </c>
      <c r="E2997">
        <v>2222</v>
      </c>
      <c r="F2997" t="s">
        <v>34</v>
      </c>
    </row>
    <row r="2998" spans="1:6" x14ac:dyDescent="0.3">
      <c r="A2998" s="20">
        <v>45790</v>
      </c>
      <c r="B2998">
        <v>8</v>
      </c>
      <c r="C2998" t="s">
        <v>238</v>
      </c>
      <c r="D2998">
        <v>8705</v>
      </c>
      <c r="E2998">
        <v>591</v>
      </c>
      <c r="F2998" t="s">
        <v>32</v>
      </c>
    </row>
    <row r="2999" spans="1:6" x14ac:dyDescent="0.3">
      <c r="A2999" s="20">
        <v>45790</v>
      </c>
      <c r="B2999">
        <v>8</v>
      </c>
      <c r="C2999" t="s">
        <v>261</v>
      </c>
      <c r="D2999">
        <v>12331</v>
      </c>
      <c r="E2999">
        <v>961</v>
      </c>
      <c r="F2999" t="s">
        <v>31</v>
      </c>
    </row>
    <row r="3000" spans="1:6" x14ac:dyDescent="0.3">
      <c r="A3000" s="20">
        <v>45790</v>
      </c>
      <c r="B3000">
        <v>8</v>
      </c>
      <c r="C3000" t="s">
        <v>255</v>
      </c>
      <c r="D3000">
        <v>12720</v>
      </c>
      <c r="E3000">
        <v>1640</v>
      </c>
      <c r="F3000" t="s">
        <v>39</v>
      </c>
    </row>
    <row r="3001" spans="1:6" x14ac:dyDescent="0.3">
      <c r="A3001" s="20">
        <v>45790</v>
      </c>
      <c r="B3001">
        <v>8</v>
      </c>
      <c r="C3001" t="s">
        <v>160</v>
      </c>
      <c r="D3001">
        <v>331</v>
      </c>
      <c r="E3001">
        <v>60</v>
      </c>
      <c r="F3001" t="s">
        <v>74</v>
      </c>
    </row>
    <row r="3002" spans="1:6" x14ac:dyDescent="0.3">
      <c r="A3002" s="20">
        <v>45790</v>
      </c>
      <c r="B3002">
        <v>8</v>
      </c>
      <c r="C3002" t="s">
        <v>37</v>
      </c>
      <c r="D3002">
        <v>64399</v>
      </c>
      <c r="E3002">
        <v>2249</v>
      </c>
      <c r="F3002" t="s">
        <v>38</v>
      </c>
    </row>
    <row r="3003" spans="1:6" x14ac:dyDescent="0.3">
      <c r="A3003" s="20">
        <v>45790</v>
      </c>
      <c r="B3003">
        <v>8</v>
      </c>
      <c r="C3003" t="s">
        <v>235</v>
      </c>
      <c r="D3003">
        <v>13874</v>
      </c>
      <c r="E3003">
        <v>1315</v>
      </c>
      <c r="F3003" t="s">
        <v>234</v>
      </c>
    </row>
    <row r="3004" spans="1:6" x14ac:dyDescent="0.3">
      <c r="A3004" s="20">
        <v>45790</v>
      </c>
      <c r="B3004">
        <v>9</v>
      </c>
      <c r="C3004" t="s">
        <v>73</v>
      </c>
      <c r="D3004">
        <v>0</v>
      </c>
      <c r="E3004">
        <v>0</v>
      </c>
      <c r="F3004" t="s">
        <v>39</v>
      </c>
    </row>
    <row r="3005" spans="1:6" x14ac:dyDescent="0.3">
      <c r="A3005" s="20">
        <v>45790</v>
      </c>
      <c r="B3005">
        <v>9</v>
      </c>
      <c r="C3005" t="s">
        <v>73</v>
      </c>
      <c r="D3005">
        <v>0</v>
      </c>
      <c r="E3005">
        <v>0</v>
      </c>
      <c r="F3005" t="s">
        <v>231</v>
      </c>
    </row>
    <row r="3006" spans="1:6" x14ac:dyDescent="0.3">
      <c r="A3006" s="20">
        <v>45790</v>
      </c>
      <c r="B3006">
        <v>9</v>
      </c>
      <c r="C3006" t="s">
        <v>73</v>
      </c>
      <c r="D3006">
        <v>0</v>
      </c>
      <c r="E3006">
        <v>0</v>
      </c>
      <c r="F3006" t="s">
        <v>46</v>
      </c>
    </row>
    <row r="3007" spans="1:6" x14ac:dyDescent="0.3">
      <c r="A3007" s="20">
        <v>45790</v>
      </c>
      <c r="B3007">
        <v>9</v>
      </c>
      <c r="C3007" t="s">
        <v>73</v>
      </c>
      <c r="D3007">
        <v>0</v>
      </c>
      <c r="E3007">
        <v>0</v>
      </c>
      <c r="F3007" t="s">
        <v>43</v>
      </c>
    </row>
    <row r="3008" spans="1:6" x14ac:dyDescent="0.3">
      <c r="A3008" s="20">
        <v>45790</v>
      </c>
      <c r="B3008">
        <v>9</v>
      </c>
      <c r="C3008" t="s">
        <v>156</v>
      </c>
      <c r="D3008">
        <v>450</v>
      </c>
      <c r="E3008">
        <v>83</v>
      </c>
      <c r="F3008" t="s">
        <v>45</v>
      </c>
    </row>
    <row r="3009" spans="1:6" x14ac:dyDescent="0.3">
      <c r="A3009" s="20">
        <v>45790</v>
      </c>
      <c r="B3009">
        <v>9</v>
      </c>
      <c r="C3009" t="s">
        <v>228</v>
      </c>
      <c r="D3009">
        <v>17631</v>
      </c>
      <c r="E3009">
        <v>2907</v>
      </c>
      <c r="F3009" t="s">
        <v>231</v>
      </c>
    </row>
    <row r="3010" spans="1:6" x14ac:dyDescent="0.3">
      <c r="A3010" s="20">
        <v>45790</v>
      </c>
      <c r="B3010">
        <v>9</v>
      </c>
      <c r="C3010" t="s">
        <v>228</v>
      </c>
      <c r="D3010">
        <v>637</v>
      </c>
      <c r="E3010">
        <v>99</v>
      </c>
      <c r="F3010" t="s">
        <v>43</v>
      </c>
    </row>
    <row r="3011" spans="1:6" x14ac:dyDescent="0.3">
      <c r="A3011" s="20">
        <v>45790</v>
      </c>
      <c r="B3011">
        <v>9</v>
      </c>
      <c r="C3011" t="s">
        <v>159</v>
      </c>
      <c r="D3011">
        <v>34878</v>
      </c>
      <c r="E3011">
        <v>1503</v>
      </c>
      <c r="F3011" t="s">
        <v>31</v>
      </c>
    </row>
    <row r="3012" spans="1:6" x14ac:dyDescent="0.3">
      <c r="A3012" s="20">
        <v>45790</v>
      </c>
      <c r="B3012">
        <v>9</v>
      </c>
      <c r="C3012" t="s">
        <v>52</v>
      </c>
      <c r="D3012">
        <v>39314</v>
      </c>
      <c r="E3012">
        <v>1890</v>
      </c>
      <c r="F3012" t="s">
        <v>31</v>
      </c>
    </row>
    <row r="3013" spans="1:6" x14ac:dyDescent="0.3">
      <c r="A3013" s="20">
        <v>45790</v>
      </c>
      <c r="B3013">
        <v>9</v>
      </c>
      <c r="C3013" t="s">
        <v>139</v>
      </c>
      <c r="D3013">
        <v>31497</v>
      </c>
      <c r="E3013">
        <v>766</v>
      </c>
      <c r="F3013" t="s">
        <v>46</v>
      </c>
    </row>
    <row r="3014" spans="1:6" x14ac:dyDescent="0.3">
      <c r="A3014" s="20">
        <v>45790</v>
      </c>
      <c r="B3014">
        <v>9</v>
      </c>
      <c r="C3014" t="s">
        <v>71</v>
      </c>
      <c r="D3014">
        <v>6960</v>
      </c>
      <c r="E3014">
        <v>2034</v>
      </c>
      <c r="F3014" t="s">
        <v>32</v>
      </c>
    </row>
    <row r="3015" spans="1:6" x14ac:dyDescent="0.3">
      <c r="A3015" s="20">
        <v>45790</v>
      </c>
      <c r="B3015">
        <v>9</v>
      </c>
      <c r="C3015" t="s">
        <v>71</v>
      </c>
      <c r="D3015">
        <v>20670</v>
      </c>
      <c r="E3015">
        <v>2274</v>
      </c>
      <c r="F3015" t="s">
        <v>164</v>
      </c>
    </row>
    <row r="3016" spans="1:6" x14ac:dyDescent="0.3">
      <c r="A3016" s="20">
        <v>45790</v>
      </c>
      <c r="B3016">
        <v>9</v>
      </c>
      <c r="C3016" t="s">
        <v>233</v>
      </c>
      <c r="D3016">
        <v>3017</v>
      </c>
      <c r="E3016">
        <v>482</v>
      </c>
      <c r="F3016" t="s">
        <v>85</v>
      </c>
    </row>
    <row r="3017" spans="1:6" x14ac:dyDescent="0.3">
      <c r="A3017" s="20">
        <v>45790</v>
      </c>
      <c r="B3017">
        <v>9</v>
      </c>
      <c r="C3017" t="s">
        <v>155</v>
      </c>
      <c r="D3017">
        <v>43</v>
      </c>
      <c r="E3017">
        <v>27</v>
      </c>
      <c r="F3017" t="s">
        <v>32</v>
      </c>
    </row>
    <row r="3018" spans="1:6" x14ac:dyDescent="0.3">
      <c r="A3018" s="20">
        <v>45790</v>
      </c>
      <c r="B3018">
        <v>9</v>
      </c>
      <c r="C3018" t="s">
        <v>155</v>
      </c>
      <c r="D3018">
        <v>19</v>
      </c>
      <c r="E3018">
        <v>1</v>
      </c>
      <c r="F3018" t="s">
        <v>33</v>
      </c>
    </row>
    <row r="3019" spans="1:6" x14ac:dyDescent="0.3">
      <c r="A3019" s="20">
        <v>45790</v>
      </c>
      <c r="B3019">
        <v>9</v>
      </c>
      <c r="C3019" t="s">
        <v>250</v>
      </c>
      <c r="D3019">
        <v>4619</v>
      </c>
      <c r="E3019">
        <v>1566</v>
      </c>
      <c r="F3019" t="s">
        <v>252</v>
      </c>
    </row>
    <row r="3020" spans="1:6" x14ac:dyDescent="0.3">
      <c r="A3020" s="20">
        <v>45790</v>
      </c>
      <c r="B3020">
        <v>9</v>
      </c>
      <c r="C3020" t="s">
        <v>160</v>
      </c>
      <c r="D3020">
        <v>8927</v>
      </c>
      <c r="E3020">
        <v>854</v>
      </c>
      <c r="F3020" t="s">
        <v>234</v>
      </c>
    </row>
    <row r="3021" spans="1:6" x14ac:dyDescent="0.3">
      <c r="A3021" s="20">
        <v>45790</v>
      </c>
      <c r="B3021">
        <v>9</v>
      </c>
      <c r="C3021" t="s">
        <v>125</v>
      </c>
      <c r="D3021">
        <v>102716</v>
      </c>
      <c r="E3021">
        <v>9568</v>
      </c>
      <c r="F3021" t="s">
        <v>38</v>
      </c>
    </row>
    <row r="3022" spans="1:6" x14ac:dyDescent="0.3">
      <c r="A3022" s="20">
        <v>45790</v>
      </c>
      <c r="B3022">
        <v>9</v>
      </c>
      <c r="C3022" t="s">
        <v>235</v>
      </c>
      <c r="D3022">
        <v>7116</v>
      </c>
      <c r="E3022">
        <v>679</v>
      </c>
      <c r="F3022" t="s">
        <v>229</v>
      </c>
    </row>
    <row r="3023" spans="1:6" x14ac:dyDescent="0.3">
      <c r="A3023" s="20">
        <v>45790</v>
      </c>
      <c r="B3023">
        <v>10</v>
      </c>
      <c r="C3023" t="s">
        <v>73</v>
      </c>
      <c r="D3023">
        <v>7</v>
      </c>
      <c r="E3023">
        <v>7</v>
      </c>
      <c r="F3023" t="s">
        <v>31</v>
      </c>
    </row>
    <row r="3024" spans="1:6" x14ac:dyDescent="0.3">
      <c r="A3024" s="20">
        <v>45790</v>
      </c>
      <c r="B3024">
        <v>10</v>
      </c>
      <c r="C3024" t="s">
        <v>73</v>
      </c>
      <c r="D3024">
        <v>0</v>
      </c>
      <c r="E3024">
        <v>0</v>
      </c>
      <c r="F3024" t="s">
        <v>161</v>
      </c>
    </row>
    <row r="3025" spans="1:6" x14ac:dyDescent="0.3">
      <c r="A3025" s="20">
        <v>45790</v>
      </c>
      <c r="B3025">
        <v>10</v>
      </c>
      <c r="C3025" t="s">
        <v>73</v>
      </c>
      <c r="D3025">
        <v>0</v>
      </c>
      <c r="E3025">
        <v>0</v>
      </c>
      <c r="F3025" t="s">
        <v>72</v>
      </c>
    </row>
    <row r="3026" spans="1:6" x14ac:dyDescent="0.3">
      <c r="A3026" s="20">
        <v>45790</v>
      </c>
      <c r="B3026">
        <v>10</v>
      </c>
      <c r="C3026" t="s">
        <v>153</v>
      </c>
      <c r="D3026">
        <v>7376</v>
      </c>
      <c r="E3026">
        <v>242</v>
      </c>
      <c r="F3026" t="s">
        <v>248</v>
      </c>
    </row>
    <row r="3027" spans="1:6" x14ac:dyDescent="0.3">
      <c r="A3027" s="20">
        <v>45790</v>
      </c>
      <c r="B3027">
        <v>10</v>
      </c>
      <c r="C3027" t="s">
        <v>66</v>
      </c>
      <c r="D3027">
        <v>32788</v>
      </c>
      <c r="E3027">
        <v>2806</v>
      </c>
      <c r="F3027" t="s">
        <v>31</v>
      </c>
    </row>
    <row r="3028" spans="1:6" x14ac:dyDescent="0.3">
      <c r="A3028" s="20">
        <v>45790</v>
      </c>
      <c r="B3028">
        <v>10</v>
      </c>
      <c r="C3028" t="s">
        <v>53</v>
      </c>
      <c r="D3028">
        <v>2241</v>
      </c>
      <c r="E3028">
        <v>83</v>
      </c>
      <c r="F3028" t="s">
        <v>31</v>
      </c>
    </row>
    <row r="3029" spans="1:6" x14ac:dyDescent="0.3">
      <c r="A3029" s="20">
        <v>45790</v>
      </c>
      <c r="B3029">
        <v>10</v>
      </c>
      <c r="C3029" t="s">
        <v>152</v>
      </c>
      <c r="D3029">
        <v>7904</v>
      </c>
      <c r="E3029">
        <v>958</v>
      </c>
      <c r="F3029" t="s">
        <v>252</v>
      </c>
    </row>
    <row r="3030" spans="1:6" x14ac:dyDescent="0.3">
      <c r="A3030" s="20">
        <v>45790</v>
      </c>
      <c r="B3030">
        <v>10</v>
      </c>
      <c r="C3030" t="s">
        <v>232</v>
      </c>
      <c r="D3030">
        <v>24595</v>
      </c>
      <c r="E3030">
        <v>3503</v>
      </c>
      <c r="F3030" t="s">
        <v>229</v>
      </c>
    </row>
    <row r="3031" spans="1:6" x14ac:dyDescent="0.3">
      <c r="A3031" s="20">
        <v>45790</v>
      </c>
      <c r="B3031">
        <v>10</v>
      </c>
      <c r="C3031" t="s">
        <v>238</v>
      </c>
      <c r="D3031">
        <v>9100</v>
      </c>
      <c r="E3031">
        <v>1089</v>
      </c>
      <c r="F3031" t="s">
        <v>47</v>
      </c>
    </row>
    <row r="3032" spans="1:6" x14ac:dyDescent="0.3">
      <c r="A3032" s="20">
        <v>45790</v>
      </c>
      <c r="B3032">
        <v>10</v>
      </c>
      <c r="C3032" t="s">
        <v>250</v>
      </c>
      <c r="D3032">
        <v>157</v>
      </c>
      <c r="E3032">
        <v>43</v>
      </c>
      <c r="F3032" t="s">
        <v>34</v>
      </c>
    </row>
    <row r="3033" spans="1:6" x14ac:dyDescent="0.3">
      <c r="A3033" s="20">
        <v>45790</v>
      </c>
      <c r="B3033">
        <v>10</v>
      </c>
      <c r="C3033" t="s">
        <v>250</v>
      </c>
      <c r="D3033">
        <v>94</v>
      </c>
      <c r="E3033">
        <v>8</v>
      </c>
      <c r="F3033" t="s">
        <v>74</v>
      </c>
    </row>
    <row r="3034" spans="1:6" x14ac:dyDescent="0.3">
      <c r="A3034" s="20">
        <v>45790</v>
      </c>
      <c r="B3034">
        <v>10</v>
      </c>
      <c r="C3034" t="s">
        <v>250</v>
      </c>
      <c r="D3034">
        <v>1207</v>
      </c>
      <c r="E3034">
        <v>161</v>
      </c>
      <c r="F3034" t="s">
        <v>75</v>
      </c>
    </row>
    <row r="3035" spans="1:6" x14ac:dyDescent="0.3">
      <c r="A3035" s="20">
        <v>45790</v>
      </c>
      <c r="B3035">
        <v>10</v>
      </c>
      <c r="C3035" t="s">
        <v>160</v>
      </c>
      <c r="D3035">
        <v>3118</v>
      </c>
      <c r="E3035">
        <v>578</v>
      </c>
      <c r="F3035" t="s">
        <v>229</v>
      </c>
    </row>
    <row r="3036" spans="1:6" x14ac:dyDescent="0.3">
      <c r="A3036" s="20">
        <v>45790</v>
      </c>
      <c r="B3036">
        <v>10</v>
      </c>
      <c r="C3036" t="s">
        <v>51</v>
      </c>
      <c r="D3036">
        <v>50654</v>
      </c>
      <c r="E3036">
        <v>2517</v>
      </c>
      <c r="F3036" t="s">
        <v>38</v>
      </c>
    </row>
    <row r="3037" spans="1:6" x14ac:dyDescent="0.3">
      <c r="A3037" s="20">
        <v>45790</v>
      </c>
      <c r="B3037">
        <v>10</v>
      </c>
      <c r="C3037" t="s">
        <v>235</v>
      </c>
      <c r="D3037">
        <v>1254</v>
      </c>
      <c r="E3037">
        <v>187</v>
      </c>
      <c r="F3037" t="s">
        <v>75</v>
      </c>
    </row>
    <row r="3038" spans="1:6" x14ac:dyDescent="0.3">
      <c r="A3038" s="20">
        <v>45790</v>
      </c>
      <c r="B3038">
        <v>11</v>
      </c>
      <c r="C3038" t="s">
        <v>239</v>
      </c>
      <c r="D3038">
        <v>70235</v>
      </c>
      <c r="E3038">
        <v>5463</v>
      </c>
      <c r="F3038" t="s">
        <v>31</v>
      </c>
    </row>
    <row r="3039" spans="1:6" x14ac:dyDescent="0.3">
      <c r="A3039" s="20">
        <v>45790</v>
      </c>
      <c r="B3039">
        <v>11</v>
      </c>
      <c r="C3039" t="s">
        <v>236</v>
      </c>
      <c r="D3039">
        <v>48853</v>
      </c>
      <c r="E3039">
        <v>5203</v>
      </c>
      <c r="F3039" t="s">
        <v>31</v>
      </c>
    </row>
    <row r="3040" spans="1:6" x14ac:dyDescent="0.3">
      <c r="A3040" s="20">
        <v>45790</v>
      </c>
      <c r="B3040">
        <v>11</v>
      </c>
      <c r="C3040" t="s">
        <v>35</v>
      </c>
      <c r="D3040">
        <v>59</v>
      </c>
      <c r="E3040">
        <v>10</v>
      </c>
      <c r="F3040" t="s">
        <v>42</v>
      </c>
    </row>
    <row r="3041" spans="1:6" x14ac:dyDescent="0.3">
      <c r="A3041" s="20">
        <v>45790</v>
      </c>
      <c r="B3041">
        <v>11</v>
      </c>
      <c r="C3041" t="s">
        <v>237</v>
      </c>
      <c r="D3041">
        <v>48196</v>
      </c>
      <c r="E3041">
        <v>4429</v>
      </c>
      <c r="F3041" t="s">
        <v>31</v>
      </c>
    </row>
    <row r="3042" spans="1:6" x14ac:dyDescent="0.3">
      <c r="A3042" s="20">
        <v>45790</v>
      </c>
      <c r="B3042">
        <v>11</v>
      </c>
      <c r="C3042" t="s">
        <v>50</v>
      </c>
      <c r="D3042">
        <v>340</v>
      </c>
      <c r="E3042">
        <v>93</v>
      </c>
      <c r="F3042" t="s">
        <v>31</v>
      </c>
    </row>
    <row r="3043" spans="1:6" x14ac:dyDescent="0.3">
      <c r="A3043" s="20">
        <v>45790</v>
      </c>
      <c r="B3043">
        <v>11</v>
      </c>
      <c r="C3043" t="s">
        <v>238</v>
      </c>
      <c r="D3043">
        <v>17627</v>
      </c>
      <c r="E3043">
        <v>1436</v>
      </c>
      <c r="F3043" t="s">
        <v>32</v>
      </c>
    </row>
    <row r="3044" spans="1:6" x14ac:dyDescent="0.3">
      <c r="A3044" s="20">
        <v>45790</v>
      </c>
      <c r="B3044">
        <v>11</v>
      </c>
      <c r="C3044" t="s">
        <v>261</v>
      </c>
      <c r="D3044">
        <v>30799</v>
      </c>
      <c r="E3044">
        <v>2221</v>
      </c>
      <c r="F3044" t="s">
        <v>31</v>
      </c>
    </row>
    <row r="3045" spans="1:6" x14ac:dyDescent="0.3">
      <c r="A3045" s="20">
        <v>45790</v>
      </c>
      <c r="B3045">
        <v>11</v>
      </c>
      <c r="C3045" t="s">
        <v>255</v>
      </c>
      <c r="D3045">
        <v>7804</v>
      </c>
      <c r="E3045">
        <v>1266</v>
      </c>
      <c r="F3045" t="s">
        <v>39</v>
      </c>
    </row>
    <row r="3046" spans="1:6" x14ac:dyDescent="0.3">
      <c r="A3046" s="20">
        <v>45790</v>
      </c>
      <c r="B3046">
        <v>11</v>
      </c>
      <c r="C3046" t="s">
        <v>256</v>
      </c>
      <c r="D3046">
        <v>3457</v>
      </c>
      <c r="E3046">
        <v>160</v>
      </c>
      <c r="F3046" t="s">
        <v>163</v>
      </c>
    </row>
    <row r="3047" spans="1:6" x14ac:dyDescent="0.3">
      <c r="A3047" s="20">
        <v>45790</v>
      </c>
      <c r="B3047">
        <v>11</v>
      </c>
      <c r="C3047" t="s">
        <v>250</v>
      </c>
      <c r="D3047">
        <v>401</v>
      </c>
      <c r="E3047">
        <v>115</v>
      </c>
      <c r="F3047" t="s">
        <v>257</v>
      </c>
    </row>
    <row r="3048" spans="1:6" x14ac:dyDescent="0.3">
      <c r="A3048" s="20">
        <v>45790</v>
      </c>
      <c r="B3048">
        <v>11</v>
      </c>
      <c r="C3048" t="s">
        <v>160</v>
      </c>
      <c r="D3048">
        <v>606</v>
      </c>
      <c r="E3048">
        <v>118</v>
      </c>
      <c r="F3048" t="s">
        <v>74</v>
      </c>
    </row>
    <row r="3049" spans="1:6" x14ac:dyDescent="0.3">
      <c r="A3049" s="20">
        <v>45790</v>
      </c>
      <c r="B3049">
        <v>11</v>
      </c>
      <c r="C3049" t="s">
        <v>124</v>
      </c>
      <c r="D3049">
        <v>65701</v>
      </c>
      <c r="E3049">
        <v>6460</v>
      </c>
      <c r="F3049" t="s">
        <v>38</v>
      </c>
    </row>
    <row r="3050" spans="1:6" x14ac:dyDescent="0.3">
      <c r="A3050" s="20">
        <v>45790</v>
      </c>
      <c r="B3050">
        <v>11</v>
      </c>
      <c r="C3050" t="s">
        <v>165</v>
      </c>
      <c r="D3050">
        <v>10</v>
      </c>
      <c r="E3050">
        <v>10</v>
      </c>
      <c r="F3050" t="s">
        <v>38</v>
      </c>
    </row>
    <row r="3051" spans="1:6" x14ac:dyDescent="0.3">
      <c r="A3051" s="20">
        <v>45790</v>
      </c>
      <c r="B3051">
        <v>11</v>
      </c>
      <c r="C3051" t="s">
        <v>235</v>
      </c>
      <c r="D3051">
        <v>14168</v>
      </c>
      <c r="E3051">
        <v>1656</v>
      </c>
      <c r="F3051" t="s">
        <v>234</v>
      </c>
    </row>
    <row r="3052" spans="1:6" x14ac:dyDescent="0.3">
      <c r="A3052" s="20">
        <v>45790</v>
      </c>
      <c r="B3052">
        <v>12</v>
      </c>
      <c r="C3052" t="s">
        <v>73</v>
      </c>
      <c r="D3052">
        <v>0</v>
      </c>
      <c r="E3052">
        <v>0</v>
      </c>
      <c r="F3052" t="s">
        <v>39</v>
      </c>
    </row>
    <row r="3053" spans="1:6" x14ac:dyDescent="0.3">
      <c r="A3053" s="20">
        <v>45790</v>
      </c>
      <c r="B3053">
        <v>12</v>
      </c>
      <c r="C3053" t="s">
        <v>73</v>
      </c>
      <c r="D3053">
        <v>0</v>
      </c>
      <c r="E3053">
        <v>0</v>
      </c>
      <c r="F3053" t="s">
        <v>231</v>
      </c>
    </row>
    <row r="3054" spans="1:6" x14ac:dyDescent="0.3">
      <c r="A3054" s="20">
        <v>45790</v>
      </c>
      <c r="B3054">
        <v>12</v>
      </c>
      <c r="C3054" t="s">
        <v>73</v>
      </c>
      <c r="D3054">
        <v>0</v>
      </c>
      <c r="E3054">
        <v>0</v>
      </c>
      <c r="F3054" t="s">
        <v>46</v>
      </c>
    </row>
    <row r="3055" spans="1:6" x14ac:dyDescent="0.3">
      <c r="A3055" s="20">
        <v>45790</v>
      </c>
      <c r="B3055">
        <v>12</v>
      </c>
      <c r="C3055" t="s">
        <v>73</v>
      </c>
      <c r="D3055">
        <v>0</v>
      </c>
      <c r="E3055">
        <v>0</v>
      </c>
      <c r="F3055" t="s">
        <v>43</v>
      </c>
    </row>
    <row r="3056" spans="1:6" x14ac:dyDescent="0.3">
      <c r="A3056" s="20">
        <v>45790</v>
      </c>
      <c r="B3056">
        <v>12</v>
      </c>
      <c r="C3056" t="s">
        <v>228</v>
      </c>
      <c r="D3056">
        <v>17619</v>
      </c>
      <c r="E3056">
        <v>2276</v>
      </c>
      <c r="F3056" t="s">
        <v>231</v>
      </c>
    </row>
    <row r="3057" spans="1:6" x14ac:dyDescent="0.3">
      <c r="A3057" s="20">
        <v>45790</v>
      </c>
      <c r="B3057">
        <v>12</v>
      </c>
      <c r="C3057" t="s">
        <v>228</v>
      </c>
      <c r="D3057">
        <v>620</v>
      </c>
      <c r="E3057">
        <v>76</v>
      </c>
      <c r="F3057" t="s">
        <v>43</v>
      </c>
    </row>
    <row r="3058" spans="1:6" x14ac:dyDescent="0.3">
      <c r="A3058" s="20">
        <v>45790</v>
      </c>
      <c r="B3058">
        <v>12</v>
      </c>
      <c r="C3058" t="s">
        <v>159</v>
      </c>
      <c r="D3058">
        <v>36093</v>
      </c>
      <c r="E3058">
        <v>1348</v>
      </c>
      <c r="F3058" t="s">
        <v>31</v>
      </c>
    </row>
    <row r="3059" spans="1:6" x14ac:dyDescent="0.3">
      <c r="A3059" s="20">
        <v>45790</v>
      </c>
      <c r="B3059">
        <v>12</v>
      </c>
      <c r="C3059" t="s">
        <v>230</v>
      </c>
      <c r="D3059">
        <v>39486</v>
      </c>
      <c r="E3059">
        <v>3276</v>
      </c>
      <c r="F3059" t="s">
        <v>31</v>
      </c>
    </row>
    <row r="3060" spans="1:6" x14ac:dyDescent="0.3">
      <c r="A3060" s="20">
        <v>45790</v>
      </c>
      <c r="B3060">
        <v>12</v>
      </c>
      <c r="C3060" t="s">
        <v>52</v>
      </c>
      <c r="D3060">
        <v>38903</v>
      </c>
      <c r="E3060">
        <v>2220</v>
      </c>
      <c r="F3060" t="s">
        <v>31</v>
      </c>
    </row>
    <row r="3061" spans="1:6" x14ac:dyDescent="0.3">
      <c r="A3061" s="20">
        <v>45790</v>
      </c>
      <c r="B3061">
        <v>12</v>
      </c>
      <c r="C3061" t="s">
        <v>139</v>
      </c>
      <c r="D3061">
        <v>35566</v>
      </c>
      <c r="E3061">
        <v>915</v>
      </c>
      <c r="F3061" t="s">
        <v>46</v>
      </c>
    </row>
    <row r="3062" spans="1:6" x14ac:dyDescent="0.3">
      <c r="A3062" s="20">
        <v>45790</v>
      </c>
      <c r="B3062">
        <v>12</v>
      </c>
      <c r="C3062" t="s">
        <v>71</v>
      </c>
      <c r="D3062">
        <v>25290</v>
      </c>
      <c r="E3062">
        <v>2709</v>
      </c>
      <c r="F3062" t="s">
        <v>164</v>
      </c>
    </row>
    <row r="3063" spans="1:6" x14ac:dyDescent="0.3">
      <c r="A3063" s="20">
        <v>45790</v>
      </c>
      <c r="B3063">
        <v>12</v>
      </c>
      <c r="C3063" t="s">
        <v>233</v>
      </c>
      <c r="D3063">
        <v>3318</v>
      </c>
      <c r="E3063">
        <v>491</v>
      </c>
      <c r="F3063" t="s">
        <v>85</v>
      </c>
    </row>
    <row r="3064" spans="1:6" x14ac:dyDescent="0.3">
      <c r="A3064" s="20">
        <v>45790</v>
      </c>
      <c r="B3064">
        <v>12</v>
      </c>
      <c r="C3064" t="s">
        <v>233</v>
      </c>
      <c r="D3064">
        <v>8011</v>
      </c>
      <c r="E3064">
        <v>749</v>
      </c>
      <c r="F3064" t="s">
        <v>39</v>
      </c>
    </row>
    <row r="3065" spans="1:6" x14ac:dyDescent="0.3">
      <c r="A3065" s="20">
        <v>45790</v>
      </c>
      <c r="B3065">
        <v>12</v>
      </c>
      <c r="C3065" t="s">
        <v>155</v>
      </c>
      <c r="D3065">
        <v>26</v>
      </c>
      <c r="E3065">
        <v>9</v>
      </c>
      <c r="F3065" t="s">
        <v>32</v>
      </c>
    </row>
    <row r="3066" spans="1:6" x14ac:dyDescent="0.3">
      <c r="A3066" s="20">
        <v>45790</v>
      </c>
      <c r="B3066">
        <v>12</v>
      </c>
      <c r="C3066" t="s">
        <v>40</v>
      </c>
      <c r="D3066">
        <v>101849</v>
      </c>
      <c r="E3066">
        <v>6853</v>
      </c>
      <c r="F3066" t="s">
        <v>38</v>
      </c>
    </row>
    <row r="3067" spans="1:6" x14ac:dyDescent="0.3">
      <c r="A3067" s="20">
        <v>45790</v>
      </c>
      <c r="B3067">
        <v>12</v>
      </c>
      <c r="C3067" t="s">
        <v>76</v>
      </c>
      <c r="D3067">
        <v>80849</v>
      </c>
      <c r="E3067">
        <v>4862</v>
      </c>
      <c r="F3067" t="s">
        <v>38</v>
      </c>
    </row>
    <row r="3068" spans="1:6" x14ac:dyDescent="0.3">
      <c r="A3068" s="20">
        <v>45790</v>
      </c>
      <c r="B3068">
        <v>12</v>
      </c>
      <c r="C3068" t="s">
        <v>81</v>
      </c>
      <c r="D3068">
        <v>80428</v>
      </c>
      <c r="E3068">
        <v>4277</v>
      </c>
      <c r="F3068" t="s">
        <v>38</v>
      </c>
    </row>
    <row r="3069" spans="1:6" x14ac:dyDescent="0.3">
      <c r="A3069" s="20">
        <v>45790</v>
      </c>
      <c r="B3069">
        <v>12</v>
      </c>
      <c r="C3069" t="s">
        <v>253</v>
      </c>
      <c r="D3069">
        <v>996</v>
      </c>
      <c r="E3069">
        <v>211</v>
      </c>
      <c r="F3069" t="s">
        <v>47</v>
      </c>
    </row>
    <row r="3070" spans="1:6" x14ac:dyDescent="0.3">
      <c r="A3070" s="20">
        <v>45790</v>
      </c>
      <c r="B3070">
        <v>12</v>
      </c>
      <c r="C3070" t="s">
        <v>253</v>
      </c>
      <c r="D3070">
        <v>733</v>
      </c>
      <c r="E3070">
        <v>151</v>
      </c>
      <c r="F3070" t="s">
        <v>44</v>
      </c>
    </row>
    <row r="3071" spans="1:6" x14ac:dyDescent="0.3">
      <c r="A3071" s="20">
        <v>45790</v>
      </c>
      <c r="B3071">
        <v>12</v>
      </c>
      <c r="C3071" t="s">
        <v>235</v>
      </c>
      <c r="D3071">
        <v>7805</v>
      </c>
      <c r="E3071">
        <v>840</v>
      </c>
      <c r="F3071" t="s">
        <v>229</v>
      </c>
    </row>
    <row r="3072" spans="1:6" x14ac:dyDescent="0.3">
      <c r="A3072" s="20">
        <v>45790</v>
      </c>
      <c r="B3072">
        <v>13</v>
      </c>
      <c r="C3072" t="s">
        <v>73</v>
      </c>
      <c r="D3072">
        <v>8</v>
      </c>
      <c r="E3072">
        <v>8</v>
      </c>
      <c r="F3072" t="s">
        <v>31</v>
      </c>
    </row>
    <row r="3073" spans="1:6" x14ac:dyDescent="0.3">
      <c r="A3073" s="20">
        <v>45790</v>
      </c>
      <c r="B3073">
        <v>13</v>
      </c>
      <c r="C3073" t="s">
        <v>73</v>
      </c>
      <c r="D3073">
        <v>0</v>
      </c>
      <c r="E3073">
        <v>0</v>
      </c>
      <c r="F3073" t="s">
        <v>161</v>
      </c>
    </row>
    <row r="3074" spans="1:6" x14ac:dyDescent="0.3">
      <c r="A3074" s="20">
        <v>45790</v>
      </c>
      <c r="B3074">
        <v>13</v>
      </c>
      <c r="C3074" t="s">
        <v>73</v>
      </c>
      <c r="D3074">
        <v>0</v>
      </c>
      <c r="E3074">
        <v>0</v>
      </c>
      <c r="F3074" t="s">
        <v>72</v>
      </c>
    </row>
    <row r="3075" spans="1:6" x14ac:dyDescent="0.3">
      <c r="A3075" s="20">
        <v>45790</v>
      </c>
      <c r="B3075">
        <v>13</v>
      </c>
      <c r="C3075" t="s">
        <v>153</v>
      </c>
      <c r="D3075">
        <v>8528</v>
      </c>
      <c r="E3075">
        <v>284</v>
      </c>
      <c r="F3075" t="s">
        <v>248</v>
      </c>
    </row>
    <row r="3076" spans="1:6" x14ac:dyDescent="0.3">
      <c r="A3076" s="20">
        <v>45790</v>
      </c>
      <c r="B3076">
        <v>13</v>
      </c>
      <c r="C3076" t="s">
        <v>156</v>
      </c>
      <c r="D3076">
        <v>10412</v>
      </c>
      <c r="E3076">
        <v>1673</v>
      </c>
      <c r="F3076" t="s">
        <v>75</v>
      </c>
    </row>
    <row r="3077" spans="1:6" x14ac:dyDescent="0.3">
      <c r="A3077" s="20">
        <v>45790</v>
      </c>
      <c r="B3077">
        <v>13</v>
      </c>
      <c r="C3077" t="s">
        <v>67</v>
      </c>
      <c r="D3077">
        <v>4545</v>
      </c>
      <c r="E3077">
        <v>117</v>
      </c>
      <c r="F3077" t="s">
        <v>42</v>
      </c>
    </row>
    <row r="3078" spans="1:6" x14ac:dyDescent="0.3">
      <c r="A3078" s="20">
        <v>45790</v>
      </c>
      <c r="B3078">
        <v>13</v>
      </c>
      <c r="C3078" t="s">
        <v>241</v>
      </c>
      <c r="D3078">
        <v>13682</v>
      </c>
      <c r="E3078">
        <v>858</v>
      </c>
      <c r="F3078" t="s">
        <v>31</v>
      </c>
    </row>
    <row r="3079" spans="1:6" x14ac:dyDescent="0.3">
      <c r="A3079" s="20">
        <v>45790</v>
      </c>
      <c r="B3079">
        <v>13</v>
      </c>
      <c r="C3079" t="s">
        <v>66</v>
      </c>
      <c r="D3079">
        <v>37512</v>
      </c>
      <c r="E3079">
        <v>3135</v>
      </c>
      <c r="F3079" t="s">
        <v>31</v>
      </c>
    </row>
    <row r="3080" spans="1:6" x14ac:dyDescent="0.3">
      <c r="A3080" s="20">
        <v>45790</v>
      </c>
      <c r="B3080">
        <v>13</v>
      </c>
      <c r="C3080" t="s">
        <v>254</v>
      </c>
      <c r="D3080">
        <v>12831</v>
      </c>
      <c r="E3080">
        <v>597</v>
      </c>
      <c r="F3080" t="s">
        <v>31</v>
      </c>
    </row>
    <row r="3081" spans="1:6" x14ac:dyDescent="0.3">
      <c r="A3081" s="20">
        <v>45790</v>
      </c>
      <c r="B3081">
        <v>13</v>
      </c>
      <c r="C3081" t="s">
        <v>152</v>
      </c>
      <c r="D3081">
        <v>10604</v>
      </c>
      <c r="E3081">
        <v>1382</v>
      </c>
      <c r="F3081" t="s">
        <v>252</v>
      </c>
    </row>
    <row r="3082" spans="1:6" x14ac:dyDescent="0.3">
      <c r="A3082" s="20">
        <v>45790</v>
      </c>
      <c r="B3082">
        <v>13</v>
      </c>
      <c r="C3082" t="s">
        <v>232</v>
      </c>
      <c r="D3082">
        <v>6203</v>
      </c>
      <c r="E3082">
        <v>473</v>
      </c>
      <c r="F3082" t="s">
        <v>74</v>
      </c>
    </row>
    <row r="3083" spans="1:6" x14ac:dyDescent="0.3">
      <c r="A3083" s="20">
        <v>45790</v>
      </c>
      <c r="B3083">
        <v>13</v>
      </c>
      <c r="C3083" t="s">
        <v>232</v>
      </c>
      <c r="D3083">
        <v>21755</v>
      </c>
      <c r="E3083">
        <v>3068</v>
      </c>
      <c r="F3083" t="s">
        <v>229</v>
      </c>
    </row>
    <row r="3084" spans="1:6" x14ac:dyDescent="0.3">
      <c r="A3084" s="20">
        <v>45790</v>
      </c>
      <c r="B3084">
        <v>13</v>
      </c>
      <c r="C3084" t="s">
        <v>238</v>
      </c>
      <c r="D3084">
        <v>8802</v>
      </c>
      <c r="E3084">
        <v>748</v>
      </c>
      <c r="F3084" t="s">
        <v>47</v>
      </c>
    </row>
    <row r="3085" spans="1:6" x14ac:dyDescent="0.3">
      <c r="A3085" s="20">
        <v>45790</v>
      </c>
      <c r="B3085">
        <v>13</v>
      </c>
      <c r="C3085" t="s">
        <v>238</v>
      </c>
      <c r="D3085">
        <v>2156</v>
      </c>
      <c r="E3085">
        <v>134</v>
      </c>
      <c r="F3085" t="s">
        <v>44</v>
      </c>
    </row>
    <row r="3086" spans="1:6" x14ac:dyDescent="0.3">
      <c r="A3086" s="20">
        <v>45790</v>
      </c>
      <c r="B3086">
        <v>13</v>
      </c>
      <c r="C3086" t="s">
        <v>250</v>
      </c>
      <c r="D3086">
        <v>149</v>
      </c>
      <c r="E3086">
        <v>33</v>
      </c>
      <c r="F3086" t="s">
        <v>34</v>
      </c>
    </row>
    <row r="3087" spans="1:6" x14ac:dyDescent="0.3">
      <c r="A3087" s="20">
        <v>45790</v>
      </c>
      <c r="B3087">
        <v>13</v>
      </c>
      <c r="C3087" t="s">
        <v>250</v>
      </c>
      <c r="D3087">
        <v>71</v>
      </c>
      <c r="E3087">
        <v>13</v>
      </c>
      <c r="F3087" t="s">
        <v>74</v>
      </c>
    </row>
    <row r="3088" spans="1:6" x14ac:dyDescent="0.3">
      <c r="A3088" s="20">
        <v>45790</v>
      </c>
      <c r="B3088">
        <v>13</v>
      </c>
      <c r="C3088" t="s">
        <v>250</v>
      </c>
      <c r="D3088">
        <v>697</v>
      </c>
      <c r="E3088">
        <v>73</v>
      </c>
      <c r="F3088" t="s">
        <v>75</v>
      </c>
    </row>
    <row r="3089" spans="1:6" x14ac:dyDescent="0.3">
      <c r="A3089" s="20">
        <v>45790</v>
      </c>
      <c r="B3089">
        <v>13</v>
      </c>
      <c r="C3089" t="s">
        <v>235</v>
      </c>
      <c r="D3089">
        <v>953</v>
      </c>
      <c r="E3089">
        <v>126</v>
      </c>
      <c r="F3089" t="s">
        <v>75</v>
      </c>
    </row>
    <row r="3090" spans="1:6" x14ac:dyDescent="0.3">
      <c r="A3090" s="20">
        <v>45790</v>
      </c>
      <c r="B3090">
        <v>14</v>
      </c>
      <c r="C3090" t="s">
        <v>73</v>
      </c>
      <c r="D3090">
        <v>0</v>
      </c>
      <c r="E3090">
        <v>0</v>
      </c>
      <c r="F3090" t="s">
        <v>86</v>
      </c>
    </row>
    <row r="3091" spans="1:6" x14ac:dyDescent="0.3">
      <c r="A3091" s="20">
        <v>45790</v>
      </c>
      <c r="B3091">
        <v>14</v>
      </c>
      <c r="C3091" t="s">
        <v>228</v>
      </c>
      <c r="D3091">
        <v>98</v>
      </c>
      <c r="E3091">
        <v>16</v>
      </c>
      <c r="F3091" t="s">
        <v>72</v>
      </c>
    </row>
    <row r="3092" spans="1:6" x14ac:dyDescent="0.3">
      <c r="A3092" s="20">
        <v>45790</v>
      </c>
      <c r="B3092">
        <v>14</v>
      </c>
      <c r="C3092" t="s">
        <v>157</v>
      </c>
      <c r="D3092">
        <v>13170</v>
      </c>
      <c r="E3092">
        <v>3531</v>
      </c>
      <c r="F3092" t="s">
        <v>31</v>
      </c>
    </row>
    <row r="3093" spans="1:6" x14ac:dyDescent="0.3">
      <c r="A3093" s="20">
        <v>45790</v>
      </c>
      <c r="B3093">
        <v>14</v>
      </c>
      <c r="C3093" t="s">
        <v>239</v>
      </c>
      <c r="D3093">
        <v>74864</v>
      </c>
      <c r="E3093">
        <v>5843</v>
      </c>
      <c r="F3093" t="s">
        <v>31</v>
      </c>
    </row>
    <row r="3094" spans="1:6" x14ac:dyDescent="0.3">
      <c r="A3094" s="20">
        <v>45790</v>
      </c>
      <c r="B3094">
        <v>14</v>
      </c>
      <c r="C3094" t="s">
        <v>236</v>
      </c>
      <c r="D3094">
        <v>62922</v>
      </c>
      <c r="E3094">
        <v>5895</v>
      </c>
      <c r="F3094" t="s">
        <v>31</v>
      </c>
    </row>
    <row r="3095" spans="1:6" x14ac:dyDescent="0.3">
      <c r="A3095" s="20">
        <v>45790</v>
      </c>
      <c r="B3095">
        <v>14</v>
      </c>
      <c r="C3095" t="s">
        <v>35</v>
      </c>
      <c r="D3095">
        <v>142</v>
      </c>
      <c r="E3095">
        <v>20</v>
      </c>
      <c r="F3095" t="s">
        <v>42</v>
      </c>
    </row>
    <row r="3096" spans="1:6" x14ac:dyDescent="0.3">
      <c r="A3096" s="20">
        <v>45790</v>
      </c>
      <c r="B3096">
        <v>14</v>
      </c>
      <c r="C3096" t="s">
        <v>54</v>
      </c>
      <c r="D3096">
        <v>140</v>
      </c>
      <c r="E3096">
        <v>30</v>
      </c>
      <c r="F3096" t="s">
        <v>31</v>
      </c>
    </row>
    <row r="3097" spans="1:6" x14ac:dyDescent="0.3">
      <c r="A3097" s="20">
        <v>45790</v>
      </c>
      <c r="B3097">
        <v>14</v>
      </c>
      <c r="C3097" t="s">
        <v>237</v>
      </c>
      <c r="D3097">
        <v>34825</v>
      </c>
      <c r="E3097">
        <v>3634</v>
      </c>
      <c r="F3097" t="s">
        <v>31</v>
      </c>
    </row>
    <row r="3098" spans="1:6" x14ac:dyDescent="0.3">
      <c r="A3098" s="20">
        <v>45790</v>
      </c>
      <c r="B3098">
        <v>14</v>
      </c>
      <c r="C3098" t="s">
        <v>49</v>
      </c>
      <c r="D3098">
        <v>36697</v>
      </c>
      <c r="E3098">
        <v>1521</v>
      </c>
      <c r="F3098" t="s">
        <v>42</v>
      </c>
    </row>
    <row r="3099" spans="1:6" x14ac:dyDescent="0.3">
      <c r="A3099" s="20">
        <v>45790</v>
      </c>
      <c r="B3099">
        <v>14</v>
      </c>
      <c r="C3099" t="s">
        <v>245</v>
      </c>
      <c r="D3099">
        <v>55344</v>
      </c>
      <c r="E3099">
        <v>7377</v>
      </c>
      <c r="F3099" t="s">
        <v>31</v>
      </c>
    </row>
    <row r="3100" spans="1:6" x14ac:dyDescent="0.3">
      <c r="A3100" s="20">
        <v>45790</v>
      </c>
      <c r="B3100">
        <v>14</v>
      </c>
      <c r="C3100" t="s">
        <v>264</v>
      </c>
      <c r="D3100">
        <v>419</v>
      </c>
      <c r="E3100">
        <v>86</v>
      </c>
      <c r="F3100" t="s">
        <v>31</v>
      </c>
    </row>
    <row r="3101" spans="1:6" x14ac:dyDescent="0.3">
      <c r="A3101" s="20">
        <v>45790</v>
      </c>
      <c r="B3101">
        <v>14</v>
      </c>
      <c r="C3101" t="s">
        <v>238</v>
      </c>
      <c r="D3101">
        <v>13993</v>
      </c>
      <c r="E3101">
        <v>1084</v>
      </c>
      <c r="F3101" t="s">
        <v>32</v>
      </c>
    </row>
    <row r="3102" spans="1:6" x14ac:dyDescent="0.3">
      <c r="A3102" s="20">
        <v>45790</v>
      </c>
      <c r="B3102">
        <v>14</v>
      </c>
      <c r="C3102" t="s">
        <v>255</v>
      </c>
      <c r="D3102">
        <v>9243</v>
      </c>
      <c r="E3102">
        <v>1273</v>
      </c>
      <c r="F3102" t="s">
        <v>39</v>
      </c>
    </row>
    <row r="3103" spans="1:6" x14ac:dyDescent="0.3">
      <c r="A3103" s="20">
        <v>45790</v>
      </c>
      <c r="B3103">
        <v>14</v>
      </c>
      <c r="C3103" t="s">
        <v>256</v>
      </c>
      <c r="D3103">
        <v>14054</v>
      </c>
      <c r="E3103">
        <v>102</v>
      </c>
      <c r="F3103" t="s">
        <v>163</v>
      </c>
    </row>
    <row r="3104" spans="1:6" x14ac:dyDescent="0.3">
      <c r="A3104" s="20">
        <v>45790</v>
      </c>
      <c r="B3104">
        <v>14</v>
      </c>
      <c r="C3104" t="s">
        <v>250</v>
      </c>
      <c r="D3104">
        <v>139</v>
      </c>
      <c r="E3104">
        <v>24</v>
      </c>
      <c r="F3104" t="s">
        <v>85</v>
      </c>
    </row>
    <row r="3105" spans="1:6" x14ac:dyDescent="0.3">
      <c r="A3105" s="20">
        <v>45790</v>
      </c>
      <c r="B3105">
        <v>14</v>
      </c>
      <c r="C3105" t="s">
        <v>160</v>
      </c>
      <c r="D3105">
        <v>478</v>
      </c>
      <c r="E3105">
        <v>80</v>
      </c>
      <c r="F3105" t="s">
        <v>74</v>
      </c>
    </row>
    <row r="3106" spans="1:6" x14ac:dyDescent="0.3">
      <c r="A3106" s="20">
        <v>45790</v>
      </c>
      <c r="B3106">
        <v>14</v>
      </c>
      <c r="C3106" t="s">
        <v>124</v>
      </c>
      <c r="D3106">
        <v>74909</v>
      </c>
      <c r="E3106">
        <v>5307</v>
      </c>
      <c r="F3106" t="s">
        <v>38</v>
      </c>
    </row>
    <row r="3107" spans="1:6" x14ac:dyDescent="0.3">
      <c r="A3107" s="20">
        <v>45790</v>
      </c>
      <c r="B3107">
        <v>14</v>
      </c>
      <c r="C3107" t="s">
        <v>165</v>
      </c>
      <c r="D3107">
        <v>6</v>
      </c>
      <c r="E3107">
        <v>6</v>
      </c>
      <c r="F3107" t="s">
        <v>38</v>
      </c>
    </row>
    <row r="3108" spans="1:6" x14ac:dyDescent="0.3">
      <c r="A3108" s="20">
        <v>45790</v>
      </c>
      <c r="B3108">
        <v>15</v>
      </c>
      <c r="C3108" t="s">
        <v>73</v>
      </c>
      <c r="D3108">
        <v>0</v>
      </c>
      <c r="E3108">
        <v>0</v>
      </c>
      <c r="F3108" t="s">
        <v>231</v>
      </c>
    </row>
    <row r="3109" spans="1:6" x14ac:dyDescent="0.3">
      <c r="A3109" s="20">
        <v>45790</v>
      </c>
      <c r="B3109">
        <v>15</v>
      </c>
      <c r="C3109" t="s">
        <v>228</v>
      </c>
      <c r="D3109">
        <v>21367</v>
      </c>
      <c r="E3109">
        <v>2637</v>
      </c>
      <c r="F3109" t="s">
        <v>231</v>
      </c>
    </row>
    <row r="3110" spans="1:6" x14ac:dyDescent="0.3">
      <c r="A3110" s="20">
        <v>45790</v>
      </c>
      <c r="B3110">
        <v>15</v>
      </c>
      <c r="C3110" t="s">
        <v>228</v>
      </c>
      <c r="D3110">
        <v>701</v>
      </c>
      <c r="E3110">
        <v>73</v>
      </c>
      <c r="F3110" t="s">
        <v>43</v>
      </c>
    </row>
    <row r="3111" spans="1:6" x14ac:dyDescent="0.3">
      <c r="A3111" s="20">
        <v>45790</v>
      </c>
      <c r="B3111">
        <v>15</v>
      </c>
      <c r="C3111" t="s">
        <v>159</v>
      </c>
      <c r="D3111">
        <v>29004</v>
      </c>
      <c r="E3111">
        <v>961</v>
      </c>
      <c r="F3111" t="s">
        <v>31</v>
      </c>
    </row>
    <row r="3112" spans="1:6" x14ac:dyDescent="0.3">
      <c r="A3112" s="20">
        <v>45790</v>
      </c>
      <c r="B3112">
        <v>15</v>
      </c>
      <c r="C3112" t="s">
        <v>230</v>
      </c>
      <c r="D3112">
        <v>29364</v>
      </c>
      <c r="E3112">
        <v>2256</v>
      </c>
      <c r="F3112" t="s">
        <v>31</v>
      </c>
    </row>
    <row r="3113" spans="1:6" x14ac:dyDescent="0.3">
      <c r="A3113" s="20">
        <v>45790</v>
      </c>
      <c r="B3113">
        <v>15</v>
      </c>
      <c r="C3113" t="s">
        <v>139</v>
      </c>
      <c r="D3113">
        <v>36554</v>
      </c>
      <c r="E3113">
        <v>992</v>
      </c>
      <c r="F3113" t="s">
        <v>46</v>
      </c>
    </row>
    <row r="3114" spans="1:6" x14ac:dyDescent="0.3">
      <c r="A3114" s="20">
        <v>45790</v>
      </c>
      <c r="B3114">
        <v>15</v>
      </c>
      <c r="C3114" t="s">
        <v>246</v>
      </c>
      <c r="D3114">
        <v>35988</v>
      </c>
      <c r="E3114">
        <v>4977</v>
      </c>
      <c r="F3114" t="s">
        <v>31</v>
      </c>
    </row>
    <row r="3115" spans="1:6" x14ac:dyDescent="0.3">
      <c r="A3115" s="20">
        <v>45790</v>
      </c>
      <c r="B3115">
        <v>15</v>
      </c>
      <c r="C3115" t="s">
        <v>233</v>
      </c>
      <c r="D3115">
        <v>3927</v>
      </c>
      <c r="E3115">
        <v>575</v>
      </c>
      <c r="F3115" t="s">
        <v>85</v>
      </c>
    </row>
    <row r="3116" spans="1:6" x14ac:dyDescent="0.3">
      <c r="A3116" s="20">
        <v>45790</v>
      </c>
      <c r="B3116">
        <v>15</v>
      </c>
      <c r="C3116" t="s">
        <v>160</v>
      </c>
      <c r="D3116">
        <v>1070</v>
      </c>
      <c r="E3116">
        <v>219</v>
      </c>
      <c r="F3116" t="s">
        <v>39</v>
      </c>
    </row>
    <row r="3117" spans="1:6" x14ac:dyDescent="0.3">
      <c r="A3117" s="20">
        <v>45790</v>
      </c>
      <c r="B3117">
        <v>15</v>
      </c>
      <c r="C3117" t="s">
        <v>160</v>
      </c>
      <c r="D3117">
        <v>9454</v>
      </c>
      <c r="E3117">
        <v>2139</v>
      </c>
      <c r="F3117" t="s">
        <v>43</v>
      </c>
    </row>
    <row r="3118" spans="1:6" x14ac:dyDescent="0.3">
      <c r="A3118" s="20">
        <v>45790</v>
      </c>
      <c r="B3118">
        <v>15</v>
      </c>
      <c r="C3118" t="s">
        <v>40</v>
      </c>
      <c r="D3118">
        <v>104537</v>
      </c>
      <c r="E3118">
        <v>6559</v>
      </c>
      <c r="F3118" t="s">
        <v>38</v>
      </c>
    </row>
    <row r="3119" spans="1:6" x14ac:dyDescent="0.3">
      <c r="A3119" s="20">
        <v>45790</v>
      </c>
      <c r="B3119">
        <v>15</v>
      </c>
      <c r="C3119" t="s">
        <v>76</v>
      </c>
      <c r="D3119">
        <v>87315</v>
      </c>
      <c r="E3119">
        <v>4797</v>
      </c>
      <c r="F3119" t="s">
        <v>38</v>
      </c>
    </row>
    <row r="3120" spans="1:6" x14ac:dyDescent="0.3">
      <c r="A3120" s="20">
        <v>45790</v>
      </c>
      <c r="B3120">
        <v>15</v>
      </c>
      <c r="C3120" t="s">
        <v>81</v>
      </c>
      <c r="D3120">
        <v>91599</v>
      </c>
      <c r="E3120">
        <v>4320</v>
      </c>
      <c r="F3120" t="s">
        <v>38</v>
      </c>
    </row>
    <row r="3121" spans="1:6" x14ac:dyDescent="0.3">
      <c r="A3121" s="20">
        <v>45790</v>
      </c>
      <c r="B3121">
        <v>15</v>
      </c>
      <c r="C3121" t="s">
        <v>253</v>
      </c>
      <c r="D3121">
        <v>732</v>
      </c>
      <c r="E3121">
        <v>135</v>
      </c>
      <c r="F3121" t="s">
        <v>44</v>
      </c>
    </row>
    <row r="3122" spans="1:6" x14ac:dyDescent="0.3">
      <c r="A3122" s="20">
        <v>45790</v>
      </c>
      <c r="B3122">
        <v>16</v>
      </c>
      <c r="C3122" t="s">
        <v>73</v>
      </c>
      <c r="D3122">
        <v>7</v>
      </c>
      <c r="E3122">
        <v>7</v>
      </c>
      <c r="F3122" t="s">
        <v>31</v>
      </c>
    </row>
    <row r="3123" spans="1:6" x14ac:dyDescent="0.3">
      <c r="A3123" s="20">
        <v>45790</v>
      </c>
      <c r="B3123">
        <v>16</v>
      </c>
      <c r="C3123" t="s">
        <v>73</v>
      </c>
      <c r="D3123">
        <v>0</v>
      </c>
      <c r="E3123">
        <v>0</v>
      </c>
      <c r="F3123" t="s">
        <v>72</v>
      </c>
    </row>
    <row r="3124" spans="1:6" x14ac:dyDescent="0.3">
      <c r="A3124" s="20">
        <v>45790</v>
      </c>
      <c r="B3124">
        <v>16</v>
      </c>
      <c r="C3124" t="s">
        <v>156</v>
      </c>
      <c r="D3124">
        <v>12893</v>
      </c>
      <c r="E3124">
        <v>1712</v>
      </c>
      <c r="F3124" t="s">
        <v>75</v>
      </c>
    </row>
    <row r="3125" spans="1:6" x14ac:dyDescent="0.3">
      <c r="A3125" s="20">
        <v>45790</v>
      </c>
      <c r="B3125">
        <v>16</v>
      </c>
      <c r="C3125" t="s">
        <v>67</v>
      </c>
      <c r="D3125">
        <v>6822</v>
      </c>
      <c r="E3125">
        <v>189</v>
      </c>
      <c r="F3125" t="s">
        <v>42</v>
      </c>
    </row>
    <row r="3126" spans="1:6" x14ac:dyDescent="0.3">
      <c r="A3126" s="20">
        <v>45790</v>
      </c>
      <c r="B3126">
        <v>16</v>
      </c>
      <c r="C3126" t="s">
        <v>254</v>
      </c>
      <c r="D3126">
        <v>4353</v>
      </c>
      <c r="E3126">
        <v>282</v>
      </c>
      <c r="F3126" t="s">
        <v>31</v>
      </c>
    </row>
    <row r="3127" spans="1:6" x14ac:dyDescent="0.3">
      <c r="A3127" s="20">
        <v>45790</v>
      </c>
      <c r="B3127">
        <v>16</v>
      </c>
      <c r="C3127" t="s">
        <v>152</v>
      </c>
      <c r="D3127">
        <v>9917</v>
      </c>
      <c r="E3127">
        <v>1383</v>
      </c>
      <c r="F3127" t="s">
        <v>252</v>
      </c>
    </row>
    <row r="3128" spans="1:6" x14ac:dyDescent="0.3">
      <c r="A3128" s="20">
        <v>45790</v>
      </c>
      <c r="B3128">
        <v>16</v>
      </c>
      <c r="C3128" t="s">
        <v>232</v>
      </c>
      <c r="D3128">
        <v>4629</v>
      </c>
      <c r="E3128">
        <v>307</v>
      </c>
      <c r="F3128" t="s">
        <v>74</v>
      </c>
    </row>
    <row r="3129" spans="1:6" x14ac:dyDescent="0.3">
      <c r="A3129" s="20">
        <v>45790</v>
      </c>
      <c r="B3129">
        <v>16</v>
      </c>
      <c r="C3129" t="s">
        <v>232</v>
      </c>
      <c r="D3129">
        <v>17957</v>
      </c>
      <c r="E3129">
        <v>2796</v>
      </c>
      <c r="F3129" t="s">
        <v>229</v>
      </c>
    </row>
    <row r="3130" spans="1:6" x14ac:dyDescent="0.3">
      <c r="A3130" s="20">
        <v>45790</v>
      </c>
      <c r="B3130">
        <v>16</v>
      </c>
      <c r="C3130" t="s">
        <v>238</v>
      </c>
      <c r="D3130">
        <v>5204</v>
      </c>
      <c r="E3130">
        <v>425</v>
      </c>
      <c r="F3130" t="s">
        <v>47</v>
      </c>
    </row>
    <row r="3131" spans="1:6" x14ac:dyDescent="0.3">
      <c r="A3131" s="20">
        <v>45790</v>
      </c>
      <c r="B3131">
        <v>16</v>
      </c>
      <c r="C3131" t="s">
        <v>238</v>
      </c>
      <c r="D3131">
        <v>2517</v>
      </c>
      <c r="E3131">
        <v>135</v>
      </c>
      <c r="F3131" t="s">
        <v>44</v>
      </c>
    </row>
    <row r="3132" spans="1:6" x14ac:dyDescent="0.3">
      <c r="A3132" s="20">
        <v>45790</v>
      </c>
      <c r="B3132">
        <v>16</v>
      </c>
      <c r="C3132" t="s">
        <v>250</v>
      </c>
      <c r="D3132">
        <v>73</v>
      </c>
      <c r="E3132">
        <v>7</v>
      </c>
      <c r="F3132" t="s">
        <v>74</v>
      </c>
    </row>
    <row r="3133" spans="1:6" x14ac:dyDescent="0.3">
      <c r="A3133" s="20">
        <v>45790</v>
      </c>
      <c r="B3133">
        <v>16</v>
      </c>
      <c r="C3133" t="s">
        <v>160</v>
      </c>
      <c r="D3133">
        <v>4</v>
      </c>
      <c r="E3133">
        <v>1</v>
      </c>
      <c r="F3133" t="s">
        <v>68</v>
      </c>
    </row>
    <row r="3134" spans="1:6" x14ac:dyDescent="0.3">
      <c r="A3134" s="20">
        <v>45790</v>
      </c>
      <c r="B3134">
        <v>16</v>
      </c>
      <c r="C3134" t="s">
        <v>160</v>
      </c>
      <c r="D3134">
        <v>214</v>
      </c>
      <c r="E3134">
        <v>43</v>
      </c>
      <c r="F3134" t="s">
        <v>32</v>
      </c>
    </row>
    <row r="3135" spans="1:6" x14ac:dyDescent="0.3">
      <c r="A3135" s="20">
        <v>45790</v>
      </c>
      <c r="B3135">
        <v>16</v>
      </c>
      <c r="C3135" t="s">
        <v>160</v>
      </c>
      <c r="D3135">
        <v>30</v>
      </c>
      <c r="E3135">
        <v>12</v>
      </c>
      <c r="F3135" t="s">
        <v>138</v>
      </c>
    </row>
    <row r="3136" spans="1:6" x14ac:dyDescent="0.3">
      <c r="A3136" s="20">
        <v>45790</v>
      </c>
      <c r="B3136">
        <v>16</v>
      </c>
      <c r="C3136" t="s">
        <v>160</v>
      </c>
      <c r="D3136">
        <v>106</v>
      </c>
      <c r="E3136">
        <v>19</v>
      </c>
      <c r="F3136" t="s">
        <v>161</v>
      </c>
    </row>
    <row r="3137" spans="1:6" x14ac:dyDescent="0.3">
      <c r="A3137" s="20">
        <v>45790</v>
      </c>
      <c r="B3137">
        <v>16</v>
      </c>
      <c r="C3137" t="s">
        <v>55</v>
      </c>
      <c r="D3137">
        <v>95500</v>
      </c>
      <c r="E3137">
        <v>6593</v>
      </c>
      <c r="F3137" t="s">
        <v>38</v>
      </c>
    </row>
    <row r="3138" spans="1:6" x14ac:dyDescent="0.3">
      <c r="A3138" s="20">
        <v>45790</v>
      </c>
      <c r="B3138">
        <v>17</v>
      </c>
      <c r="C3138" t="s">
        <v>73</v>
      </c>
      <c r="D3138">
        <v>0</v>
      </c>
      <c r="E3138">
        <v>0</v>
      </c>
      <c r="F3138" t="s">
        <v>86</v>
      </c>
    </row>
    <row r="3139" spans="1:6" x14ac:dyDescent="0.3">
      <c r="A3139" s="20">
        <v>45790</v>
      </c>
      <c r="B3139">
        <v>17</v>
      </c>
      <c r="C3139" t="s">
        <v>73</v>
      </c>
      <c r="D3139">
        <v>0</v>
      </c>
      <c r="E3139">
        <v>0</v>
      </c>
      <c r="F3139" t="s">
        <v>45</v>
      </c>
    </row>
    <row r="3140" spans="1:6" x14ac:dyDescent="0.3">
      <c r="A3140" s="20">
        <v>45790</v>
      </c>
      <c r="B3140">
        <v>17</v>
      </c>
      <c r="C3140" t="s">
        <v>228</v>
      </c>
      <c r="D3140">
        <v>79</v>
      </c>
      <c r="E3140">
        <v>16</v>
      </c>
      <c r="F3140" t="s">
        <v>72</v>
      </c>
    </row>
    <row r="3141" spans="1:6" x14ac:dyDescent="0.3">
      <c r="A3141" s="20">
        <v>45790</v>
      </c>
      <c r="B3141">
        <v>17</v>
      </c>
      <c r="C3141" t="s">
        <v>157</v>
      </c>
      <c r="D3141">
        <v>12172</v>
      </c>
      <c r="E3141">
        <v>3342</v>
      </c>
      <c r="F3141" t="s">
        <v>31</v>
      </c>
    </row>
    <row r="3142" spans="1:6" x14ac:dyDescent="0.3">
      <c r="A3142" s="20">
        <v>45790</v>
      </c>
      <c r="B3142">
        <v>17</v>
      </c>
      <c r="C3142" t="s">
        <v>236</v>
      </c>
      <c r="D3142">
        <v>67775</v>
      </c>
      <c r="E3142">
        <v>6155</v>
      </c>
      <c r="F3142" t="s">
        <v>31</v>
      </c>
    </row>
    <row r="3143" spans="1:6" x14ac:dyDescent="0.3">
      <c r="A3143" s="20">
        <v>45790</v>
      </c>
      <c r="B3143">
        <v>17</v>
      </c>
      <c r="C3143" t="s">
        <v>35</v>
      </c>
      <c r="D3143">
        <v>13</v>
      </c>
      <c r="E3143">
        <v>2</v>
      </c>
      <c r="F3143" t="s">
        <v>42</v>
      </c>
    </row>
    <row r="3144" spans="1:6" x14ac:dyDescent="0.3">
      <c r="A3144" s="20">
        <v>45790</v>
      </c>
      <c r="B3144">
        <v>17</v>
      </c>
      <c r="C3144" t="s">
        <v>41</v>
      </c>
      <c r="D3144">
        <v>3105</v>
      </c>
      <c r="E3144">
        <v>171</v>
      </c>
      <c r="F3144" t="s">
        <v>31</v>
      </c>
    </row>
    <row r="3145" spans="1:6" x14ac:dyDescent="0.3">
      <c r="A3145" s="20">
        <v>45790</v>
      </c>
      <c r="B3145">
        <v>17</v>
      </c>
      <c r="C3145" t="s">
        <v>54</v>
      </c>
      <c r="D3145">
        <v>138</v>
      </c>
      <c r="E3145">
        <v>19</v>
      </c>
      <c r="F3145" t="s">
        <v>31</v>
      </c>
    </row>
    <row r="3146" spans="1:6" x14ac:dyDescent="0.3">
      <c r="A3146" s="20">
        <v>45790</v>
      </c>
      <c r="B3146">
        <v>17</v>
      </c>
      <c r="C3146" t="s">
        <v>237</v>
      </c>
      <c r="D3146">
        <v>52932</v>
      </c>
      <c r="E3146">
        <v>4754</v>
      </c>
      <c r="F3146" t="s">
        <v>31</v>
      </c>
    </row>
    <row r="3147" spans="1:6" x14ac:dyDescent="0.3">
      <c r="A3147" s="20">
        <v>45790</v>
      </c>
      <c r="B3147">
        <v>17</v>
      </c>
      <c r="C3147" t="s">
        <v>49</v>
      </c>
      <c r="D3147">
        <v>5342</v>
      </c>
      <c r="E3147">
        <v>264</v>
      </c>
      <c r="F3147" t="s">
        <v>42</v>
      </c>
    </row>
    <row r="3148" spans="1:6" x14ac:dyDescent="0.3">
      <c r="A3148" s="20">
        <v>45790</v>
      </c>
      <c r="B3148">
        <v>17</v>
      </c>
      <c r="C3148" t="s">
        <v>245</v>
      </c>
      <c r="D3148">
        <v>50476</v>
      </c>
      <c r="E3148">
        <v>6488</v>
      </c>
      <c r="F3148" t="s">
        <v>31</v>
      </c>
    </row>
    <row r="3149" spans="1:6" x14ac:dyDescent="0.3">
      <c r="A3149" s="20">
        <v>45790</v>
      </c>
      <c r="B3149">
        <v>17</v>
      </c>
      <c r="C3149" t="s">
        <v>243</v>
      </c>
      <c r="D3149">
        <v>11658</v>
      </c>
      <c r="E3149">
        <v>1639</v>
      </c>
      <c r="F3149" t="s">
        <v>31</v>
      </c>
    </row>
    <row r="3150" spans="1:6" x14ac:dyDescent="0.3">
      <c r="A3150" s="20">
        <v>45790</v>
      </c>
      <c r="B3150">
        <v>17</v>
      </c>
      <c r="C3150" t="s">
        <v>264</v>
      </c>
      <c r="D3150">
        <v>282</v>
      </c>
      <c r="E3150">
        <v>44</v>
      </c>
      <c r="F3150" t="s">
        <v>31</v>
      </c>
    </row>
    <row r="3151" spans="1:6" x14ac:dyDescent="0.3">
      <c r="A3151" s="20">
        <v>45790</v>
      </c>
      <c r="B3151">
        <v>17</v>
      </c>
      <c r="C3151" t="s">
        <v>238</v>
      </c>
      <c r="D3151">
        <v>9968</v>
      </c>
      <c r="E3151">
        <v>855</v>
      </c>
      <c r="F3151" t="s">
        <v>32</v>
      </c>
    </row>
    <row r="3152" spans="1:6" x14ac:dyDescent="0.3">
      <c r="A3152" s="20">
        <v>45790</v>
      </c>
      <c r="B3152">
        <v>17</v>
      </c>
      <c r="C3152" t="s">
        <v>265</v>
      </c>
      <c r="D3152">
        <v>86</v>
      </c>
      <c r="E3152">
        <v>2</v>
      </c>
      <c r="F3152" t="s">
        <v>42</v>
      </c>
    </row>
    <row r="3153" spans="1:6" x14ac:dyDescent="0.3">
      <c r="A3153" s="20">
        <v>45790</v>
      </c>
      <c r="B3153">
        <v>17</v>
      </c>
      <c r="C3153" t="s">
        <v>155</v>
      </c>
      <c r="D3153">
        <v>119</v>
      </c>
      <c r="E3153">
        <v>37</v>
      </c>
      <c r="F3153" t="s">
        <v>229</v>
      </c>
    </row>
    <row r="3154" spans="1:6" x14ac:dyDescent="0.3">
      <c r="A3154" s="20">
        <v>45790</v>
      </c>
      <c r="B3154">
        <v>17</v>
      </c>
      <c r="C3154" t="s">
        <v>250</v>
      </c>
      <c r="D3154">
        <v>141</v>
      </c>
      <c r="E3154">
        <v>18</v>
      </c>
      <c r="F3154" t="s">
        <v>85</v>
      </c>
    </row>
    <row r="3155" spans="1:6" x14ac:dyDescent="0.3">
      <c r="A3155" s="20">
        <v>45790</v>
      </c>
      <c r="B3155">
        <v>17</v>
      </c>
      <c r="C3155" t="s">
        <v>124</v>
      </c>
      <c r="D3155">
        <v>80185</v>
      </c>
      <c r="E3155">
        <v>4980</v>
      </c>
      <c r="F3155" t="s">
        <v>38</v>
      </c>
    </row>
    <row r="3156" spans="1:6" x14ac:dyDescent="0.3">
      <c r="A3156" s="20">
        <v>45790</v>
      </c>
      <c r="B3156">
        <v>17</v>
      </c>
      <c r="C3156" t="s">
        <v>268</v>
      </c>
      <c r="D3156">
        <v>430</v>
      </c>
      <c r="E3156">
        <v>23</v>
      </c>
      <c r="F3156" t="s">
        <v>38</v>
      </c>
    </row>
    <row r="3157" spans="1:6" x14ac:dyDescent="0.3">
      <c r="A3157" s="20">
        <v>45790</v>
      </c>
      <c r="B3157">
        <v>17</v>
      </c>
      <c r="C3157" t="s">
        <v>165</v>
      </c>
      <c r="D3157">
        <v>3</v>
      </c>
      <c r="E3157">
        <v>3</v>
      </c>
      <c r="F3157" t="s">
        <v>38</v>
      </c>
    </row>
    <row r="3158" spans="1:6" x14ac:dyDescent="0.3">
      <c r="A3158" s="20">
        <v>45790</v>
      </c>
      <c r="B3158">
        <v>17</v>
      </c>
      <c r="C3158" t="s">
        <v>40</v>
      </c>
      <c r="D3158">
        <v>4846</v>
      </c>
      <c r="E3158">
        <v>340</v>
      </c>
    </row>
    <row r="3159" spans="1:6" x14ac:dyDescent="0.3">
      <c r="A3159" s="20">
        <v>45790</v>
      </c>
      <c r="B3159">
        <v>17</v>
      </c>
      <c r="C3159" t="s">
        <v>251</v>
      </c>
      <c r="D3159">
        <v>847</v>
      </c>
      <c r="E3159">
        <v>74</v>
      </c>
      <c r="F3159" t="s">
        <v>47</v>
      </c>
    </row>
    <row r="3160" spans="1:6" x14ac:dyDescent="0.3">
      <c r="A3160" s="20">
        <v>45790</v>
      </c>
      <c r="B3160">
        <v>17</v>
      </c>
      <c r="C3160" t="s">
        <v>235</v>
      </c>
      <c r="D3160">
        <v>6003</v>
      </c>
      <c r="E3160">
        <v>417</v>
      </c>
      <c r="F3160" t="s">
        <v>39</v>
      </c>
    </row>
    <row r="3161" spans="1:6" x14ac:dyDescent="0.3">
      <c r="A3161" s="20">
        <v>45790</v>
      </c>
      <c r="B3161">
        <v>18</v>
      </c>
      <c r="C3161" t="s">
        <v>73</v>
      </c>
      <c r="D3161">
        <v>0</v>
      </c>
      <c r="E3161">
        <v>0</v>
      </c>
      <c r="F3161" t="s">
        <v>163</v>
      </c>
    </row>
    <row r="3162" spans="1:6" x14ac:dyDescent="0.3">
      <c r="A3162" s="20">
        <v>45790</v>
      </c>
      <c r="B3162">
        <v>18</v>
      </c>
      <c r="C3162" t="s">
        <v>73</v>
      </c>
      <c r="D3162">
        <v>0</v>
      </c>
      <c r="E3162">
        <v>0</v>
      </c>
      <c r="F3162" t="s">
        <v>231</v>
      </c>
    </row>
    <row r="3163" spans="1:6" x14ac:dyDescent="0.3">
      <c r="A3163" s="20">
        <v>45790</v>
      </c>
      <c r="B3163">
        <v>18</v>
      </c>
      <c r="C3163" t="s">
        <v>228</v>
      </c>
      <c r="D3163">
        <v>14036</v>
      </c>
      <c r="E3163">
        <v>2416</v>
      </c>
      <c r="F3163" t="s">
        <v>231</v>
      </c>
    </row>
    <row r="3164" spans="1:6" x14ac:dyDescent="0.3">
      <c r="A3164" s="20">
        <v>45790</v>
      </c>
      <c r="B3164">
        <v>18</v>
      </c>
      <c r="C3164" t="s">
        <v>159</v>
      </c>
      <c r="D3164">
        <v>17389</v>
      </c>
      <c r="E3164">
        <v>346</v>
      </c>
      <c r="F3164" t="s">
        <v>31</v>
      </c>
    </row>
    <row r="3165" spans="1:6" x14ac:dyDescent="0.3">
      <c r="A3165" s="20">
        <v>45790</v>
      </c>
      <c r="B3165">
        <v>18</v>
      </c>
      <c r="C3165" t="s">
        <v>249</v>
      </c>
      <c r="D3165">
        <v>8917</v>
      </c>
      <c r="E3165">
        <v>245</v>
      </c>
      <c r="F3165" t="s">
        <v>31</v>
      </c>
    </row>
    <row r="3166" spans="1:6" x14ac:dyDescent="0.3">
      <c r="A3166" s="20">
        <v>45790</v>
      </c>
      <c r="B3166">
        <v>18</v>
      </c>
      <c r="C3166" t="s">
        <v>230</v>
      </c>
      <c r="D3166">
        <v>25298</v>
      </c>
      <c r="E3166">
        <v>1769</v>
      </c>
      <c r="F3166" t="s">
        <v>31</v>
      </c>
    </row>
    <row r="3167" spans="1:6" x14ac:dyDescent="0.3">
      <c r="A3167" s="20">
        <v>45790</v>
      </c>
      <c r="B3167">
        <v>18</v>
      </c>
      <c r="C3167" t="s">
        <v>242</v>
      </c>
      <c r="D3167">
        <v>31813</v>
      </c>
      <c r="E3167">
        <v>2793</v>
      </c>
      <c r="F3167" t="s">
        <v>31</v>
      </c>
    </row>
    <row r="3168" spans="1:6" x14ac:dyDescent="0.3">
      <c r="A3168" s="20">
        <v>45790</v>
      </c>
      <c r="B3168">
        <v>18</v>
      </c>
      <c r="C3168" t="s">
        <v>244</v>
      </c>
      <c r="D3168">
        <v>31078</v>
      </c>
      <c r="E3168">
        <v>2778</v>
      </c>
      <c r="F3168" t="s">
        <v>31</v>
      </c>
    </row>
    <row r="3169" spans="1:6" x14ac:dyDescent="0.3">
      <c r="A3169" s="20">
        <v>45790</v>
      </c>
      <c r="B3169">
        <v>18</v>
      </c>
      <c r="C3169" t="s">
        <v>246</v>
      </c>
      <c r="D3169">
        <v>71831</v>
      </c>
      <c r="E3169">
        <v>4764</v>
      </c>
      <c r="F3169" t="s">
        <v>31</v>
      </c>
    </row>
    <row r="3170" spans="1:6" x14ac:dyDescent="0.3">
      <c r="A3170" s="20">
        <v>45790</v>
      </c>
      <c r="B3170">
        <v>18</v>
      </c>
      <c r="C3170" t="s">
        <v>250</v>
      </c>
      <c r="D3170">
        <v>1388</v>
      </c>
      <c r="E3170">
        <v>119</v>
      </c>
      <c r="F3170" t="s">
        <v>164</v>
      </c>
    </row>
    <row r="3171" spans="1:6" x14ac:dyDescent="0.3">
      <c r="A3171" s="20">
        <v>45790</v>
      </c>
      <c r="B3171">
        <v>18</v>
      </c>
      <c r="C3171" t="s">
        <v>160</v>
      </c>
      <c r="D3171">
        <v>283</v>
      </c>
      <c r="E3171">
        <v>30</v>
      </c>
      <c r="F3171" t="s">
        <v>47</v>
      </c>
    </row>
    <row r="3172" spans="1:6" x14ac:dyDescent="0.3">
      <c r="A3172" s="20">
        <v>45790</v>
      </c>
      <c r="B3172">
        <v>18</v>
      </c>
      <c r="C3172" t="s">
        <v>160</v>
      </c>
      <c r="D3172">
        <v>819</v>
      </c>
      <c r="E3172">
        <v>164</v>
      </c>
      <c r="F3172" t="s">
        <v>39</v>
      </c>
    </row>
    <row r="3173" spans="1:6" x14ac:dyDescent="0.3">
      <c r="A3173" s="20">
        <v>45790</v>
      </c>
      <c r="B3173">
        <v>18</v>
      </c>
      <c r="C3173" t="s">
        <v>160</v>
      </c>
      <c r="D3173">
        <v>1972</v>
      </c>
      <c r="E3173">
        <v>331</v>
      </c>
      <c r="F3173" t="s">
        <v>231</v>
      </c>
    </row>
    <row r="3174" spans="1:6" x14ac:dyDescent="0.3">
      <c r="A3174" s="20">
        <v>45790</v>
      </c>
      <c r="B3174">
        <v>18</v>
      </c>
      <c r="C3174" t="s">
        <v>160</v>
      </c>
      <c r="D3174">
        <v>9985</v>
      </c>
      <c r="E3174">
        <v>2434</v>
      </c>
      <c r="F3174" t="s">
        <v>43</v>
      </c>
    </row>
    <row r="3175" spans="1:6" x14ac:dyDescent="0.3">
      <c r="A3175" s="20">
        <v>45790</v>
      </c>
      <c r="B3175">
        <v>18</v>
      </c>
      <c r="C3175" t="s">
        <v>126</v>
      </c>
      <c r="D3175">
        <v>10</v>
      </c>
      <c r="E3175">
        <v>10</v>
      </c>
      <c r="F3175" t="s">
        <v>38</v>
      </c>
    </row>
    <row r="3176" spans="1:6" x14ac:dyDescent="0.3">
      <c r="A3176" s="20">
        <v>45790</v>
      </c>
      <c r="B3176">
        <v>18</v>
      </c>
      <c r="C3176" t="s">
        <v>40</v>
      </c>
      <c r="D3176">
        <v>102228</v>
      </c>
      <c r="E3176">
        <v>5399</v>
      </c>
      <c r="F3176" t="s">
        <v>38</v>
      </c>
    </row>
    <row r="3177" spans="1:6" x14ac:dyDescent="0.3">
      <c r="A3177" s="20">
        <v>45790</v>
      </c>
      <c r="B3177">
        <v>18</v>
      </c>
      <c r="C3177" t="s">
        <v>76</v>
      </c>
      <c r="D3177">
        <v>90371</v>
      </c>
      <c r="E3177">
        <v>4978</v>
      </c>
      <c r="F3177" t="s">
        <v>38</v>
      </c>
    </row>
    <row r="3178" spans="1:6" x14ac:dyDescent="0.3">
      <c r="A3178" s="20">
        <v>45790</v>
      </c>
      <c r="B3178">
        <v>18</v>
      </c>
      <c r="C3178" t="s">
        <v>81</v>
      </c>
      <c r="D3178">
        <v>79884</v>
      </c>
      <c r="E3178">
        <v>4276</v>
      </c>
      <c r="F3178" t="s">
        <v>38</v>
      </c>
    </row>
    <row r="3179" spans="1:6" x14ac:dyDescent="0.3">
      <c r="A3179" s="20">
        <v>45790</v>
      </c>
      <c r="B3179">
        <v>18</v>
      </c>
      <c r="C3179" t="s">
        <v>235</v>
      </c>
      <c r="D3179">
        <v>553</v>
      </c>
      <c r="E3179">
        <v>74</v>
      </c>
      <c r="F3179" t="s">
        <v>161</v>
      </c>
    </row>
    <row r="3180" spans="1:6" x14ac:dyDescent="0.3">
      <c r="A3180" s="20">
        <v>45790</v>
      </c>
      <c r="B3180">
        <v>19</v>
      </c>
      <c r="C3180" t="s">
        <v>73</v>
      </c>
      <c r="D3180">
        <v>0</v>
      </c>
      <c r="E3180">
        <v>0</v>
      </c>
      <c r="F3180" t="s">
        <v>72</v>
      </c>
    </row>
    <row r="3181" spans="1:6" x14ac:dyDescent="0.3">
      <c r="A3181" s="20">
        <v>45790</v>
      </c>
      <c r="B3181">
        <v>19</v>
      </c>
      <c r="C3181" t="s">
        <v>156</v>
      </c>
      <c r="D3181">
        <v>6071</v>
      </c>
      <c r="E3181">
        <v>770</v>
      </c>
      <c r="F3181" t="s">
        <v>229</v>
      </c>
    </row>
    <row r="3182" spans="1:6" x14ac:dyDescent="0.3">
      <c r="A3182" s="20">
        <v>45790</v>
      </c>
      <c r="B3182">
        <v>19</v>
      </c>
      <c r="C3182" t="s">
        <v>158</v>
      </c>
      <c r="D3182">
        <v>2</v>
      </c>
      <c r="E3182">
        <v>0</v>
      </c>
      <c r="F3182" t="s">
        <v>42</v>
      </c>
    </row>
    <row r="3183" spans="1:6" x14ac:dyDescent="0.3">
      <c r="A3183" s="20">
        <v>45790</v>
      </c>
      <c r="B3183">
        <v>19</v>
      </c>
      <c r="C3183" t="s">
        <v>48</v>
      </c>
      <c r="D3183">
        <v>0</v>
      </c>
      <c r="E3183">
        <v>0</v>
      </c>
      <c r="F3183" t="s">
        <v>259</v>
      </c>
    </row>
    <row r="3184" spans="1:6" x14ac:dyDescent="0.3">
      <c r="A3184" s="20">
        <v>45790</v>
      </c>
      <c r="B3184">
        <v>19</v>
      </c>
      <c r="C3184" t="s">
        <v>152</v>
      </c>
      <c r="D3184">
        <v>1014</v>
      </c>
      <c r="E3184">
        <v>165</v>
      </c>
      <c r="F3184" t="s">
        <v>252</v>
      </c>
    </row>
    <row r="3185" spans="1:6" x14ac:dyDescent="0.3">
      <c r="A3185" s="20">
        <v>45790</v>
      </c>
      <c r="B3185">
        <v>19</v>
      </c>
      <c r="C3185" t="s">
        <v>232</v>
      </c>
      <c r="D3185">
        <v>1583</v>
      </c>
      <c r="E3185">
        <v>104</v>
      </c>
      <c r="F3185" t="s">
        <v>74</v>
      </c>
    </row>
    <row r="3186" spans="1:6" x14ac:dyDescent="0.3">
      <c r="A3186" s="20">
        <v>45790</v>
      </c>
      <c r="B3186">
        <v>19</v>
      </c>
      <c r="C3186" t="s">
        <v>232</v>
      </c>
      <c r="D3186">
        <v>18932</v>
      </c>
      <c r="E3186">
        <v>2376</v>
      </c>
      <c r="F3186" t="s">
        <v>229</v>
      </c>
    </row>
    <row r="3187" spans="1:6" x14ac:dyDescent="0.3">
      <c r="A3187" s="20">
        <v>45790</v>
      </c>
      <c r="B3187">
        <v>19</v>
      </c>
      <c r="C3187" t="s">
        <v>238</v>
      </c>
      <c r="D3187">
        <v>6555</v>
      </c>
      <c r="E3187">
        <v>517</v>
      </c>
      <c r="F3187" t="s">
        <v>47</v>
      </c>
    </row>
    <row r="3188" spans="1:6" x14ac:dyDescent="0.3">
      <c r="A3188" s="20">
        <v>45790</v>
      </c>
      <c r="B3188">
        <v>19</v>
      </c>
      <c r="C3188" t="s">
        <v>238</v>
      </c>
      <c r="D3188">
        <v>4429</v>
      </c>
      <c r="E3188">
        <v>183</v>
      </c>
      <c r="F3188" t="s">
        <v>44</v>
      </c>
    </row>
    <row r="3189" spans="1:6" x14ac:dyDescent="0.3">
      <c r="A3189" s="20">
        <v>45790</v>
      </c>
      <c r="B3189">
        <v>19</v>
      </c>
      <c r="C3189" t="s">
        <v>160</v>
      </c>
      <c r="D3189">
        <v>2</v>
      </c>
      <c r="E3189">
        <v>0</v>
      </c>
      <c r="F3189" t="s">
        <v>68</v>
      </c>
    </row>
    <row r="3190" spans="1:6" x14ac:dyDescent="0.3">
      <c r="A3190" s="20">
        <v>45790</v>
      </c>
      <c r="B3190">
        <v>19</v>
      </c>
      <c r="C3190" t="s">
        <v>160</v>
      </c>
      <c r="D3190">
        <v>42</v>
      </c>
      <c r="E3190">
        <v>4</v>
      </c>
      <c r="F3190" t="s">
        <v>32</v>
      </c>
    </row>
    <row r="3191" spans="1:6" x14ac:dyDescent="0.3">
      <c r="A3191" s="20">
        <v>45790</v>
      </c>
      <c r="B3191">
        <v>19</v>
      </c>
      <c r="C3191" t="s">
        <v>160</v>
      </c>
      <c r="D3191">
        <v>13</v>
      </c>
      <c r="E3191">
        <v>2</v>
      </c>
      <c r="F3191" t="s">
        <v>138</v>
      </c>
    </row>
    <row r="3192" spans="1:6" x14ac:dyDescent="0.3">
      <c r="A3192" s="20">
        <v>45790</v>
      </c>
      <c r="B3192">
        <v>19</v>
      </c>
      <c r="C3192" t="s">
        <v>160</v>
      </c>
      <c r="D3192">
        <v>32</v>
      </c>
      <c r="E3192">
        <v>1</v>
      </c>
      <c r="F3192" t="s">
        <v>161</v>
      </c>
    </row>
    <row r="3193" spans="1:6" x14ac:dyDescent="0.3">
      <c r="A3193" s="20">
        <v>45790</v>
      </c>
      <c r="B3193">
        <v>19</v>
      </c>
      <c r="C3193" t="s">
        <v>160</v>
      </c>
      <c r="D3193">
        <v>2046</v>
      </c>
      <c r="E3193">
        <v>533</v>
      </c>
      <c r="F3193" t="s">
        <v>72</v>
      </c>
    </row>
    <row r="3194" spans="1:6" x14ac:dyDescent="0.3">
      <c r="A3194" s="20">
        <v>45790</v>
      </c>
      <c r="B3194">
        <v>19</v>
      </c>
      <c r="C3194" t="s">
        <v>55</v>
      </c>
      <c r="D3194">
        <v>98471</v>
      </c>
      <c r="E3194">
        <v>5209</v>
      </c>
      <c r="F3194" t="s">
        <v>38</v>
      </c>
    </row>
    <row r="3195" spans="1:6" x14ac:dyDescent="0.3">
      <c r="A3195" s="20">
        <v>45790</v>
      </c>
      <c r="B3195">
        <v>20</v>
      </c>
      <c r="C3195" t="s">
        <v>73</v>
      </c>
      <c r="D3195">
        <v>0</v>
      </c>
      <c r="E3195">
        <v>0</v>
      </c>
      <c r="F3195" t="s">
        <v>234</v>
      </c>
    </row>
    <row r="3196" spans="1:6" x14ac:dyDescent="0.3">
      <c r="A3196" s="20">
        <v>45790</v>
      </c>
      <c r="B3196">
        <v>20</v>
      </c>
      <c r="C3196" t="s">
        <v>73</v>
      </c>
      <c r="D3196">
        <v>0</v>
      </c>
      <c r="E3196">
        <v>0</v>
      </c>
      <c r="F3196" t="s">
        <v>45</v>
      </c>
    </row>
    <row r="3197" spans="1:6" x14ac:dyDescent="0.3">
      <c r="A3197" s="20">
        <v>45790</v>
      </c>
      <c r="B3197">
        <v>20</v>
      </c>
      <c r="C3197" t="s">
        <v>157</v>
      </c>
      <c r="D3197">
        <v>1265</v>
      </c>
      <c r="E3197">
        <v>330</v>
      </c>
      <c r="F3197" t="s">
        <v>31</v>
      </c>
    </row>
    <row r="3198" spans="1:6" x14ac:dyDescent="0.3">
      <c r="A3198" s="20">
        <v>45790</v>
      </c>
      <c r="B3198">
        <v>20</v>
      </c>
      <c r="C3198" t="s">
        <v>236</v>
      </c>
      <c r="D3198">
        <v>14263</v>
      </c>
      <c r="E3198">
        <v>1162</v>
      </c>
      <c r="F3198" t="s">
        <v>31</v>
      </c>
    </row>
    <row r="3199" spans="1:6" x14ac:dyDescent="0.3">
      <c r="A3199" s="20">
        <v>45790</v>
      </c>
      <c r="B3199">
        <v>20</v>
      </c>
      <c r="C3199" t="s">
        <v>41</v>
      </c>
      <c r="D3199">
        <v>256</v>
      </c>
      <c r="E3199">
        <v>19</v>
      </c>
      <c r="F3199" t="s">
        <v>31</v>
      </c>
    </row>
    <row r="3200" spans="1:6" x14ac:dyDescent="0.3">
      <c r="A3200" s="20">
        <v>45790</v>
      </c>
      <c r="B3200">
        <v>20</v>
      </c>
      <c r="C3200" t="s">
        <v>54</v>
      </c>
      <c r="D3200">
        <v>61</v>
      </c>
      <c r="E3200">
        <v>1</v>
      </c>
      <c r="F3200" t="s">
        <v>31</v>
      </c>
    </row>
    <row r="3201" spans="1:6" x14ac:dyDescent="0.3">
      <c r="A3201" s="20">
        <v>45790</v>
      </c>
      <c r="B3201">
        <v>20</v>
      </c>
      <c r="C3201" t="s">
        <v>245</v>
      </c>
      <c r="D3201">
        <v>10662</v>
      </c>
      <c r="E3201">
        <v>1188</v>
      </c>
      <c r="F3201" t="s">
        <v>31</v>
      </c>
    </row>
    <row r="3202" spans="1:6" x14ac:dyDescent="0.3">
      <c r="A3202" s="20">
        <v>45790</v>
      </c>
      <c r="B3202">
        <v>20</v>
      </c>
      <c r="C3202" t="s">
        <v>232</v>
      </c>
      <c r="D3202">
        <v>1006</v>
      </c>
      <c r="E3202">
        <v>72</v>
      </c>
      <c r="F3202" t="s">
        <v>39</v>
      </c>
    </row>
    <row r="3203" spans="1:6" x14ac:dyDescent="0.3">
      <c r="A3203" s="20">
        <v>45790</v>
      </c>
      <c r="B3203">
        <v>20</v>
      </c>
      <c r="C3203" t="s">
        <v>250</v>
      </c>
      <c r="D3203">
        <v>7</v>
      </c>
      <c r="E3203">
        <v>1</v>
      </c>
      <c r="F3203" t="s">
        <v>85</v>
      </c>
    </row>
    <row r="3204" spans="1:6" x14ac:dyDescent="0.3">
      <c r="A3204" s="20">
        <v>45790</v>
      </c>
      <c r="B3204">
        <v>20</v>
      </c>
      <c r="C3204" t="s">
        <v>165</v>
      </c>
      <c r="D3204">
        <v>2</v>
      </c>
      <c r="E3204">
        <v>2</v>
      </c>
      <c r="F3204" t="s">
        <v>38</v>
      </c>
    </row>
    <row r="3205" spans="1:6" x14ac:dyDescent="0.3">
      <c r="A3205" s="20">
        <v>45790</v>
      </c>
      <c r="B3205">
        <v>20</v>
      </c>
      <c r="C3205" t="s">
        <v>40</v>
      </c>
      <c r="D3205">
        <v>2684</v>
      </c>
      <c r="E3205">
        <v>166</v>
      </c>
    </row>
    <row r="3206" spans="1:6" x14ac:dyDescent="0.3">
      <c r="A3206" s="20">
        <v>45790</v>
      </c>
      <c r="B3206">
        <v>20</v>
      </c>
      <c r="C3206" t="s">
        <v>235</v>
      </c>
      <c r="D3206">
        <v>3366</v>
      </c>
      <c r="E3206">
        <v>228</v>
      </c>
      <c r="F3206" t="s">
        <v>39</v>
      </c>
    </row>
    <row r="3207" spans="1:6" x14ac:dyDescent="0.3">
      <c r="A3207" s="20">
        <v>45790</v>
      </c>
      <c r="B3207">
        <v>21</v>
      </c>
      <c r="C3207" t="s">
        <v>246</v>
      </c>
      <c r="D3207">
        <v>2</v>
      </c>
      <c r="E3207">
        <v>0</v>
      </c>
      <c r="F3207" t="s">
        <v>31</v>
      </c>
    </row>
    <row r="3208" spans="1:6" x14ac:dyDescent="0.3">
      <c r="A3208" s="20">
        <v>45791</v>
      </c>
      <c r="B3208">
        <v>8</v>
      </c>
      <c r="C3208" t="s">
        <v>73</v>
      </c>
      <c r="D3208">
        <v>0</v>
      </c>
      <c r="E3208">
        <v>0</v>
      </c>
      <c r="F3208" t="s">
        <v>229</v>
      </c>
    </row>
    <row r="3209" spans="1:6" x14ac:dyDescent="0.3">
      <c r="A3209" s="20">
        <v>45791</v>
      </c>
      <c r="B3209">
        <v>8</v>
      </c>
      <c r="C3209" t="s">
        <v>249</v>
      </c>
      <c r="D3209">
        <v>24104</v>
      </c>
      <c r="E3209">
        <v>1276</v>
      </c>
      <c r="F3209" t="s">
        <v>31</v>
      </c>
    </row>
    <row r="3210" spans="1:6" x14ac:dyDescent="0.3">
      <c r="A3210" s="20">
        <v>45791</v>
      </c>
      <c r="B3210">
        <v>8</v>
      </c>
      <c r="C3210" t="s">
        <v>230</v>
      </c>
      <c r="D3210">
        <v>38613</v>
      </c>
      <c r="E3210">
        <v>3405</v>
      </c>
      <c r="F3210" t="s">
        <v>31</v>
      </c>
    </row>
    <row r="3211" spans="1:6" x14ac:dyDescent="0.3">
      <c r="A3211" s="20">
        <v>45791</v>
      </c>
      <c r="B3211">
        <v>8</v>
      </c>
      <c r="C3211" t="s">
        <v>242</v>
      </c>
      <c r="D3211">
        <v>45151</v>
      </c>
      <c r="E3211">
        <v>4704</v>
      </c>
      <c r="F3211" t="s">
        <v>31</v>
      </c>
    </row>
    <row r="3212" spans="1:6" x14ac:dyDescent="0.3">
      <c r="A3212" s="20">
        <v>45791</v>
      </c>
      <c r="B3212">
        <v>8</v>
      </c>
      <c r="C3212" t="s">
        <v>244</v>
      </c>
      <c r="D3212">
        <v>42076</v>
      </c>
      <c r="E3212">
        <v>4935</v>
      </c>
      <c r="F3212" t="s">
        <v>31</v>
      </c>
    </row>
    <row r="3213" spans="1:6" x14ac:dyDescent="0.3">
      <c r="A3213" s="20">
        <v>45791</v>
      </c>
      <c r="B3213">
        <v>8</v>
      </c>
      <c r="C3213" t="s">
        <v>246</v>
      </c>
      <c r="D3213">
        <v>50415</v>
      </c>
      <c r="E3213">
        <v>7056</v>
      </c>
      <c r="F3213" t="s">
        <v>31</v>
      </c>
    </row>
    <row r="3214" spans="1:6" x14ac:dyDescent="0.3">
      <c r="A3214" s="20">
        <v>45791</v>
      </c>
      <c r="B3214">
        <v>8</v>
      </c>
      <c r="C3214" t="s">
        <v>233</v>
      </c>
      <c r="D3214">
        <v>5815</v>
      </c>
      <c r="E3214">
        <v>896</v>
      </c>
      <c r="F3214" t="s">
        <v>43</v>
      </c>
    </row>
    <row r="3215" spans="1:6" x14ac:dyDescent="0.3">
      <c r="A3215" s="20">
        <v>45791</v>
      </c>
      <c r="B3215">
        <v>8</v>
      </c>
      <c r="C3215" t="s">
        <v>250</v>
      </c>
      <c r="D3215">
        <v>5098</v>
      </c>
      <c r="E3215">
        <v>674</v>
      </c>
      <c r="F3215" t="s">
        <v>164</v>
      </c>
    </row>
    <row r="3216" spans="1:6" x14ac:dyDescent="0.3">
      <c r="A3216" s="20">
        <v>45791</v>
      </c>
      <c r="B3216">
        <v>8</v>
      </c>
      <c r="C3216" t="s">
        <v>160</v>
      </c>
      <c r="D3216">
        <v>273</v>
      </c>
      <c r="E3216">
        <v>37</v>
      </c>
      <c r="F3216" t="s">
        <v>47</v>
      </c>
    </row>
    <row r="3217" spans="1:6" x14ac:dyDescent="0.3">
      <c r="A3217" s="20">
        <v>45791</v>
      </c>
      <c r="B3217">
        <v>8</v>
      </c>
      <c r="C3217" t="s">
        <v>160</v>
      </c>
      <c r="D3217">
        <v>1071</v>
      </c>
      <c r="E3217">
        <v>256</v>
      </c>
      <c r="F3217" t="s">
        <v>39</v>
      </c>
    </row>
    <row r="3218" spans="1:6" x14ac:dyDescent="0.3">
      <c r="A3218" s="20">
        <v>45791</v>
      </c>
      <c r="B3218">
        <v>8</v>
      </c>
      <c r="C3218" t="s">
        <v>160</v>
      </c>
      <c r="D3218">
        <v>4180</v>
      </c>
      <c r="E3218">
        <v>728</v>
      </c>
      <c r="F3218" t="s">
        <v>231</v>
      </c>
    </row>
    <row r="3219" spans="1:6" x14ac:dyDescent="0.3">
      <c r="A3219" s="20">
        <v>45791</v>
      </c>
      <c r="B3219">
        <v>8</v>
      </c>
      <c r="C3219" t="s">
        <v>160</v>
      </c>
      <c r="D3219">
        <v>208</v>
      </c>
      <c r="E3219">
        <v>36</v>
      </c>
      <c r="F3219" t="s">
        <v>43</v>
      </c>
    </row>
    <row r="3220" spans="1:6" x14ac:dyDescent="0.3">
      <c r="A3220" s="20">
        <v>45791</v>
      </c>
      <c r="B3220">
        <v>8</v>
      </c>
      <c r="C3220" t="s">
        <v>126</v>
      </c>
      <c r="D3220">
        <v>36</v>
      </c>
      <c r="E3220">
        <v>36</v>
      </c>
      <c r="F3220" t="s">
        <v>38</v>
      </c>
    </row>
    <row r="3221" spans="1:6" x14ac:dyDescent="0.3">
      <c r="A3221" s="20">
        <v>45791</v>
      </c>
      <c r="B3221">
        <v>8</v>
      </c>
      <c r="C3221" t="s">
        <v>40</v>
      </c>
      <c r="D3221">
        <v>102887</v>
      </c>
      <c r="E3221">
        <v>5981</v>
      </c>
      <c r="F3221" t="s">
        <v>38</v>
      </c>
    </row>
    <row r="3222" spans="1:6" x14ac:dyDescent="0.3">
      <c r="A3222" s="20">
        <v>45791</v>
      </c>
      <c r="B3222">
        <v>8</v>
      </c>
      <c r="C3222" t="s">
        <v>76</v>
      </c>
      <c r="D3222">
        <v>70745</v>
      </c>
      <c r="E3222">
        <v>3571</v>
      </c>
      <c r="F3222" t="s">
        <v>38</v>
      </c>
    </row>
    <row r="3223" spans="1:6" x14ac:dyDescent="0.3">
      <c r="A3223" s="20">
        <v>45791</v>
      </c>
      <c r="B3223">
        <v>8</v>
      </c>
      <c r="C3223" t="s">
        <v>81</v>
      </c>
      <c r="D3223">
        <v>75726</v>
      </c>
      <c r="E3223">
        <v>3432</v>
      </c>
      <c r="F3223" t="s">
        <v>38</v>
      </c>
    </row>
    <row r="3224" spans="1:6" x14ac:dyDescent="0.3">
      <c r="A3224" s="20">
        <v>45791</v>
      </c>
      <c r="B3224">
        <v>8</v>
      </c>
      <c r="C3224" t="s">
        <v>235</v>
      </c>
      <c r="D3224">
        <v>715</v>
      </c>
      <c r="E3224">
        <v>133</v>
      </c>
      <c r="F3224" t="s">
        <v>161</v>
      </c>
    </row>
    <row r="3225" spans="1:6" x14ac:dyDescent="0.3">
      <c r="A3225" s="20">
        <v>45791</v>
      </c>
      <c r="B3225">
        <v>9</v>
      </c>
      <c r="C3225" t="s">
        <v>73</v>
      </c>
      <c r="D3225">
        <v>0</v>
      </c>
      <c r="E3225">
        <v>0</v>
      </c>
      <c r="F3225" t="s">
        <v>75</v>
      </c>
    </row>
    <row r="3226" spans="1:6" x14ac:dyDescent="0.3">
      <c r="A3226" s="20">
        <v>45791</v>
      </c>
      <c r="B3226">
        <v>9</v>
      </c>
      <c r="C3226" t="s">
        <v>158</v>
      </c>
      <c r="D3226">
        <v>18116</v>
      </c>
      <c r="E3226">
        <v>481</v>
      </c>
      <c r="F3226" t="s">
        <v>42</v>
      </c>
    </row>
    <row r="3227" spans="1:6" x14ac:dyDescent="0.3">
      <c r="A3227" s="20">
        <v>45791</v>
      </c>
      <c r="B3227">
        <v>9</v>
      </c>
      <c r="C3227" t="s">
        <v>48</v>
      </c>
      <c r="D3227">
        <v>0</v>
      </c>
      <c r="E3227">
        <v>0</v>
      </c>
      <c r="F3227" t="s">
        <v>259</v>
      </c>
    </row>
    <row r="3228" spans="1:6" x14ac:dyDescent="0.3">
      <c r="A3228" s="20">
        <v>45791</v>
      </c>
      <c r="B3228">
        <v>9</v>
      </c>
      <c r="C3228" t="s">
        <v>254</v>
      </c>
      <c r="D3228">
        <v>8852</v>
      </c>
      <c r="E3228">
        <v>501</v>
      </c>
      <c r="F3228" t="s">
        <v>31</v>
      </c>
    </row>
    <row r="3229" spans="1:6" x14ac:dyDescent="0.3">
      <c r="A3229" s="20">
        <v>45791</v>
      </c>
      <c r="B3229">
        <v>9</v>
      </c>
      <c r="C3229" t="s">
        <v>232</v>
      </c>
      <c r="D3229">
        <v>4493</v>
      </c>
      <c r="E3229">
        <v>264</v>
      </c>
      <c r="F3229" t="s">
        <v>74</v>
      </c>
    </row>
    <row r="3230" spans="1:6" x14ac:dyDescent="0.3">
      <c r="A3230" s="20">
        <v>45791</v>
      </c>
      <c r="B3230">
        <v>9</v>
      </c>
      <c r="C3230" t="s">
        <v>238</v>
      </c>
      <c r="D3230">
        <v>75</v>
      </c>
      <c r="E3230">
        <v>9</v>
      </c>
      <c r="F3230" t="s">
        <v>44</v>
      </c>
    </row>
    <row r="3231" spans="1:6" x14ac:dyDescent="0.3">
      <c r="A3231" s="20">
        <v>45791</v>
      </c>
      <c r="B3231">
        <v>9</v>
      </c>
      <c r="C3231" t="s">
        <v>160</v>
      </c>
      <c r="D3231">
        <v>5</v>
      </c>
      <c r="E3231">
        <v>1</v>
      </c>
      <c r="F3231" t="s">
        <v>68</v>
      </c>
    </row>
    <row r="3232" spans="1:6" x14ac:dyDescent="0.3">
      <c r="A3232" s="20">
        <v>45791</v>
      </c>
      <c r="B3232">
        <v>9</v>
      </c>
      <c r="C3232" t="s">
        <v>160</v>
      </c>
      <c r="D3232">
        <v>143</v>
      </c>
      <c r="E3232">
        <v>27</v>
      </c>
      <c r="F3232" t="s">
        <v>32</v>
      </c>
    </row>
    <row r="3233" spans="1:6" x14ac:dyDescent="0.3">
      <c r="A3233" s="20">
        <v>45791</v>
      </c>
      <c r="B3233">
        <v>9</v>
      </c>
      <c r="C3233" t="s">
        <v>160</v>
      </c>
      <c r="D3233">
        <v>38</v>
      </c>
      <c r="E3233">
        <v>7</v>
      </c>
      <c r="F3233" t="s">
        <v>138</v>
      </c>
    </row>
    <row r="3234" spans="1:6" x14ac:dyDescent="0.3">
      <c r="A3234" s="20">
        <v>45791</v>
      </c>
      <c r="B3234">
        <v>9</v>
      </c>
      <c r="C3234" t="s">
        <v>160</v>
      </c>
      <c r="D3234">
        <v>93</v>
      </c>
      <c r="E3234">
        <v>32</v>
      </c>
      <c r="F3234" t="s">
        <v>161</v>
      </c>
    </row>
    <row r="3235" spans="1:6" x14ac:dyDescent="0.3">
      <c r="A3235" s="20">
        <v>45791</v>
      </c>
      <c r="B3235">
        <v>9</v>
      </c>
      <c r="C3235" t="s">
        <v>160</v>
      </c>
      <c r="D3235">
        <v>32</v>
      </c>
      <c r="E3235">
        <v>10</v>
      </c>
      <c r="F3235" t="s">
        <v>72</v>
      </c>
    </row>
    <row r="3236" spans="1:6" x14ac:dyDescent="0.3">
      <c r="A3236" s="20">
        <v>45791</v>
      </c>
      <c r="B3236">
        <v>9</v>
      </c>
      <c r="C3236" t="s">
        <v>55</v>
      </c>
      <c r="D3236">
        <v>84679</v>
      </c>
      <c r="E3236">
        <v>4485</v>
      </c>
      <c r="F3236" t="s">
        <v>38</v>
      </c>
    </row>
    <row r="3237" spans="1:6" x14ac:dyDescent="0.3">
      <c r="A3237" s="20">
        <v>45791</v>
      </c>
      <c r="B3237">
        <v>10</v>
      </c>
      <c r="C3237" t="s">
        <v>73</v>
      </c>
      <c r="D3237">
        <v>0</v>
      </c>
      <c r="E3237">
        <v>0</v>
      </c>
      <c r="F3237" t="s">
        <v>86</v>
      </c>
    </row>
    <row r="3238" spans="1:6" x14ac:dyDescent="0.3">
      <c r="A3238" s="20">
        <v>45791</v>
      </c>
      <c r="B3238">
        <v>10</v>
      </c>
      <c r="C3238" t="s">
        <v>73</v>
      </c>
      <c r="D3238">
        <v>0</v>
      </c>
      <c r="E3238">
        <v>0</v>
      </c>
      <c r="F3238" t="s">
        <v>234</v>
      </c>
    </row>
    <row r="3239" spans="1:6" x14ac:dyDescent="0.3">
      <c r="A3239" s="20">
        <v>45791</v>
      </c>
      <c r="B3239">
        <v>10</v>
      </c>
      <c r="C3239" t="s">
        <v>73</v>
      </c>
      <c r="D3239">
        <v>0</v>
      </c>
      <c r="E3239">
        <v>0</v>
      </c>
      <c r="F3239" t="s">
        <v>45</v>
      </c>
    </row>
    <row r="3240" spans="1:6" x14ac:dyDescent="0.3">
      <c r="A3240" s="20">
        <v>45791</v>
      </c>
      <c r="B3240">
        <v>10</v>
      </c>
      <c r="C3240" t="s">
        <v>157</v>
      </c>
      <c r="D3240">
        <v>26183</v>
      </c>
      <c r="E3240">
        <v>3416</v>
      </c>
      <c r="F3240" t="s">
        <v>31</v>
      </c>
    </row>
    <row r="3241" spans="1:6" x14ac:dyDescent="0.3">
      <c r="A3241" s="20">
        <v>45791</v>
      </c>
      <c r="B3241">
        <v>10</v>
      </c>
      <c r="C3241" t="s">
        <v>41</v>
      </c>
      <c r="D3241">
        <v>3722</v>
      </c>
      <c r="E3241">
        <v>168</v>
      </c>
      <c r="F3241" t="s">
        <v>31</v>
      </c>
    </row>
    <row r="3242" spans="1:6" x14ac:dyDescent="0.3">
      <c r="A3242" s="20">
        <v>45791</v>
      </c>
      <c r="B3242">
        <v>10</v>
      </c>
      <c r="C3242" t="s">
        <v>54</v>
      </c>
      <c r="D3242">
        <v>292</v>
      </c>
      <c r="E3242">
        <v>39</v>
      </c>
      <c r="F3242" t="s">
        <v>31</v>
      </c>
    </row>
    <row r="3243" spans="1:6" x14ac:dyDescent="0.3">
      <c r="A3243" s="20">
        <v>45791</v>
      </c>
      <c r="B3243">
        <v>10</v>
      </c>
      <c r="C3243" t="s">
        <v>49</v>
      </c>
      <c r="D3243">
        <v>28439</v>
      </c>
      <c r="E3243">
        <v>2452</v>
      </c>
      <c r="F3243" t="s">
        <v>42</v>
      </c>
    </row>
    <row r="3244" spans="1:6" x14ac:dyDescent="0.3">
      <c r="A3244" s="20">
        <v>45791</v>
      </c>
      <c r="B3244">
        <v>10</v>
      </c>
      <c r="C3244" t="s">
        <v>245</v>
      </c>
      <c r="D3244">
        <v>44315</v>
      </c>
      <c r="E3244">
        <v>5513</v>
      </c>
      <c r="F3244" t="s">
        <v>31</v>
      </c>
    </row>
    <row r="3245" spans="1:6" x14ac:dyDescent="0.3">
      <c r="A3245" s="20">
        <v>45791</v>
      </c>
      <c r="B3245">
        <v>10</v>
      </c>
      <c r="C3245" t="s">
        <v>243</v>
      </c>
      <c r="D3245">
        <v>11154</v>
      </c>
      <c r="E3245">
        <v>1340</v>
      </c>
      <c r="F3245" t="s">
        <v>31</v>
      </c>
    </row>
    <row r="3246" spans="1:6" x14ac:dyDescent="0.3">
      <c r="A3246" s="20">
        <v>45791</v>
      </c>
      <c r="B3246">
        <v>10</v>
      </c>
      <c r="C3246" t="s">
        <v>232</v>
      </c>
      <c r="D3246">
        <v>2924</v>
      </c>
      <c r="E3246">
        <v>321</v>
      </c>
      <c r="F3246" t="s">
        <v>39</v>
      </c>
    </row>
    <row r="3247" spans="1:6" x14ac:dyDescent="0.3">
      <c r="A3247" s="20">
        <v>45791</v>
      </c>
      <c r="B3247">
        <v>10</v>
      </c>
      <c r="C3247" t="s">
        <v>233</v>
      </c>
      <c r="D3247">
        <v>2358</v>
      </c>
      <c r="E3247">
        <v>515</v>
      </c>
      <c r="F3247" t="s">
        <v>72</v>
      </c>
    </row>
    <row r="3248" spans="1:6" x14ac:dyDescent="0.3">
      <c r="A3248" s="20">
        <v>45791</v>
      </c>
      <c r="B3248">
        <v>10</v>
      </c>
      <c r="C3248" t="s">
        <v>265</v>
      </c>
      <c r="D3248">
        <v>307</v>
      </c>
      <c r="E3248">
        <v>35</v>
      </c>
      <c r="F3248" t="s">
        <v>42</v>
      </c>
    </row>
    <row r="3249" spans="1:6" x14ac:dyDescent="0.3">
      <c r="A3249" s="20">
        <v>45791</v>
      </c>
      <c r="B3249">
        <v>10</v>
      </c>
      <c r="C3249" t="s">
        <v>155</v>
      </c>
      <c r="D3249">
        <v>1</v>
      </c>
      <c r="E3249">
        <v>0</v>
      </c>
      <c r="F3249" t="s">
        <v>229</v>
      </c>
    </row>
    <row r="3250" spans="1:6" x14ac:dyDescent="0.3">
      <c r="A3250" s="20">
        <v>45791</v>
      </c>
      <c r="B3250">
        <v>10</v>
      </c>
      <c r="C3250" t="s">
        <v>40</v>
      </c>
      <c r="D3250">
        <v>2934</v>
      </c>
      <c r="E3250">
        <v>210</v>
      </c>
    </row>
    <row r="3251" spans="1:6" x14ac:dyDescent="0.3">
      <c r="A3251" s="20">
        <v>45791</v>
      </c>
      <c r="B3251">
        <v>10</v>
      </c>
      <c r="C3251" t="s">
        <v>251</v>
      </c>
      <c r="D3251">
        <v>4771</v>
      </c>
      <c r="E3251">
        <v>568</v>
      </c>
      <c r="F3251" t="s">
        <v>47</v>
      </c>
    </row>
    <row r="3252" spans="1:6" x14ac:dyDescent="0.3">
      <c r="A3252" s="20">
        <v>45791</v>
      </c>
      <c r="B3252">
        <v>10</v>
      </c>
      <c r="C3252" t="s">
        <v>251</v>
      </c>
      <c r="D3252">
        <v>7951</v>
      </c>
      <c r="E3252">
        <v>914</v>
      </c>
      <c r="F3252" t="s">
        <v>44</v>
      </c>
    </row>
    <row r="3253" spans="1:6" x14ac:dyDescent="0.3">
      <c r="A3253" s="20">
        <v>45791</v>
      </c>
      <c r="B3253">
        <v>10</v>
      </c>
      <c r="C3253" t="s">
        <v>235</v>
      </c>
      <c r="D3253">
        <v>9412</v>
      </c>
      <c r="E3253">
        <v>868</v>
      </c>
      <c r="F3253" t="s">
        <v>39</v>
      </c>
    </row>
    <row r="3254" spans="1:6" x14ac:dyDescent="0.3">
      <c r="A3254" s="20">
        <v>45791</v>
      </c>
      <c r="B3254">
        <v>11</v>
      </c>
      <c r="C3254" t="s">
        <v>73</v>
      </c>
      <c r="D3254">
        <v>0</v>
      </c>
      <c r="E3254">
        <v>0</v>
      </c>
      <c r="F3254" t="s">
        <v>163</v>
      </c>
    </row>
    <row r="3255" spans="1:6" x14ac:dyDescent="0.3">
      <c r="A3255" s="20">
        <v>45791</v>
      </c>
      <c r="B3255">
        <v>11</v>
      </c>
      <c r="C3255" t="s">
        <v>73</v>
      </c>
      <c r="D3255">
        <v>0</v>
      </c>
      <c r="E3255">
        <v>0</v>
      </c>
      <c r="F3255" t="s">
        <v>229</v>
      </c>
    </row>
    <row r="3256" spans="1:6" x14ac:dyDescent="0.3">
      <c r="A3256" s="20">
        <v>45791</v>
      </c>
      <c r="B3256">
        <v>11</v>
      </c>
      <c r="C3256" t="s">
        <v>228</v>
      </c>
      <c r="D3256">
        <v>10049</v>
      </c>
      <c r="E3256">
        <v>2082</v>
      </c>
      <c r="F3256" t="s">
        <v>45</v>
      </c>
    </row>
    <row r="3257" spans="1:6" x14ac:dyDescent="0.3">
      <c r="A3257" s="20">
        <v>45791</v>
      </c>
      <c r="B3257">
        <v>11</v>
      </c>
      <c r="C3257" t="s">
        <v>249</v>
      </c>
      <c r="D3257">
        <v>40304</v>
      </c>
      <c r="E3257">
        <v>1566</v>
      </c>
      <c r="F3257" t="s">
        <v>31</v>
      </c>
    </row>
    <row r="3258" spans="1:6" x14ac:dyDescent="0.3">
      <c r="A3258" s="20">
        <v>45791</v>
      </c>
      <c r="B3258">
        <v>11</v>
      </c>
      <c r="C3258" t="s">
        <v>242</v>
      </c>
      <c r="D3258">
        <v>37411</v>
      </c>
      <c r="E3258">
        <v>4026</v>
      </c>
      <c r="F3258" t="s">
        <v>31</v>
      </c>
    </row>
    <row r="3259" spans="1:6" x14ac:dyDescent="0.3">
      <c r="A3259" s="20">
        <v>45791</v>
      </c>
      <c r="B3259">
        <v>11</v>
      </c>
      <c r="C3259" t="s">
        <v>35</v>
      </c>
      <c r="D3259">
        <v>3904</v>
      </c>
      <c r="E3259">
        <v>114</v>
      </c>
      <c r="F3259" t="s">
        <v>31</v>
      </c>
    </row>
    <row r="3260" spans="1:6" x14ac:dyDescent="0.3">
      <c r="A3260" s="20">
        <v>45791</v>
      </c>
      <c r="B3260">
        <v>11</v>
      </c>
      <c r="C3260" t="s">
        <v>244</v>
      </c>
      <c r="D3260">
        <v>42771</v>
      </c>
      <c r="E3260">
        <v>4037</v>
      </c>
      <c r="F3260" t="s">
        <v>31</v>
      </c>
    </row>
    <row r="3261" spans="1:6" x14ac:dyDescent="0.3">
      <c r="A3261" s="20">
        <v>45791</v>
      </c>
      <c r="B3261">
        <v>11</v>
      </c>
      <c r="C3261" t="s">
        <v>246</v>
      </c>
      <c r="D3261">
        <v>36639</v>
      </c>
      <c r="E3261">
        <v>4566</v>
      </c>
      <c r="F3261" t="s">
        <v>31</v>
      </c>
    </row>
    <row r="3262" spans="1:6" x14ac:dyDescent="0.3">
      <c r="A3262" s="20">
        <v>45791</v>
      </c>
      <c r="B3262">
        <v>11</v>
      </c>
      <c r="C3262" t="s">
        <v>71</v>
      </c>
      <c r="D3262">
        <v>5022</v>
      </c>
      <c r="E3262">
        <v>572</v>
      </c>
      <c r="F3262" t="s">
        <v>229</v>
      </c>
    </row>
    <row r="3263" spans="1:6" x14ac:dyDescent="0.3">
      <c r="A3263" s="20">
        <v>45791</v>
      </c>
      <c r="B3263">
        <v>11</v>
      </c>
      <c r="C3263" t="s">
        <v>232</v>
      </c>
      <c r="D3263">
        <v>371</v>
      </c>
      <c r="E3263">
        <v>40</v>
      </c>
      <c r="F3263" t="s">
        <v>68</v>
      </c>
    </row>
    <row r="3264" spans="1:6" x14ac:dyDescent="0.3">
      <c r="A3264" s="20">
        <v>45791</v>
      </c>
      <c r="B3264">
        <v>11</v>
      </c>
      <c r="C3264" t="s">
        <v>262</v>
      </c>
      <c r="D3264">
        <v>21475</v>
      </c>
      <c r="E3264">
        <v>478</v>
      </c>
      <c r="F3264" t="s">
        <v>86</v>
      </c>
    </row>
    <row r="3265" spans="1:6" x14ac:dyDescent="0.3">
      <c r="A3265" s="20">
        <v>45791</v>
      </c>
      <c r="B3265">
        <v>11</v>
      </c>
      <c r="C3265" t="s">
        <v>250</v>
      </c>
      <c r="D3265">
        <v>9354</v>
      </c>
      <c r="E3265">
        <v>1453</v>
      </c>
      <c r="F3265" t="s">
        <v>164</v>
      </c>
    </row>
    <row r="3266" spans="1:6" x14ac:dyDescent="0.3">
      <c r="A3266" s="20">
        <v>45791</v>
      </c>
      <c r="B3266">
        <v>11</v>
      </c>
      <c r="C3266" t="s">
        <v>160</v>
      </c>
      <c r="D3266">
        <v>515</v>
      </c>
      <c r="E3266">
        <v>95</v>
      </c>
      <c r="F3266" t="s">
        <v>47</v>
      </c>
    </row>
    <row r="3267" spans="1:6" x14ac:dyDescent="0.3">
      <c r="A3267" s="20">
        <v>45791</v>
      </c>
      <c r="B3267">
        <v>11</v>
      </c>
      <c r="C3267" t="s">
        <v>160</v>
      </c>
      <c r="D3267">
        <v>1271</v>
      </c>
      <c r="E3267">
        <v>246</v>
      </c>
      <c r="F3267" t="s">
        <v>39</v>
      </c>
    </row>
    <row r="3268" spans="1:6" x14ac:dyDescent="0.3">
      <c r="A3268" s="20">
        <v>45791</v>
      </c>
      <c r="B3268">
        <v>11</v>
      </c>
      <c r="C3268" t="s">
        <v>160</v>
      </c>
      <c r="D3268">
        <v>5085</v>
      </c>
      <c r="E3268">
        <v>989</v>
      </c>
      <c r="F3268" t="s">
        <v>231</v>
      </c>
    </row>
    <row r="3269" spans="1:6" x14ac:dyDescent="0.3">
      <c r="A3269" s="20">
        <v>45791</v>
      </c>
      <c r="B3269">
        <v>11</v>
      </c>
      <c r="C3269" t="s">
        <v>160</v>
      </c>
      <c r="D3269">
        <v>541</v>
      </c>
      <c r="E3269">
        <v>101</v>
      </c>
      <c r="F3269" t="s">
        <v>43</v>
      </c>
    </row>
    <row r="3270" spans="1:6" x14ac:dyDescent="0.3">
      <c r="A3270" s="20">
        <v>45791</v>
      </c>
      <c r="B3270">
        <v>11</v>
      </c>
      <c r="C3270" t="s">
        <v>126</v>
      </c>
      <c r="D3270">
        <v>25</v>
      </c>
      <c r="E3270">
        <v>25</v>
      </c>
      <c r="F3270" t="s">
        <v>38</v>
      </c>
    </row>
    <row r="3271" spans="1:6" x14ac:dyDescent="0.3">
      <c r="A3271" s="20">
        <v>45791</v>
      </c>
      <c r="B3271">
        <v>11</v>
      </c>
      <c r="C3271" t="s">
        <v>235</v>
      </c>
      <c r="D3271">
        <v>668</v>
      </c>
      <c r="E3271">
        <v>115</v>
      </c>
      <c r="F3271" t="s">
        <v>161</v>
      </c>
    </row>
    <row r="3272" spans="1:6" x14ac:dyDescent="0.3">
      <c r="A3272" s="20">
        <v>45791</v>
      </c>
      <c r="B3272">
        <v>12</v>
      </c>
      <c r="C3272" t="s">
        <v>73</v>
      </c>
      <c r="D3272">
        <v>0</v>
      </c>
      <c r="E3272">
        <v>0</v>
      </c>
      <c r="F3272" t="s">
        <v>38</v>
      </c>
    </row>
    <row r="3273" spans="1:6" x14ac:dyDescent="0.3">
      <c r="A3273" s="20">
        <v>45791</v>
      </c>
      <c r="B3273">
        <v>12</v>
      </c>
      <c r="C3273" t="s">
        <v>73</v>
      </c>
      <c r="D3273">
        <v>0</v>
      </c>
      <c r="E3273">
        <v>0</v>
      </c>
      <c r="F3273" t="s">
        <v>75</v>
      </c>
    </row>
    <row r="3274" spans="1:6" x14ac:dyDescent="0.3">
      <c r="A3274" s="20">
        <v>45791</v>
      </c>
      <c r="B3274">
        <v>12</v>
      </c>
      <c r="C3274" t="s">
        <v>158</v>
      </c>
      <c r="D3274">
        <v>17271</v>
      </c>
      <c r="E3274">
        <v>466</v>
      </c>
      <c r="F3274" t="s">
        <v>42</v>
      </c>
    </row>
    <row r="3275" spans="1:6" x14ac:dyDescent="0.3">
      <c r="A3275" s="20">
        <v>45791</v>
      </c>
      <c r="B3275">
        <v>12</v>
      </c>
      <c r="C3275" t="s">
        <v>48</v>
      </c>
      <c r="D3275">
        <v>53953</v>
      </c>
      <c r="E3275">
        <v>3068</v>
      </c>
      <c r="F3275" t="s">
        <v>31</v>
      </c>
    </row>
    <row r="3276" spans="1:6" x14ac:dyDescent="0.3">
      <c r="A3276" s="20">
        <v>45791</v>
      </c>
      <c r="B3276">
        <v>12</v>
      </c>
      <c r="C3276" t="s">
        <v>48</v>
      </c>
      <c r="D3276">
        <v>0</v>
      </c>
      <c r="E3276">
        <v>0</v>
      </c>
      <c r="F3276" t="s">
        <v>259</v>
      </c>
    </row>
    <row r="3277" spans="1:6" x14ac:dyDescent="0.3">
      <c r="A3277" s="20">
        <v>45791</v>
      </c>
      <c r="B3277">
        <v>12</v>
      </c>
      <c r="C3277" t="s">
        <v>238</v>
      </c>
      <c r="D3277">
        <v>9306</v>
      </c>
      <c r="E3277">
        <v>1263</v>
      </c>
      <c r="F3277" t="s">
        <v>229</v>
      </c>
    </row>
    <row r="3278" spans="1:6" x14ac:dyDescent="0.3">
      <c r="A3278" s="20">
        <v>45791</v>
      </c>
      <c r="B3278">
        <v>12</v>
      </c>
      <c r="C3278" t="s">
        <v>160</v>
      </c>
      <c r="D3278">
        <v>5</v>
      </c>
      <c r="E3278">
        <v>0</v>
      </c>
      <c r="F3278" t="s">
        <v>68</v>
      </c>
    </row>
    <row r="3279" spans="1:6" x14ac:dyDescent="0.3">
      <c r="A3279" s="20">
        <v>45791</v>
      </c>
      <c r="B3279">
        <v>12</v>
      </c>
      <c r="C3279" t="s">
        <v>160</v>
      </c>
      <c r="D3279">
        <v>142</v>
      </c>
      <c r="E3279">
        <v>53</v>
      </c>
      <c r="F3279" t="s">
        <v>32</v>
      </c>
    </row>
    <row r="3280" spans="1:6" x14ac:dyDescent="0.3">
      <c r="A3280" s="20">
        <v>45791</v>
      </c>
      <c r="B3280">
        <v>12</v>
      </c>
      <c r="C3280" t="s">
        <v>160</v>
      </c>
      <c r="D3280">
        <v>55</v>
      </c>
      <c r="E3280">
        <v>12</v>
      </c>
      <c r="F3280" t="s">
        <v>138</v>
      </c>
    </row>
    <row r="3281" spans="1:6" x14ac:dyDescent="0.3">
      <c r="A3281" s="20">
        <v>45791</v>
      </c>
      <c r="B3281">
        <v>12</v>
      </c>
      <c r="C3281" t="s">
        <v>160</v>
      </c>
      <c r="D3281">
        <v>74</v>
      </c>
      <c r="E3281">
        <v>15</v>
      </c>
      <c r="F3281" t="s">
        <v>161</v>
      </c>
    </row>
    <row r="3282" spans="1:6" x14ac:dyDescent="0.3">
      <c r="A3282" s="20">
        <v>45791</v>
      </c>
      <c r="B3282">
        <v>12</v>
      </c>
      <c r="C3282" t="s">
        <v>160</v>
      </c>
      <c r="D3282">
        <v>10</v>
      </c>
      <c r="E3282">
        <v>1</v>
      </c>
      <c r="F3282" t="s">
        <v>72</v>
      </c>
    </row>
    <row r="3283" spans="1:6" x14ac:dyDescent="0.3">
      <c r="A3283" s="20">
        <v>45791</v>
      </c>
      <c r="B3283">
        <v>12</v>
      </c>
      <c r="C3283" t="s">
        <v>162</v>
      </c>
      <c r="D3283">
        <v>12189</v>
      </c>
      <c r="E3283">
        <v>1188</v>
      </c>
      <c r="F3283" t="s">
        <v>47</v>
      </c>
    </row>
    <row r="3284" spans="1:6" x14ac:dyDescent="0.3">
      <c r="A3284" s="20">
        <v>45791</v>
      </c>
      <c r="B3284">
        <v>12</v>
      </c>
      <c r="C3284" t="s">
        <v>55</v>
      </c>
      <c r="D3284">
        <v>92206</v>
      </c>
      <c r="E3284">
        <v>4198</v>
      </c>
      <c r="F3284" t="s">
        <v>38</v>
      </c>
    </row>
    <row r="3285" spans="1:6" x14ac:dyDescent="0.3">
      <c r="A3285" s="20">
        <v>45791</v>
      </c>
      <c r="B3285">
        <v>13</v>
      </c>
      <c r="C3285" t="s">
        <v>73</v>
      </c>
      <c r="D3285">
        <v>0</v>
      </c>
      <c r="E3285">
        <v>0</v>
      </c>
      <c r="F3285" t="s">
        <v>234</v>
      </c>
    </row>
    <row r="3286" spans="1:6" x14ac:dyDescent="0.3">
      <c r="A3286" s="20">
        <v>45791</v>
      </c>
      <c r="B3286">
        <v>13</v>
      </c>
      <c r="C3286" t="s">
        <v>73</v>
      </c>
      <c r="D3286">
        <v>0</v>
      </c>
      <c r="E3286">
        <v>0</v>
      </c>
      <c r="F3286" t="s">
        <v>45</v>
      </c>
    </row>
    <row r="3287" spans="1:6" x14ac:dyDescent="0.3">
      <c r="A3287" s="20">
        <v>45791</v>
      </c>
      <c r="B3287">
        <v>13</v>
      </c>
      <c r="C3287" t="s">
        <v>228</v>
      </c>
      <c r="D3287">
        <v>1</v>
      </c>
      <c r="E3287">
        <v>1</v>
      </c>
      <c r="F3287" t="s">
        <v>77</v>
      </c>
    </row>
    <row r="3288" spans="1:6" x14ac:dyDescent="0.3">
      <c r="A3288" s="20">
        <v>45791</v>
      </c>
      <c r="B3288">
        <v>13</v>
      </c>
      <c r="C3288" t="s">
        <v>67</v>
      </c>
      <c r="D3288">
        <v>18609</v>
      </c>
      <c r="E3288">
        <v>791</v>
      </c>
      <c r="F3288" t="s">
        <v>31</v>
      </c>
    </row>
    <row r="3289" spans="1:6" x14ac:dyDescent="0.3">
      <c r="A3289" s="20">
        <v>45791</v>
      </c>
      <c r="B3289">
        <v>13</v>
      </c>
      <c r="C3289" t="s">
        <v>52</v>
      </c>
      <c r="D3289">
        <v>31</v>
      </c>
      <c r="E3289">
        <v>31</v>
      </c>
      <c r="F3289" t="s">
        <v>259</v>
      </c>
    </row>
    <row r="3290" spans="1:6" x14ac:dyDescent="0.3">
      <c r="A3290" s="20">
        <v>45791</v>
      </c>
      <c r="B3290">
        <v>13</v>
      </c>
      <c r="C3290" t="s">
        <v>41</v>
      </c>
      <c r="D3290">
        <v>3682</v>
      </c>
      <c r="E3290">
        <v>167</v>
      </c>
      <c r="F3290" t="s">
        <v>31</v>
      </c>
    </row>
    <row r="3291" spans="1:6" x14ac:dyDescent="0.3">
      <c r="A3291" s="20">
        <v>45791</v>
      </c>
      <c r="B3291">
        <v>13</v>
      </c>
      <c r="C3291" t="s">
        <v>243</v>
      </c>
      <c r="D3291">
        <v>10774</v>
      </c>
      <c r="E3291">
        <v>1413</v>
      </c>
      <c r="F3291" t="s">
        <v>31</v>
      </c>
    </row>
    <row r="3292" spans="1:6" x14ac:dyDescent="0.3">
      <c r="A3292" s="20">
        <v>45791</v>
      </c>
      <c r="B3292">
        <v>13</v>
      </c>
      <c r="C3292" t="s">
        <v>232</v>
      </c>
      <c r="D3292">
        <v>927</v>
      </c>
      <c r="E3292">
        <v>83</v>
      </c>
      <c r="F3292" t="s">
        <v>39</v>
      </c>
    </row>
    <row r="3293" spans="1:6" x14ac:dyDescent="0.3">
      <c r="A3293" s="20">
        <v>45791</v>
      </c>
      <c r="B3293">
        <v>13</v>
      </c>
      <c r="C3293" t="s">
        <v>233</v>
      </c>
      <c r="D3293">
        <v>2217</v>
      </c>
      <c r="E3293">
        <v>417</v>
      </c>
      <c r="F3293" t="s">
        <v>72</v>
      </c>
    </row>
    <row r="3294" spans="1:6" x14ac:dyDescent="0.3">
      <c r="A3294" s="20">
        <v>45791</v>
      </c>
      <c r="B3294">
        <v>13</v>
      </c>
      <c r="C3294" t="s">
        <v>265</v>
      </c>
      <c r="D3294">
        <v>384</v>
      </c>
      <c r="E3294">
        <v>34</v>
      </c>
      <c r="F3294" t="s">
        <v>42</v>
      </c>
    </row>
    <row r="3295" spans="1:6" x14ac:dyDescent="0.3">
      <c r="A3295" s="20">
        <v>45791</v>
      </c>
      <c r="B3295">
        <v>13</v>
      </c>
      <c r="C3295" t="s">
        <v>255</v>
      </c>
      <c r="D3295">
        <v>10399</v>
      </c>
      <c r="E3295">
        <v>1406</v>
      </c>
      <c r="F3295" t="s">
        <v>74</v>
      </c>
    </row>
    <row r="3296" spans="1:6" x14ac:dyDescent="0.3">
      <c r="A3296" s="20">
        <v>45791</v>
      </c>
      <c r="B3296">
        <v>13</v>
      </c>
      <c r="C3296" t="s">
        <v>155</v>
      </c>
      <c r="D3296">
        <v>239</v>
      </c>
      <c r="E3296">
        <v>65</v>
      </c>
      <c r="F3296" t="s">
        <v>229</v>
      </c>
    </row>
    <row r="3297" spans="1:6" x14ac:dyDescent="0.3">
      <c r="A3297" s="20">
        <v>45791</v>
      </c>
      <c r="B3297">
        <v>13</v>
      </c>
      <c r="C3297" t="s">
        <v>40</v>
      </c>
      <c r="D3297">
        <v>2924</v>
      </c>
      <c r="E3297">
        <v>216</v>
      </c>
    </row>
    <row r="3298" spans="1:6" x14ac:dyDescent="0.3">
      <c r="A3298" s="20">
        <v>45791</v>
      </c>
      <c r="B3298">
        <v>13</v>
      </c>
      <c r="C3298" t="s">
        <v>251</v>
      </c>
      <c r="D3298">
        <v>7262</v>
      </c>
      <c r="E3298">
        <v>633</v>
      </c>
      <c r="F3298" t="s">
        <v>47</v>
      </c>
    </row>
    <row r="3299" spans="1:6" x14ac:dyDescent="0.3">
      <c r="A3299" s="20">
        <v>45791</v>
      </c>
      <c r="B3299">
        <v>13</v>
      </c>
      <c r="C3299" t="s">
        <v>251</v>
      </c>
      <c r="D3299">
        <v>7288</v>
      </c>
      <c r="E3299">
        <v>702</v>
      </c>
      <c r="F3299" t="s">
        <v>44</v>
      </c>
    </row>
    <row r="3300" spans="1:6" x14ac:dyDescent="0.3">
      <c r="A3300" s="20">
        <v>45791</v>
      </c>
      <c r="B3300">
        <v>13</v>
      </c>
      <c r="C3300" t="s">
        <v>235</v>
      </c>
      <c r="D3300">
        <v>6582</v>
      </c>
      <c r="E3300">
        <v>697</v>
      </c>
      <c r="F3300" t="s">
        <v>39</v>
      </c>
    </row>
    <row r="3301" spans="1:6" x14ac:dyDescent="0.3">
      <c r="A3301" s="20">
        <v>45791</v>
      </c>
      <c r="B3301">
        <v>14</v>
      </c>
      <c r="C3301" t="s">
        <v>73</v>
      </c>
      <c r="D3301">
        <v>0</v>
      </c>
      <c r="E3301">
        <v>0</v>
      </c>
      <c r="F3301" t="s">
        <v>163</v>
      </c>
    </row>
    <row r="3302" spans="1:6" x14ac:dyDescent="0.3">
      <c r="A3302" s="20">
        <v>45791</v>
      </c>
      <c r="B3302">
        <v>14</v>
      </c>
      <c r="C3302" t="s">
        <v>73</v>
      </c>
      <c r="D3302">
        <v>0</v>
      </c>
      <c r="E3302">
        <v>0</v>
      </c>
      <c r="F3302" t="s">
        <v>229</v>
      </c>
    </row>
    <row r="3303" spans="1:6" x14ac:dyDescent="0.3">
      <c r="A3303" s="20">
        <v>45791</v>
      </c>
      <c r="B3303">
        <v>14</v>
      </c>
      <c r="C3303" t="s">
        <v>228</v>
      </c>
      <c r="D3303">
        <v>14278</v>
      </c>
      <c r="E3303">
        <v>1832</v>
      </c>
      <c r="F3303" t="s">
        <v>45</v>
      </c>
    </row>
    <row r="3304" spans="1:6" x14ac:dyDescent="0.3">
      <c r="A3304" s="20">
        <v>45791</v>
      </c>
      <c r="B3304">
        <v>14</v>
      </c>
      <c r="C3304" t="s">
        <v>249</v>
      </c>
      <c r="D3304">
        <v>30691</v>
      </c>
      <c r="E3304">
        <v>958</v>
      </c>
      <c r="F3304" t="s">
        <v>31</v>
      </c>
    </row>
    <row r="3305" spans="1:6" x14ac:dyDescent="0.3">
      <c r="A3305" s="20">
        <v>45791</v>
      </c>
      <c r="B3305">
        <v>14</v>
      </c>
      <c r="C3305" t="s">
        <v>242</v>
      </c>
      <c r="D3305">
        <v>46755</v>
      </c>
      <c r="E3305">
        <v>4480</v>
      </c>
      <c r="F3305" t="s">
        <v>31</v>
      </c>
    </row>
    <row r="3306" spans="1:6" x14ac:dyDescent="0.3">
      <c r="A3306" s="20">
        <v>45791</v>
      </c>
      <c r="B3306">
        <v>14</v>
      </c>
      <c r="C3306" t="s">
        <v>236</v>
      </c>
      <c r="D3306">
        <v>753</v>
      </c>
      <c r="E3306">
        <v>157</v>
      </c>
      <c r="F3306" t="s">
        <v>42</v>
      </c>
    </row>
    <row r="3307" spans="1:6" x14ac:dyDescent="0.3">
      <c r="A3307" s="20">
        <v>45791</v>
      </c>
      <c r="B3307">
        <v>14</v>
      </c>
      <c r="C3307" t="s">
        <v>35</v>
      </c>
      <c r="D3307">
        <v>3822</v>
      </c>
      <c r="E3307">
        <v>94</v>
      </c>
      <c r="F3307" t="s">
        <v>31</v>
      </c>
    </row>
    <row r="3308" spans="1:6" x14ac:dyDescent="0.3">
      <c r="A3308" s="20">
        <v>45791</v>
      </c>
      <c r="B3308">
        <v>14</v>
      </c>
      <c r="C3308" t="s">
        <v>244</v>
      </c>
      <c r="D3308">
        <v>31095</v>
      </c>
      <c r="E3308">
        <v>3252</v>
      </c>
      <c r="F3308" t="s">
        <v>31</v>
      </c>
    </row>
    <row r="3309" spans="1:6" x14ac:dyDescent="0.3">
      <c r="A3309" s="20">
        <v>45791</v>
      </c>
      <c r="B3309">
        <v>14</v>
      </c>
      <c r="C3309" t="s">
        <v>36</v>
      </c>
      <c r="D3309">
        <v>1358</v>
      </c>
      <c r="E3309">
        <v>193</v>
      </c>
      <c r="F3309" t="s">
        <v>31</v>
      </c>
    </row>
    <row r="3310" spans="1:6" x14ac:dyDescent="0.3">
      <c r="A3310" s="20">
        <v>45791</v>
      </c>
      <c r="B3310">
        <v>14</v>
      </c>
      <c r="C3310" t="s">
        <v>232</v>
      </c>
      <c r="D3310">
        <v>413</v>
      </c>
      <c r="E3310">
        <v>46</v>
      </c>
      <c r="F3310" t="s">
        <v>68</v>
      </c>
    </row>
    <row r="3311" spans="1:6" x14ac:dyDescent="0.3">
      <c r="A3311" s="20">
        <v>45791</v>
      </c>
      <c r="B3311">
        <v>14</v>
      </c>
      <c r="C3311" t="s">
        <v>262</v>
      </c>
      <c r="D3311">
        <v>21432</v>
      </c>
      <c r="E3311">
        <v>425</v>
      </c>
      <c r="F3311" t="s">
        <v>86</v>
      </c>
    </row>
    <row r="3312" spans="1:6" x14ac:dyDescent="0.3">
      <c r="A3312" s="20">
        <v>45791</v>
      </c>
      <c r="B3312">
        <v>14</v>
      </c>
      <c r="C3312" t="s">
        <v>250</v>
      </c>
      <c r="D3312">
        <v>8226</v>
      </c>
      <c r="E3312">
        <v>1171</v>
      </c>
      <c r="F3312" t="s">
        <v>164</v>
      </c>
    </row>
    <row r="3313" spans="1:6" x14ac:dyDescent="0.3">
      <c r="A3313" s="20">
        <v>45791</v>
      </c>
      <c r="B3313">
        <v>14</v>
      </c>
      <c r="C3313" t="s">
        <v>160</v>
      </c>
      <c r="D3313">
        <v>348</v>
      </c>
      <c r="E3313">
        <v>30</v>
      </c>
      <c r="F3313" t="s">
        <v>47</v>
      </c>
    </row>
    <row r="3314" spans="1:6" x14ac:dyDescent="0.3">
      <c r="A3314" s="20">
        <v>45791</v>
      </c>
      <c r="B3314">
        <v>14</v>
      </c>
      <c r="C3314" t="s">
        <v>160</v>
      </c>
      <c r="D3314">
        <v>5784</v>
      </c>
      <c r="E3314">
        <v>1012</v>
      </c>
      <c r="F3314" t="s">
        <v>231</v>
      </c>
    </row>
    <row r="3315" spans="1:6" x14ac:dyDescent="0.3">
      <c r="A3315" s="20">
        <v>45791</v>
      </c>
      <c r="B3315">
        <v>14</v>
      </c>
      <c r="C3315" t="s">
        <v>126</v>
      </c>
      <c r="D3315">
        <v>28</v>
      </c>
      <c r="E3315">
        <v>28</v>
      </c>
      <c r="F3315" t="s">
        <v>38</v>
      </c>
    </row>
    <row r="3316" spans="1:6" x14ac:dyDescent="0.3">
      <c r="A3316" s="20">
        <v>45791</v>
      </c>
      <c r="B3316">
        <v>14</v>
      </c>
      <c r="C3316" t="s">
        <v>235</v>
      </c>
      <c r="D3316">
        <v>668</v>
      </c>
      <c r="E3316">
        <v>112</v>
      </c>
      <c r="F3316" t="s">
        <v>161</v>
      </c>
    </row>
    <row r="3317" spans="1:6" x14ac:dyDescent="0.3">
      <c r="A3317" s="20">
        <v>45791</v>
      </c>
      <c r="B3317">
        <v>15</v>
      </c>
      <c r="C3317" t="s">
        <v>73</v>
      </c>
      <c r="D3317">
        <v>0</v>
      </c>
      <c r="E3317">
        <v>0</v>
      </c>
      <c r="F3317" t="s">
        <v>74</v>
      </c>
    </row>
    <row r="3318" spans="1:6" x14ac:dyDescent="0.3">
      <c r="A3318" s="20">
        <v>45791</v>
      </c>
      <c r="B3318">
        <v>15</v>
      </c>
      <c r="C3318" t="s">
        <v>73</v>
      </c>
      <c r="D3318">
        <v>0</v>
      </c>
      <c r="E3318">
        <v>0</v>
      </c>
      <c r="F3318" t="s">
        <v>38</v>
      </c>
    </row>
    <row r="3319" spans="1:6" x14ac:dyDescent="0.3">
      <c r="A3319" s="20">
        <v>45791</v>
      </c>
      <c r="B3319">
        <v>15</v>
      </c>
      <c r="C3319" t="s">
        <v>73</v>
      </c>
      <c r="D3319">
        <v>0</v>
      </c>
      <c r="E3319">
        <v>0</v>
      </c>
      <c r="F3319" t="s">
        <v>75</v>
      </c>
    </row>
    <row r="3320" spans="1:6" x14ac:dyDescent="0.3">
      <c r="A3320" s="20">
        <v>45791</v>
      </c>
      <c r="B3320">
        <v>15</v>
      </c>
      <c r="C3320" t="s">
        <v>48</v>
      </c>
      <c r="D3320">
        <v>498</v>
      </c>
      <c r="E3320">
        <v>24</v>
      </c>
      <c r="F3320" t="s">
        <v>31</v>
      </c>
    </row>
    <row r="3321" spans="1:6" x14ac:dyDescent="0.3">
      <c r="A3321" s="20">
        <v>45791</v>
      </c>
      <c r="B3321">
        <v>15</v>
      </c>
      <c r="C3321" t="s">
        <v>233</v>
      </c>
      <c r="D3321">
        <v>2499</v>
      </c>
      <c r="E3321">
        <v>365</v>
      </c>
      <c r="F3321" t="s">
        <v>34</v>
      </c>
    </row>
    <row r="3322" spans="1:6" x14ac:dyDescent="0.3">
      <c r="A3322" s="20">
        <v>45791</v>
      </c>
      <c r="B3322">
        <v>15</v>
      </c>
      <c r="C3322" t="s">
        <v>238</v>
      </c>
      <c r="D3322">
        <v>755</v>
      </c>
      <c r="E3322">
        <v>62</v>
      </c>
      <c r="F3322" t="s">
        <v>229</v>
      </c>
    </row>
    <row r="3323" spans="1:6" x14ac:dyDescent="0.3">
      <c r="A3323" s="20">
        <v>45791</v>
      </c>
      <c r="B3323">
        <v>15</v>
      </c>
      <c r="C3323" t="s">
        <v>250</v>
      </c>
      <c r="D3323">
        <v>223</v>
      </c>
      <c r="E3323">
        <v>31</v>
      </c>
      <c r="F3323" t="s">
        <v>86</v>
      </c>
    </row>
    <row r="3324" spans="1:6" x14ac:dyDescent="0.3">
      <c r="A3324" s="20">
        <v>45791</v>
      </c>
      <c r="B3324">
        <v>15</v>
      </c>
      <c r="C3324" t="s">
        <v>160</v>
      </c>
      <c r="D3324">
        <v>7</v>
      </c>
      <c r="E3324">
        <v>2</v>
      </c>
      <c r="F3324" t="s">
        <v>72</v>
      </c>
    </row>
    <row r="3325" spans="1:6" x14ac:dyDescent="0.3">
      <c r="A3325" s="20">
        <v>45791</v>
      </c>
      <c r="B3325">
        <v>15</v>
      </c>
      <c r="C3325" t="s">
        <v>162</v>
      </c>
      <c r="D3325">
        <v>624</v>
      </c>
      <c r="E3325">
        <v>42</v>
      </c>
      <c r="F3325" t="s">
        <v>47</v>
      </c>
    </row>
    <row r="3326" spans="1:6" x14ac:dyDescent="0.3">
      <c r="A3326" s="20">
        <v>45791</v>
      </c>
      <c r="B3326">
        <v>15</v>
      </c>
      <c r="C3326" t="s">
        <v>240</v>
      </c>
      <c r="D3326">
        <v>2881</v>
      </c>
      <c r="E3326">
        <v>84</v>
      </c>
      <c r="F3326" t="s">
        <v>38</v>
      </c>
    </row>
    <row r="3327" spans="1:6" x14ac:dyDescent="0.3">
      <c r="A3327" s="20">
        <v>45791</v>
      </c>
      <c r="B3327">
        <v>8</v>
      </c>
      <c r="C3327" t="s">
        <v>73</v>
      </c>
      <c r="D3327">
        <v>0</v>
      </c>
      <c r="E3327">
        <v>0</v>
      </c>
    </row>
    <row r="3328" spans="1:6" x14ac:dyDescent="0.3">
      <c r="A3328" s="20">
        <v>45791</v>
      </c>
      <c r="B3328">
        <v>8</v>
      </c>
      <c r="C3328" t="s">
        <v>73</v>
      </c>
      <c r="D3328">
        <v>0</v>
      </c>
      <c r="E3328">
        <v>0</v>
      </c>
      <c r="F3328" t="s">
        <v>39</v>
      </c>
    </row>
    <row r="3329" spans="1:6" x14ac:dyDescent="0.3">
      <c r="A3329" s="20">
        <v>45791</v>
      </c>
      <c r="B3329">
        <v>8</v>
      </c>
      <c r="C3329" t="s">
        <v>73</v>
      </c>
      <c r="D3329">
        <v>0</v>
      </c>
      <c r="E3329">
        <v>0</v>
      </c>
      <c r="F3329" t="s">
        <v>231</v>
      </c>
    </row>
    <row r="3330" spans="1:6" x14ac:dyDescent="0.3">
      <c r="A3330" s="20">
        <v>45791</v>
      </c>
      <c r="B3330">
        <v>8</v>
      </c>
      <c r="C3330" t="s">
        <v>228</v>
      </c>
      <c r="D3330">
        <v>7967</v>
      </c>
      <c r="E3330">
        <v>1617</v>
      </c>
      <c r="F3330" t="s">
        <v>45</v>
      </c>
    </row>
    <row r="3331" spans="1:6" x14ac:dyDescent="0.3">
      <c r="A3331" s="20">
        <v>45791</v>
      </c>
      <c r="B3331">
        <v>8</v>
      </c>
      <c r="C3331" t="s">
        <v>228</v>
      </c>
      <c r="D3331">
        <v>1774</v>
      </c>
      <c r="E3331">
        <v>193</v>
      </c>
      <c r="F3331" t="s">
        <v>43</v>
      </c>
    </row>
    <row r="3332" spans="1:6" x14ac:dyDescent="0.3">
      <c r="A3332" s="20">
        <v>45791</v>
      </c>
      <c r="B3332">
        <v>8</v>
      </c>
      <c r="C3332" t="s">
        <v>52</v>
      </c>
      <c r="D3332">
        <v>56884</v>
      </c>
      <c r="E3332">
        <v>2779</v>
      </c>
      <c r="F3332" t="s">
        <v>31</v>
      </c>
    </row>
    <row r="3333" spans="1:6" x14ac:dyDescent="0.3">
      <c r="A3333" s="20">
        <v>45791</v>
      </c>
      <c r="B3333">
        <v>8</v>
      </c>
      <c r="C3333" t="s">
        <v>35</v>
      </c>
      <c r="D3333">
        <v>5078</v>
      </c>
      <c r="E3333">
        <v>284</v>
      </c>
      <c r="F3333" t="s">
        <v>31</v>
      </c>
    </row>
    <row r="3334" spans="1:6" x14ac:dyDescent="0.3">
      <c r="A3334" s="20">
        <v>45791</v>
      </c>
      <c r="B3334">
        <v>8</v>
      </c>
      <c r="C3334" t="s">
        <v>53</v>
      </c>
      <c r="D3334">
        <v>4100</v>
      </c>
      <c r="E3334">
        <v>180</v>
      </c>
      <c r="F3334" t="s">
        <v>31</v>
      </c>
    </row>
    <row r="3335" spans="1:6" x14ac:dyDescent="0.3">
      <c r="A3335" s="20">
        <v>45791</v>
      </c>
      <c r="B3335">
        <v>8</v>
      </c>
      <c r="C3335" t="s">
        <v>36</v>
      </c>
      <c r="D3335">
        <v>1033</v>
      </c>
      <c r="E3335">
        <v>150</v>
      </c>
      <c r="F3335" t="s">
        <v>31</v>
      </c>
    </row>
    <row r="3336" spans="1:6" x14ac:dyDescent="0.3">
      <c r="A3336" s="20">
        <v>45791</v>
      </c>
      <c r="B3336">
        <v>8</v>
      </c>
      <c r="C3336" t="s">
        <v>152</v>
      </c>
      <c r="D3336">
        <v>163</v>
      </c>
      <c r="E3336">
        <v>20</v>
      </c>
      <c r="F3336" t="s">
        <v>72</v>
      </c>
    </row>
    <row r="3337" spans="1:6" x14ac:dyDescent="0.3">
      <c r="A3337" s="20">
        <v>45791</v>
      </c>
      <c r="B3337">
        <v>8</v>
      </c>
      <c r="C3337" t="s">
        <v>71</v>
      </c>
      <c r="D3337">
        <v>5607</v>
      </c>
      <c r="E3337">
        <v>2566</v>
      </c>
      <c r="F3337" t="s">
        <v>32</v>
      </c>
    </row>
    <row r="3338" spans="1:6" x14ac:dyDescent="0.3">
      <c r="A3338" s="20">
        <v>45791</v>
      </c>
      <c r="B3338">
        <v>8</v>
      </c>
      <c r="C3338" t="s">
        <v>71</v>
      </c>
      <c r="D3338">
        <v>13254</v>
      </c>
      <c r="E3338">
        <v>1494</v>
      </c>
      <c r="F3338" t="s">
        <v>164</v>
      </c>
    </row>
    <row r="3339" spans="1:6" x14ac:dyDescent="0.3">
      <c r="A3339" s="20">
        <v>45791</v>
      </c>
      <c r="B3339">
        <v>8</v>
      </c>
      <c r="C3339" t="s">
        <v>233</v>
      </c>
      <c r="D3339">
        <v>3024</v>
      </c>
      <c r="E3339">
        <v>580</v>
      </c>
      <c r="F3339" t="s">
        <v>85</v>
      </c>
    </row>
    <row r="3340" spans="1:6" x14ac:dyDescent="0.3">
      <c r="A3340" s="20">
        <v>45791</v>
      </c>
      <c r="B3340">
        <v>8</v>
      </c>
      <c r="C3340" t="s">
        <v>262</v>
      </c>
      <c r="D3340">
        <v>20802</v>
      </c>
      <c r="E3340">
        <v>369</v>
      </c>
      <c r="F3340" t="s">
        <v>86</v>
      </c>
    </row>
    <row r="3341" spans="1:6" x14ac:dyDescent="0.3">
      <c r="A3341" s="20">
        <v>45791</v>
      </c>
      <c r="B3341">
        <v>8</v>
      </c>
      <c r="C3341" t="s">
        <v>160</v>
      </c>
      <c r="D3341">
        <v>4976</v>
      </c>
      <c r="E3341">
        <v>715</v>
      </c>
      <c r="F3341" t="s">
        <v>229</v>
      </c>
    </row>
    <row r="3342" spans="1:6" x14ac:dyDescent="0.3">
      <c r="A3342" s="20">
        <v>45791</v>
      </c>
      <c r="B3342">
        <v>8</v>
      </c>
      <c r="C3342" t="s">
        <v>160</v>
      </c>
      <c r="D3342">
        <v>195</v>
      </c>
      <c r="E3342">
        <v>64</v>
      </c>
      <c r="F3342" t="s">
        <v>234</v>
      </c>
    </row>
    <row r="3343" spans="1:6" x14ac:dyDescent="0.3">
      <c r="A3343" s="20">
        <v>45791</v>
      </c>
      <c r="B3343">
        <v>8</v>
      </c>
      <c r="C3343" t="s">
        <v>125</v>
      </c>
      <c r="D3343">
        <v>100725</v>
      </c>
      <c r="E3343">
        <v>6140</v>
      </c>
      <c r="F3343" t="s">
        <v>38</v>
      </c>
    </row>
    <row r="3344" spans="1:6" x14ac:dyDescent="0.3">
      <c r="A3344" s="20">
        <v>45791</v>
      </c>
      <c r="B3344">
        <v>9</v>
      </c>
      <c r="C3344" t="s">
        <v>73</v>
      </c>
      <c r="D3344">
        <v>19</v>
      </c>
      <c r="E3344">
        <v>19</v>
      </c>
      <c r="F3344" t="s">
        <v>31</v>
      </c>
    </row>
    <row r="3345" spans="1:6" x14ac:dyDescent="0.3">
      <c r="A3345" s="20">
        <v>45791</v>
      </c>
      <c r="B3345">
        <v>9</v>
      </c>
      <c r="C3345" t="s">
        <v>73</v>
      </c>
      <c r="D3345">
        <v>0</v>
      </c>
      <c r="E3345">
        <v>0</v>
      </c>
      <c r="F3345" t="s">
        <v>74</v>
      </c>
    </row>
    <row r="3346" spans="1:6" x14ac:dyDescent="0.3">
      <c r="A3346" s="20">
        <v>45791</v>
      </c>
      <c r="B3346">
        <v>9</v>
      </c>
      <c r="C3346" t="s">
        <v>73</v>
      </c>
      <c r="D3346">
        <v>0</v>
      </c>
      <c r="E3346">
        <v>0</v>
      </c>
      <c r="F3346" t="s">
        <v>38</v>
      </c>
    </row>
    <row r="3347" spans="1:6" x14ac:dyDescent="0.3">
      <c r="A3347" s="20">
        <v>45791</v>
      </c>
      <c r="B3347">
        <v>9</v>
      </c>
      <c r="C3347" t="s">
        <v>153</v>
      </c>
      <c r="D3347">
        <v>7141</v>
      </c>
      <c r="E3347">
        <v>279</v>
      </c>
      <c r="F3347" t="s">
        <v>248</v>
      </c>
    </row>
    <row r="3348" spans="1:6" x14ac:dyDescent="0.3">
      <c r="A3348" s="20">
        <v>45791</v>
      </c>
      <c r="B3348">
        <v>9</v>
      </c>
      <c r="C3348" t="s">
        <v>156</v>
      </c>
      <c r="D3348">
        <v>6568</v>
      </c>
      <c r="E3348">
        <v>894</v>
      </c>
      <c r="F3348" t="s">
        <v>229</v>
      </c>
    </row>
    <row r="3349" spans="1:6" x14ac:dyDescent="0.3">
      <c r="A3349" s="20">
        <v>45791</v>
      </c>
      <c r="B3349">
        <v>9</v>
      </c>
      <c r="C3349" t="s">
        <v>156</v>
      </c>
      <c r="D3349">
        <v>81</v>
      </c>
      <c r="E3349">
        <v>4</v>
      </c>
      <c r="F3349" t="s">
        <v>33</v>
      </c>
    </row>
    <row r="3350" spans="1:6" x14ac:dyDescent="0.3">
      <c r="A3350" s="20">
        <v>45791</v>
      </c>
      <c r="B3350">
        <v>9</v>
      </c>
      <c r="C3350" t="s">
        <v>156</v>
      </c>
      <c r="D3350">
        <v>13163</v>
      </c>
      <c r="E3350">
        <v>2289</v>
      </c>
      <c r="F3350" t="s">
        <v>75</v>
      </c>
    </row>
    <row r="3351" spans="1:6" x14ac:dyDescent="0.3">
      <c r="A3351" s="20">
        <v>45791</v>
      </c>
      <c r="B3351">
        <v>9</v>
      </c>
      <c r="C3351" t="s">
        <v>50</v>
      </c>
      <c r="D3351">
        <v>427</v>
      </c>
      <c r="E3351">
        <v>102</v>
      </c>
      <c r="F3351" t="s">
        <v>31</v>
      </c>
    </row>
    <row r="3352" spans="1:6" x14ac:dyDescent="0.3">
      <c r="A3352" s="20">
        <v>45791</v>
      </c>
      <c r="B3352">
        <v>9</v>
      </c>
      <c r="C3352" t="s">
        <v>247</v>
      </c>
      <c r="D3352">
        <v>5014</v>
      </c>
      <c r="E3352">
        <v>412</v>
      </c>
      <c r="F3352" t="s">
        <v>31</v>
      </c>
    </row>
    <row r="3353" spans="1:6" x14ac:dyDescent="0.3">
      <c r="A3353" s="20">
        <v>45791</v>
      </c>
      <c r="B3353">
        <v>9</v>
      </c>
      <c r="C3353" t="s">
        <v>152</v>
      </c>
      <c r="D3353">
        <v>5887</v>
      </c>
      <c r="E3353">
        <v>671</v>
      </c>
      <c r="F3353" t="s">
        <v>138</v>
      </c>
    </row>
    <row r="3354" spans="1:6" x14ac:dyDescent="0.3">
      <c r="A3354" s="20">
        <v>45791</v>
      </c>
      <c r="B3354">
        <v>9</v>
      </c>
      <c r="C3354" t="s">
        <v>232</v>
      </c>
      <c r="D3354">
        <v>17392</v>
      </c>
      <c r="E3354">
        <v>2743</v>
      </c>
      <c r="F3354" t="s">
        <v>229</v>
      </c>
    </row>
    <row r="3355" spans="1:6" x14ac:dyDescent="0.3">
      <c r="A3355" s="20">
        <v>45791</v>
      </c>
      <c r="B3355">
        <v>9</v>
      </c>
      <c r="C3355" t="s">
        <v>233</v>
      </c>
      <c r="D3355">
        <v>14422</v>
      </c>
      <c r="E3355">
        <v>2185</v>
      </c>
      <c r="F3355" t="s">
        <v>34</v>
      </c>
    </row>
    <row r="3356" spans="1:6" x14ac:dyDescent="0.3">
      <c r="A3356" s="20">
        <v>45791</v>
      </c>
      <c r="B3356">
        <v>9</v>
      </c>
      <c r="C3356" t="s">
        <v>238</v>
      </c>
      <c r="D3356">
        <v>8071</v>
      </c>
      <c r="E3356">
        <v>947</v>
      </c>
      <c r="F3356" t="s">
        <v>229</v>
      </c>
    </row>
    <row r="3357" spans="1:6" x14ac:dyDescent="0.3">
      <c r="A3357" s="20">
        <v>45791</v>
      </c>
      <c r="B3357">
        <v>9</v>
      </c>
      <c r="C3357" t="s">
        <v>261</v>
      </c>
      <c r="D3357">
        <v>11817</v>
      </c>
      <c r="E3357">
        <v>988</v>
      </c>
      <c r="F3357" t="s">
        <v>31</v>
      </c>
    </row>
    <row r="3358" spans="1:6" x14ac:dyDescent="0.3">
      <c r="A3358" s="20">
        <v>45791</v>
      </c>
      <c r="B3358">
        <v>9</v>
      </c>
      <c r="C3358" t="s">
        <v>250</v>
      </c>
      <c r="D3358">
        <v>50</v>
      </c>
      <c r="E3358">
        <v>3</v>
      </c>
      <c r="F3358" t="s">
        <v>74</v>
      </c>
    </row>
    <row r="3359" spans="1:6" x14ac:dyDescent="0.3">
      <c r="A3359" s="20">
        <v>45791</v>
      </c>
      <c r="B3359">
        <v>9</v>
      </c>
      <c r="C3359" t="s">
        <v>250</v>
      </c>
      <c r="D3359">
        <v>859</v>
      </c>
      <c r="E3359">
        <v>99</v>
      </c>
      <c r="F3359" t="s">
        <v>86</v>
      </c>
    </row>
    <row r="3360" spans="1:6" x14ac:dyDescent="0.3">
      <c r="A3360" s="20">
        <v>45791</v>
      </c>
      <c r="B3360">
        <v>9</v>
      </c>
      <c r="C3360" t="s">
        <v>250</v>
      </c>
      <c r="D3360">
        <v>792</v>
      </c>
      <c r="E3360">
        <v>76</v>
      </c>
      <c r="F3360" t="s">
        <v>75</v>
      </c>
    </row>
    <row r="3361" spans="1:6" x14ac:dyDescent="0.3">
      <c r="A3361" s="20">
        <v>45791</v>
      </c>
      <c r="B3361">
        <v>9</v>
      </c>
      <c r="C3361" t="s">
        <v>250</v>
      </c>
      <c r="D3361">
        <v>109</v>
      </c>
      <c r="E3361">
        <v>10</v>
      </c>
      <c r="F3361" t="s">
        <v>257</v>
      </c>
    </row>
    <row r="3362" spans="1:6" x14ac:dyDescent="0.3">
      <c r="A3362" s="20">
        <v>45791</v>
      </c>
      <c r="B3362">
        <v>9</v>
      </c>
      <c r="C3362" t="s">
        <v>240</v>
      </c>
      <c r="D3362">
        <v>18748</v>
      </c>
      <c r="E3362">
        <v>722</v>
      </c>
      <c r="F3362" t="s">
        <v>38</v>
      </c>
    </row>
    <row r="3363" spans="1:6" x14ac:dyDescent="0.3">
      <c r="A3363" s="20">
        <v>45791</v>
      </c>
      <c r="B3363">
        <v>10</v>
      </c>
      <c r="C3363" t="s">
        <v>73</v>
      </c>
      <c r="D3363">
        <v>0</v>
      </c>
      <c r="E3363">
        <v>0</v>
      </c>
      <c r="F3363" t="s">
        <v>43</v>
      </c>
    </row>
    <row r="3364" spans="1:6" x14ac:dyDescent="0.3">
      <c r="A3364" s="20">
        <v>45791</v>
      </c>
      <c r="B3364">
        <v>10</v>
      </c>
      <c r="C3364" t="s">
        <v>73</v>
      </c>
      <c r="D3364">
        <v>1</v>
      </c>
      <c r="E3364">
        <v>0</v>
      </c>
      <c r="F3364" t="s">
        <v>77</v>
      </c>
    </row>
    <row r="3365" spans="1:6" x14ac:dyDescent="0.3">
      <c r="A3365" s="20">
        <v>45791</v>
      </c>
      <c r="B3365">
        <v>10</v>
      </c>
      <c r="C3365" t="s">
        <v>67</v>
      </c>
      <c r="D3365">
        <v>16770</v>
      </c>
      <c r="E3365">
        <v>772</v>
      </c>
      <c r="F3365" t="s">
        <v>31</v>
      </c>
    </row>
    <row r="3366" spans="1:6" x14ac:dyDescent="0.3">
      <c r="A3366" s="20">
        <v>45791</v>
      </c>
      <c r="B3366">
        <v>10</v>
      </c>
      <c r="C3366" t="s">
        <v>52</v>
      </c>
      <c r="D3366">
        <v>34</v>
      </c>
      <c r="E3366">
        <v>34</v>
      </c>
      <c r="F3366" t="s">
        <v>259</v>
      </c>
    </row>
    <row r="3367" spans="1:6" x14ac:dyDescent="0.3">
      <c r="A3367" s="20">
        <v>45791</v>
      </c>
      <c r="B3367">
        <v>10</v>
      </c>
      <c r="C3367" t="s">
        <v>239</v>
      </c>
      <c r="D3367">
        <v>68176</v>
      </c>
      <c r="E3367">
        <v>4674</v>
      </c>
      <c r="F3367" t="s">
        <v>31</v>
      </c>
    </row>
    <row r="3368" spans="1:6" x14ac:dyDescent="0.3">
      <c r="A3368" s="20">
        <v>45791</v>
      </c>
      <c r="B3368">
        <v>10</v>
      </c>
      <c r="C3368" t="s">
        <v>238</v>
      </c>
      <c r="D3368">
        <v>5780</v>
      </c>
      <c r="E3368">
        <v>479</v>
      </c>
      <c r="F3368" t="s">
        <v>32</v>
      </c>
    </row>
    <row r="3369" spans="1:6" x14ac:dyDescent="0.3">
      <c r="A3369" s="20">
        <v>45791</v>
      </c>
      <c r="B3369">
        <v>10</v>
      </c>
      <c r="C3369" t="s">
        <v>265</v>
      </c>
      <c r="D3369">
        <v>15728</v>
      </c>
      <c r="E3369">
        <v>911</v>
      </c>
      <c r="F3369" t="s">
        <v>31</v>
      </c>
    </row>
    <row r="3370" spans="1:6" x14ac:dyDescent="0.3">
      <c r="A3370" s="20">
        <v>45791</v>
      </c>
      <c r="B3370">
        <v>10</v>
      </c>
      <c r="C3370" t="s">
        <v>255</v>
      </c>
      <c r="D3370">
        <v>14356</v>
      </c>
      <c r="E3370">
        <v>1721</v>
      </c>
      <c r="F3370" t="s">
        <v>39</v>
      </c>
    </row>
    <row r="3371" spans="1:6" x14ac:dyDescent="0.3">
      <c r="A3371" s="20">
        <v>45791</v>
      </c>
      <c r="B3371">
        <v>10</v>
      </c>
      <c r="C3371" t="s">
        <v>255</v>
      </c>
      <c r="D3371">
        <v>9725</v>
      </c>
      <c r="E3371">
        <v>1394</v>
      </c>
      <c r="F3371" t="s">
        <v>74</v>
      </c>
    </row>
    <row r="3372" spans="1:6" x14ac:dyDescent="0.3">
      <c r="A3372" s="20">
        <v>45791</v>
      </c>
      <c r="B3372">
        <v>10</v>
      </c>
      <c r="C3372" t="s">
        <v>155</v>
      </c>
      <c r="D3372">
        <v>75</v>
      </c>
      <c r="E3372">
        <v>52</v>
      </c>
      <c r="F3372" t="s">
        <v>32</v>
      </c>
    </row>
    <row r="3373" spans="1:6" x14ac:dyDescent="0.3">
      <c r="A3373" s="20">
        <v>45791</v>
      </c>
      <c r="B3373">
        <v>10</v>
      </c>
      <c r="C3373" t="s">
        <v>250</v>
      </c>
      <c r="D3373">
        <v>140</v>
      </c>
      <c r="E3373">
        <v>26</v>
      </c>
      <c r="F3373" t="s">
        <v>85</v>
      </c>
    </row>
    <row r="3374" spans="1:6" x14ac:dyDescent="0.3">
      <c r="A3374" s="20">
        <v>45791</v>
      </c>
      <c r="B3374">
        <v>10</v>
      </c>
      <c r="C3374" t="s">
        <v>250</v>
      </c>
      <c r="D3374">
        <v>8827</v>
      </c>
      <c r="E3374">
        <v>2365</v>
      </c>
      <c r="F3374" t="s">
        <v>252</v>
      </c>
    </row>
    <row r="3375" spans="1:6" x14ac:dyDescent="0.3">
      <c r="A3375" s="20">
        <v>45791</v>
      </c>
      <c r="B3375">
        <v>10</v>
      </c>
      <c r="C3375" t="s">
        <v>165</v>
      </c>
      <c r="D3375">
        <v>3</v>
      </c>
      <c r="E3375">
        <v>3</v>
      </c>
      <c r="F3375" t="s">
        <v>38</v>
      </c>
    </row>
    <row r="3376" spans="1:6" x14ac:dyDescent="0.3">
      <c r="A3376" s="20">
        <v>45791</v>
      </c>
      <c r="B3376">
        <v>10</v>
      </c>
      <c r="C3376" t="s">
        <v>235</v>
      </c>
      <c r="D3376">
        <v>7408</v>
      </c>
      <c r="E3376">
        <v>840</v>
      </c>
      <c r="F3376" t="s">
        <v>229</v>
      </c>
    </row>
    <row r="3377" spans="1:6" x14ac:dyDescent="0.3">
      <c r="A3377" s="20">
        <v>45791</v>
      </c>
      <c r="B3377">
        <v>10</v>
      </c>
      <c r="C3377" t="s">
        <v>235</v>
      </c>
      <c r="D3377">
        <v>9043</v>
      </c>
      <c r="E3377">
        <v>1195</v>
      </c>
      <c r="F3377" t="s">
        <v>234</v>
      </c>
    </row>
    <row r="3378" spans="1:6" x14ac:dyDescent="0.3">
      <c r="A3378" s="20">
        <v>45791</v>
      </c>
      <c r="B3378">
        <v>11</v>
      </c>
      <c r="C3378" t="s">
        <v>73</v>
      </c>
      <c r="D3378">
        <v>0</v>
      </c>
      <c r="E3378">
        <v>0</v>
      </c>
    </row>
    <row r="3379" spans="1:6" x14ac:dyDescent="0.3">
      <c r="A3379" s="20">
        <v>45791</v>
      </c>
      <c r="B3379">
        <v>11</v>
      </c>
      <c r="C3379" t="s">
        <v>73</v>
      </c>
      <c r="D3379">
        <v>0</v>
      </c>
      <c r="E3379">
        <v>0</v>
      </c>
      <c r="F3379" t="s">
        <v>39</v>
      </c>
    </row>
    <row r="3380" spans="1:6" x14ac:dyDescent="0.3">
      <c r="A3380" s="20">
        <v>45791</v>
      </c>
      <c r="B3380">
        <v>11</v>
      </c>
      <c r="C3380" t="s">
        <v>73</v>
      </c>
      <c r="D3380">
        <v>0</v>
      </c>
      <c r="E3380">
        <v>0</v>
      </c>
      <c r="F3380" t="s">
        <v>231</v>
      </c>
    </row>
    <row r="3381" spans="1:6" x14ac:dyDescent="0.3">
      <c r="A3381" s="20">
        <v>45791</v>
      </c>
      <c r="B3381">
        <v>11</v>
      </c>
      <c r="C3381" t="s">
        <v>73</v>
      </c>
      <c r="D3381">
        <v>0</v>
      </c>
      <c r="E3381">
        <v>0</v>
      </c>
      <c r="F3381" t="s">
        <v>161</v>
      </c>
    </row>
    <row r="3382" spans="1:6" x14ac:dyDescent="0.3">
      <c r="A3382" s="20">
        <v>45791</v>
      </c>
      <c r="B3382">
        <v>11</v>
      </c>
      <c r="C3382" t="s">
        <v>73</v>
      </c>
      <c r="D3382">
        <v>0</v>
      </c>
      <c r="E3382">
        <v>0</v>
      </c>
      <c r="F3382" t="s">
        <v>46</v>
      </c>
    </row>
    <row r="3383" spans="1:6" x14ac:dyDescent="0.3">
      <c r="A3383" s="20">
        <v>45791</v>
      </c>
      <c r="B3383">
        <v>11</v>
      </c>
      <c r="C3383" t="s">
        <v>66</v>
      </c>
      <c r="D3383">
        <v>37707</v>
      </c>
      <c r="E3383">
        <v>3190</v>
      </c>
      <c r="F3383" t="s">
        <v>31</v>
      </c>
    </row>
    <row r="3384" spans="1:6" x14ac:dyDescent="0.3">
      <c r="A3384" s="20">
        <v>45791</v>
      </c>
      <c r="B3384">
        <v>11</v>
      </c>
      <c r="C3384" t="s">
        <v>230</v>
      </c>
      <c r="D3384">
        <v>28111</v>
      </c>
      <c r="E3384">
        <v>2456</v>
      </c>
      <c r="F3384" t="s">
        <v>31</v>
      </c>
    </row>
    <row r="3385" spans="1:6" x14ac:dyDescent="0.3">
      <c r="A3385" s="20">
        <v>45791</v>
      </c>
      <c r="B3385">
        <v>11</v>
      </c>
      <c r="C3385" t="s">
        <v>52</v>
      </c>
      <c r="D3385">
        <v>43492</v>
      </c>
      <c r="E3385">
        <v>2474</v>
      </c>
      <c r="F3385" t="s">
        <v>31</v>
      </c>
    </row>
    <row r="3386" spans="1:6" x14ac:dyDescent="0.3">
      <c r="A3386" s="20">
        <v>45791</v>
      </c>
      <c r="B3386">
        <v>11</v>
      </c>
      <c r="C3386" t="s">
        <v>236</v>
      </c>
      <c r="D3386">
        <v>768</v>
      </c>
      <c r="E3386">
        <v>153</v>
      </c>
      <c r="F3386" t="s">
        <v>42</v>
      </c>
    </row>
    <row r="3387" spans="1:6" x14ac:dyDescent="0.3">
      <c r="A3387" s="20">
        <v>45791</v>
      </c>
      <c r="B3387">
        <v>11</v>
      </c>
      <c r="C3387" t="s">
        <v>53</v>
      </c>
      <c r="D3387">
        <v>2656</v>
      </c>
      <c r="E3387">
        <v>82</v>
      </c>
      <c r="F3387" t="s">
        <v>31</v>
      </c>
    </row>
    <row r="3388" spans="1:6" x14ac:dyDescent="0.3">
      <c r="A3388" s="20">
        <v>45791</v>
      </c>
      <c r="B3388">
        <v>11</v>
      </c>
      <c r="C3388" t="s">
        <v>36</v>
      </c>
      <c r="D3388">
        <v>1349</v>
      </c>
      <c r="E3388">
        <v>237</v>
      </c>
      <c r="F3388" t="s">
        <v>31</v>
      </c>
    </row>
    <row r="3389" spans="1:6" x14ac:dyDescent="0.3">
      <c r="A3389" s="20">
        <v>45791</v>
      </c>
      <c r="B3389">
        <v>11</v>
      </c>
      <c r="C3389" t="s">
        <v>152</v>
      </c>
      <c r="D3389">
        <v>162</v>
      </c>
      <c r="E3389">
        <v>40</v>
      </c>
      <c r="F3389" t="s">
        <v>72</v>
      </c>
    </row>
    <row r="3390" spans="1:6" x14ac:dyDescent="0.3">
      <c r="A3390" s="20">
        <v>45791</v>
      </c>
      <c r="B3390">
        <v>11</v>
      </c>
      <c r="C3390" t="s">
        <v>71</v>
      </c>
      <c r="D3390">
        <v>20964</v>
      </c>
      <c r="E3390">
        <v>2563</v>
      </c>
      <c r="F3390" t="s">
        <v>164</v>
      </c>
    </row>
    <row r="3391" spans="1:6" x14ac:dyDescent="0.3">
      <c r="A3391" s="20">
        <v>45791</v>
      </c>
      <c r="B3391">
        <v>11</v>
      </c>
      <c r="C3391" t="s">
        <v>233</v>
      </c>
      <c r="D3391">
        <v>2996</v>
      </c>
      <c r="E3391">
        <v>519</v>
      </c>
      <c r="F3391" t="s">
        <v>85</v>
      </c>
    </row>
    <row r="3392" spans="1:6" x14ac:dyDescent="0.3">
      <c r="A3392" s="20">
        <v>45791</v>
      </c>
      <c r="B3392">
        <v>11</v>
      </c>
      <c r="C3392" t="s">
        <v>233</v>
      </c>
      <c r="D3392">
        <v>9228</v>
      </c>
      <c r="E3392">
        <v>1697</v>
      </c>
      <c r="F3392" t="s">
        <v>43</v>
      </c>
    </row>
    <row r="3393" spans="1:6" x14ac:dyDescent="0.3">
      <c r="A3393" s="20">
        <v>45791</v>
      </c>
      <c r="B3393">
        <v>11</v>
      </c>
      <c r="C3393" t="s">
        <v>250</v>
      </c>
      <c r="D3393">
        <v>182</v>
      </c>
      <c r="E3393">
        <v>33</v>
      </c>
      <c r="F3393" t="s">
        <v>34</v>
      </c>
    </row>
    <row r="3394" spans="1:6" x14ac:dyDescent="0.3">
      <c r="A3394" s="20">
        <v>45791</v>
      </c>
      <c r="B3394">
        <v>11</v>
      </c>
      <c r="C3394" t="s">
        <v>160</v>
      </c>
      <c r="D3394">
        <v>3266</v>
      </c>
      <c r="E3394">
        <v>511</v>
      </c>
      <c r="F3394" t="s">
        <v>229</v>
      </c>
    </row>
    <row r="3395" spans="1:6" x14ac:dyDescent="0.3">
      <c r="A3395" s="20">
        <v>45791</v>
      </c>
      <c r="B3395">
        <v>11</v>
      </c>
      <c r="C3395" t="s">
        <v>40</v>
      </c>
      <c r="D3395">
        <v>87058</v>
      </c>
      <c r="E3395">
        <v>5818</v>
      </c>
      <c r="F3395" t="s">
        <v>38</v>
      </c>
    </row>
    <row r="3396" spans="1:6" x14ac:dyDescent="0.3">
      <c r="A3396" s="20">
        <v>45791</v>
      </c>
      <c r="B3396">
        <v>11</v>
      </c>
      <c r="C3396" t="s">
        <v>76</v>
      </c>
      <c r="D3396">
        <v>86569</v>
      </c>
      <c r="E3396">
        <v>4863</v>
      </c>
      <c r="F3396" t="s">
        <v>38</v>
      </c>
    </row>
    <row r="3397" spans="1:6" x14ac:dyDescent="0.3">
      <c r="A3397" s="20">
        <v>45791</v>
      </c>
      <c r="B3397">
        <v>11</v>
      </c>
      <c r="C3397" t="s">
        <v>253</v>
      </c>
      <c r="D3397">
        <v>1045</v>
      </c>
      <c r="E3397">
        <v>226</v>
      </c>
      <c r="F3397" t="s">
        <v>47</v>
      </c>
    </row>
    <row r="3398" spans="1:6" x14ac:dyDescent="0.3">
      <c r="A3398" s="20">
        <v>45791</v>
      </c>
      <c r="B3398">
        <v>11</v>
      </c>
      <c r="C3398" t="s">
        <v>253</v>
      </c>
      <c r="D3398">
        <v>4707</v>
      </c>
      <c r="E3398">
        <v>315</v>
      </c>
      <c r="F3398" t="s">
        <v>44</v>
      </c>
    </row>
    <row r="3399" spans="1:6" x14ac:dyDescent="0.3">
      <c r="A3399" s="20">
        <v>45791</v>
      </c>
      <c r="B3399">
        <v>12</v>
      </c>
      <c r="C3399" t="s">
        <v>73</v>
      </c>
      <c r="D3399">
        <v>20</v>
      </c>
      <c r="E3399">
        <v>20</v>
      </c>
      <c r="F3399" t="s">
        <v>31</v>
      </c>
    </row>
    <row r="3400" spans="1:6" x14ac:dyDescent="0.3">
      <c r="A3400" s="20">
        <v>45791</v>
      </c>
      <c r="B3400">
        <v>12</v>
      </c>
      <c r="C3400" t="s">
        <v>73</v>
      </c>
      <c r="D3400">
        <v>0</v>
      </c>
      <c r="E3400">
        <v>0</v>
      </c>
      <c r="F3400" t="s">
        <v>74</v>
      </c>
    </row>
    <row r="3401" spans="1:6" x14ac:dyDescent="0.3">
      <c r="A3401" s="20">
        <v>45791</v>
      </c>
      <c r="B3401">
        <v>12</v>
      </c>
      <c r="C3401" t="s">
        <v>153</v>
      </c>
      <c r="D3401">
        <v>6724</v>
      </c>
      <c r="E3401">
        <v>196</v>
      </c>
      <c r="F3401" t="s">
        <v>248</v>
      </c>
    </row>
    <row r="3402" spans="1:6" x14ac:dyDescent="0.3">
      <c r="A3402" s="20">
        <v>45791</v>
      </c>
      <c r="B3402">
        <v>12</v>
      </c>
      <c r="C3402" t="s">
        <v>156</v>
      </c>
      <c r="D3402">
        <v>9745</v>
      </c>
      <c r="E3402">
        <v>998</v>
      </c>
      <c r="F3402" t="s">
        <v>229</v>
      </c>
    </row>
    <row r="3403" spans="1:6" x14ac:dyDescent="0.3">
      <c r="A3403" s="20">
        <v>45791</v>
      </c>
      <c r="B3403">
        <v>12</v>
      </c>
      <c r="C3403" t="s">
        <v>156</v>
      </c>
      <c r="D3403">
        <v>17090</v>
      </c>
      <c r="E3403">
        <v>2391</v>
      </c>
      <c r="F3403" t="s">
        <v>75</v>
      </c>
    </row>
    <row r="3404" spans="1:6" x14ac:dyDescent="0.3">
      <c r="A3404" s="20">
        <v>45791</v>
      </c>
      <c r="B3404">
        <v>12</v>
      </c>
      <c r="C3404" t="s">
        <v>50</v>
      </c>
      <c r="D3404">
        <v>414</v>
      </c>
      <c r="E3404">
        <v>104</v>
      </c>
      <c r="F3404" t="s">
        <v>31</v>
      </c>
    </row>
    <row r="3405" spans="1:6" x14ac:dyDescent="0.3">
      <c r="A3405" s="20">
        <v>45791</v>
      </c>
      <c r="B3405">
        <v>12</v>
      </c>
      <c r="C3405" t="s">
        <v>247</v>
      </c>
      <c r="D3405">
        <v>6632</v>
      </c>
      <c r="E3405">
        <v>505</v>
      </c>
      <c r="F3405" t="s">
        <v>31</v>
      </c>
    </row>
    <row r="3406" spans="1:6" x14ac:dyDescent="0.3">
      <c r="A3406" s="20">
        <v>45791</v>
      </c>
      <c r="B3406">
        <v>12</v>
      </c>
      <c r="C3406" t="s">
        <v>254</v>
      </c>
      <c r="D3406">
        <v>10721</v>
      </c>
      <c r="E3406">
        <v>530</v>
      </c>
      <c r="F3406" t="s">
        <v>31</v>
      </c>
    </row>
    <row r="3407" spans="1:6" x14ac:dyDescent="0.3">
      <c r="A3407" s="20">
        <v>45791</v>
      </c>
      <c r="B3407">
        <v>12</v>
      </c>
      <c r="C3407" t="s">
        <v>152</v>
      </c>
      <c r="D3407">
        <v>5884</v>
      </c>
      <c r="E3407">
        <v>588</v>
      </c>
      <c r="F3407" t="s">
        <v>138</v>
      </c>
    </row>
    <row r="3408" spans="1:6" x14ac:dyDescent="0.3">
      <c r="A3408" s="20">
        <v>45791</v>
      </c>
      <c r="B3408">
        <v>12</v>
      </c>
      <c r="C3408" t="s">
        <v>232</v>
      </c>
      <c r="D3408">
        <v>2809</v>
      </c>
      <c r="E3408">
        <v>259</v>
      </c>
      <c r="F3408" t="s">
        <v>74</v>
      </c>
    </row>
    <row r="3409" spans="1:6" x14ac:dyDescent="0.3">
      <c r="A3409" s="20">
        <v>45791</v>
      </c>
      <c r="B3409">
        <v>12</v>
      </c>
      <c r="C3409" t="s">
        <v>232</v>
      </c>
      <c r="D3409">
        <v>19703</v>
      </c>
      <c r="E3409">
        <v>3144</v>
      </c>
      <c r="F3409" t="s">
        <v>229</v>
      </c>
    </row>
    <row r="3410" spans="1:6" x14ac:dyDescent="0.3">
      <c r="A3410" s="20">
        <v>45791</v>
      </c>
      <c r="B3410">
        <v>12</v>
      </c>
      <c r="C3410" t="s">
        <v>233</v>
      </c>
      <c r="D3410">
        <v>17491</v>
      </c>
      <c r="E3410">
        <v>2706</v>
      </c>
      <c r="F3410" t="s">
        <v>34</v>
      </c>
    </row>
    <row r="3411" spans="1:6" x14ac:dyDescent="0.3">
      <c r="A3411" s="20">
        <v>45791</v>
      </c>
      <c r="B3411">
        <v>12</v>
      </c>
      <c r="C3411" t="s">
        <v>261</v>
      </c>
      <c r="D3411">
        <v>13457</v>
      </c>
      <c r="E3411">
        <v>1320</v>
      </c>
      <c r="F3411" t="s">
        <v>31</v>
      </c>
    </row>
    <row r="3412" spans="1:6" x14ac:dyDescent="0.3">
      <c r="A3412" s="20">
        <v>45791</v>
      </c>
      <c r="B3412">
        <v>12</v>
      </c>
      <c r="C3412" t="s">
        <v>256</v>
      </c>
      <c r="D3412">
        <v>12275</v>
      </c>
      <c r="E3412">
        <v>169</v>
      </c>
      <c r="F3412" t="s">
        <v>163</v>
      </c>
    </row>
    <row r="3413" spans="1:6" x14ac:dyDescent="0.3">
      <c r="A3413" s="20">
        <v>45791</v>
      </c>
      <c r="B3413">
        <v>12</v>
      </c>
      <c r="C3413" t="s">
        <v>250</v>
      </c>
      <c r="D3413">
        <v>29</v>
      </c>
      <c r="E3413">
        <v>0</v>
      </c>
      <c r="F3413" t="s">
        <v>74</v>
      </c>
    </row>
    <row r="3414" spans="1:6" x14ac:dyDescent="0.3">
      <c r="A3414" s="20">
        <v>45791</v>
      </c>
      <c r="B3414">
        <v>12</v>
      </c>
      <c r="C3414" t="s">
        <v>250</v>
      </c>
      <c r="D3414">
        <v>21</v>
      </c>
      <c r="E3414">
        <v>1</v>
      </c>
      <c r="F3414" t="s">
        <v>86</v>
      </c>
    </row>
    <row r="3415" spans="1:6" x14ac:dyDescent="0.3">
      <c r="A3415" s="20">
        <v>45791</v>
      </c>
      <c r="B3415">
        <v>12</v>
      </c>
      <c r="C3415" t="s">
        <v>250</v>
      </c>
      <c r="D3415">
        <v>1095</v>
      </c>
      <c r="E3415">
        <v>109</v>
      </c>
      <c r="F3415" t="s">
        <v>75</v>
      </c>
    </row>
    <row r="3416" spans="1:6" x14ac:dyDescent="0.3">
      <c r="A3416" s="20">
        <v>45791</v>
      </c>
      <c r="B3416">
        <v>12</v>
      </c>
      <c r="C3416" t="s">
        <v>250</v>
      </c>
      <c r="D3416">
        <v>234</v>
      </c>
      <c r="E3416">
        <v>31</v>
      </c>
      <c r="F3416" t="s">
        <v>257</v>
      </c>
    </row>
    <row r="3417" spans="1:6" x14ac:dyDescent="0.3">
      <c r="A3417" s="20">
        <v>45791</v>
      </c>
      <c r="B3417">
        <v>12</v>
      </c>
      <c r="C3417" t="s">
        <v>160</v>
      </c>
      <c r="D3417">
        <v>606</v>
      </c>
      <c r="E3417">
        <v>108</v>
      </c>
      <c r="F3417" t="s">
        <v>74</v>
      </c>
    </row>
    <row r="3418" spans="1:6" x14ac:dyDescent="0.3">
      <c r="A3418" s="20">
        <v>45791</v>
      </c>
      <c r="B3418">
        <v>12</v>
      </c>
      <c r="C3418" t="s">
        <v>240</v>
      </c>
      <c r="D3418">
        <v>22750</v>
      </c>
      <c r="E3418">
        <v>851</v>
      </c>
      <c r="F3418" t="s">
        <v>38</v>
      </c>
    </row>
    <row r="3419" spans="1:6" x14ac:dyDescent="0.3">
      <c r="A3419" s="20">
        <v>45791</v>
      </c>
      <c r="B3419">
        <v>13</v>
      </c>
      <c r="C3419" t="s">
        <v>73</v>
      </c>
      <c r="D3419">
        <v>0</v>
      </c>
      <c r="E3419">
        <v>0</v>
      </c>
      <c r="F3419" t="s">
        <v>86</v>
      </c>
    </row>
    <row r="3420" spans="1:6" x14ac:dyDescent="0.3">
      <c r="A3420" s="20">
        <v>45791</v>
      </c>
      <c r="B3420">
        <v>13</v>
      </c>
      <c r="C3420" t="s">
        <v>73</v>
      </c>
      <c r="D3420">
        <v>0</v>
      </c>
      <c r="E3420">
        <v>0</v>
      </c>
      <c r="F3420" t="s">
        <v>43</v>
      </c>
    </row>
    <row r="3421" spans="1:6" x14ac:dyDescent="0.3">
      <c r="A3421" s="20">
        <v>45791</v>
      </c>
      <c r="B3421">
        <v>13</v>
      </c>
      <c r="C3421" t="s">
        <v>156</v>
      </c>
      <c r="D3421">
        <v>10923</v>
      </c>
      <c r="E3421">
        <v>1682</v>
      </c>
      <c r="F3421" t="s">
        <v>45</v>
      </c>
    </row>
    <row r="3422" spans="1:6" x14ac:dyDescent="0.3">
      <c r="A3422" s="20">
        <v>45791</v>
      </c>
      <c r="B3422">
        <v>13</v>
      </c>
      <c r="C3422" t="s">
        <v>157</v>
      </c>
      <c r="D3422">
        <v>25115</v>
      </c>
      <c r="E3422">
        <v>3242</v>
      </c>
      <c r="F3422" t="s">
        <v>31</v>
      </c>
    </row>
    <row r="3423" spans="1:6" x14ac:dyDescent="0.3">
      <c r="A3423" s="20">
        <v>45791</v>
      </c>
      <c r="B3423">
        <v>13</v>
      </c>
      <c r="C3423" t="s">
        <v>239</v>
      </c>
      <c r="D3423">
        <v>79540</v>
      </c>
      <c r="E3423">
        <v>6352</v>
      </c>
      <c r="F3423" t="s">
        <v>31</v>
      </c>
    </row>
    <row r="3424" spans="1:6" x14ac:dyDescent="0.3">
      <c r="A3424" s="20">
        <v>45791</v>
      </c>
      <c r="B3424">
        <v>13</v>
      </c>
      <c r="C3424" t="s">
        <v>139</v>
      </c>
      <c r="D3424">
        <v>17134</v>
      </c>
      <c r="E3424">
        <v>362</v>
      </c>
      <c r="F3424" t="s">
        <v>46</v>
      </c>
    </row>
    <row r="3425" spans="1:6" x14ac:dyDescent="0.3">
      <c r="A3425" s="20">
        <v>45791</v>
      </c>
      <c r="B3425">
        <v>13</v>
      </c>
      <c r="C3425" t="s">
        <v>238</v>
      </c>
      <c r="D3425">
        <v>9632</v>
      </c>
      <c r="E3425">
        <v>1053</v>
      </c>
      <c r="F3425" t="s">
        <v>32</v>
      </c>
    </row>
    <row r="3426" spans="1:6" x14ac:dyDescent="0.3">
      <c r="A3426" s="20">
        <v>45791</v>
      </c>
      <c r="B3426">
        <v>13</v>
      </c>
      <c r="C3426" t="s">
        <v>265</v>
      </c>
      <c r="D3426">
        <v>18056</v>
      </c>
      <c r="E3426">
        <v>914</v>
      </c>
      <c r="F3426" t="s">
        <v>31</v>
      </c>
    </row>
    <row r="3427" spans="1:6" x14ac:dyDescent="0.3">
      <c r="A3427" s="20">
        <v>45791</v>
      </c>
      <c r="B3427">
        <v>13</v>
      </c>
      <c r="C3427" t="s">
        <v>255</v>
      </c>
      <c r="D3427">
        <v>11152</v>
      </c>
      <c r="E3427">
        <v>1357</v>
      </c>
      <c r="F3427" t="s">
        <v>39</v>
      </c>
    </row>
    <row r="3428" spans="1:6" x14ac:dyDescent="0.3">
      <c r="A3428" s="20">
        <v>45791</v>
      </c>
      <c r="B3428">
        <v>13</v>
      </c>
      <c r="C3428" t="s">
        <v>155</v>
      </c>
      <c r="D3428">
        <v>3</v>
      </c>
      <c r="E3428">
        <v>1</v>
      </c>
      <c r="F3428" t="s">
        <v>32</v>
      </c>
    </row>
    <row r="3429" spans="1:6" x14ac:dyDescent="0.3">
      <c r="A3429" s="20">
        <v>45791</v>
      </c>
      <c r="B3429">
        <v>13</v>
      </c>
      <c r="C3429" t="s">
        <v>250</v>
      </c>
      <c r="D3429">
        <v>123</v>
      </c>
      <c r="E3429">
        <v>22</v>
      </c>
      <c r="F3429" t="s">
        <v>85</v>
      </c>
    </row>
    <row r="3430" spans="1:6" x14ac:dyDescent="0.3">
      <c r="A3430" s="20">
        <v>45791</v>
      </c>
      <c r="B3430">
        <v>13</v>
      </c>
      <c r="C3430" t="s">
        <v>250</v>
      </c>
      <c r="D3430">
        <v>11530</v>
      </c>
      <c r="E3430">
        <v>2599</v>
      </c>
      <c r="F3430" t="s">
        <v>252</v>
      </c>
    </row>
    <row r="3431" spans="1:6" x14ac:dyDescent="0.3">
      <c r="A3431" s="20">
        <v>45791</v>
      </c>
      <c r="B3431">
        <v>13</v>
      </c>
      <c r="C3431" t="s">
        <v>165</v>
      </c>
      <c r="D3431">
        <v>7</v>
      </c>
      <c r="E3431">
        <v>7</v>
      </c>
      <c r="F3431" t="s">
        <v>38</v>
      </c>
    </row>
    <row r="3432" spans="1:6" x14ac:dyDescent="0.3">
      <c r="A3432" s="20">
        <v>45791</v>
      </c>
      <c r="B3432">
        <v>13</v>
      </c>
      <c r="C3432" t="s">
        <v>235</v>
      </c>
      <c r="D3432">
        <v>6774</v>
      </c>
      <c r="E3432">
        <v>644</v>
      </c>
      <c r="F3432" t="s">
        <v>229</v>
      </c>
    </row>
    <row r="3433" spans="1:6" x14ac:dyDescent="0.3">
      <c r="A3433" s="20">
        <v>45791</v>
      </c>
      <c r="B3433">
        <v>14</v>
      </c>
      <c r="C3433" t="s">
        <v>73</v>
      </c>
      <c r="D3433">
        <v>0</v>
      </c>
      <c r="E3433">
        <v>0</v>
      </c>
    </row>
    <row r="3434" spans="1:6" x14ac:dyDescent="0.3">
      <c r="A3434" s="20">
        <v>45791</v>
      </c>
      <c r="B3434">
        <v>14</v>
      </c>
      <c r="C3434" t="s">
        <v>73</v>
      </c>
      <c r="D3434">
        <v>0</v>
      </c>
      <c r="E3434">
        <v>0</v>
      </c>
      <c r="F3434" t="s">
        <v>231</v>
      </c>
    </row>
    <row r="3435" spans="1:6" x14ac:dyDescent="0.3">
      <c r="A3435" s="20">
        <v>45791</v>
      </c>
      <c r="B3435">
        <v>14</v>
      </c>
      <c r="C3435" t="s">
        <v>73</v>
      </c>
      <c r="D3435">
        <v>0</v>
      </c>
      <c r="E3435">
        <v>0</v>
      </c>
      <c r="F3435" t="s">
        <v>161</v>
      </c>
    </row>
    <row r="3436" spans="1:6" x14ac:dyDescent="0.3">
      <c r="A3436" s="20">
        <v>45791</v>
      </c>
      <c r="B3436">
        <v>14</v>
      </c>
      <c r="C3436" t="s">
        <v>66</v>
      </c>
      <c r="D3436">
        <v>49206</v>
      </c>
      <c r="E3436">
        <v>3126</v>
      </c>
      <c r="F3436" t="s">
        <v>31</v>
      </c>
    </row>
    <row r="3437" spans="1:6" x14ac:dyDescent="0.3">
      <c r="A3437" s="20">
        <v>45791</v>
      </c>
      <c r="B3437">
        <v>14</v>
      </c>
      <c r="C3437" t="s">
        <v>230</v>
      </c>
      <c r="D3437">
        <v>22016</v>
      </c>
      <c r="E3437">
        <v>2115</v>
      </c>
      <c r="F3437" t="s">
        <v>31</v>
      </c>
    </row>
    <row r="3438" spans="1:6" x14ac:dyDescent="0.3">
      <c r="A3438" s="20">
        <v>45791</v>
      </c>
      <c r="B3438">
        <v>14</v>
      </c>
      <c r="C3438" t="s">
        <v>48</v>
      </c>
      <c r="D3438">
        <v>20359</v>
      </c>
      <c r="E3438">
        <v>687</v>
      </c>
      <c r="F3438" t="s">
        <v>42</v>
      </c>
    </row>
    <row r="3439" spans="1:6" x14ac:dyDescent="0.3">
      <c r="A3439" s="20">
        <v>45791</v>
      </c>
      <c r="B3439">
        <v>14</v>
      </c>
      <c r="C3439" t="s">
        <v>53</v>
      </c>
      <c r="D3439">
        <v>2493</v>
      </c>
      <c r="E3439">
        <v>67</v>
      </c>
      <c r="F3439" t="s">
        <v>31</v>
      </c>
    </row>
    <row r="3440" spans="1:6" x14ac:dyDescent="0.3">
      <c r="A3440" s="20">
        <v>45791</v>
      </c>
      <c r="B3440">
        <v>14</v>
      </c>
      <c r="C3440" t="s">
        <v>152</v>
      </c>
      <c r="D3440">
        <v>117</v>
      </c>
      <c r="E3440">
        <v>11</v>
      </c>
      <c r="F3440" t="s">
        <v>72</v>
      </c>
    </row>
    <row r="3441" spans="1:6" x14ac:dyDescent="0.3">
      <c r="A3441" s="20">
        <v>45791</v>
      </c>
      <c r="B3441">
        <v>14</v>
      </c>
      <c r="C3441" t="s">
        <v>233</v>
      </c>
      <c r="D3441">
        <v>3254</v>
      </c>
      <c r="E3441">
        <v>548</v>
      </c>
      <c r="F3441" t="s">
        <v>85</v>
      </c>
    </row>
    <row r="3442" spans="1:6" x14ac:dyDescent="0.3">
      <c r="A3442" s="20">
        <v>45791</v>
      </c>
      <c r="B3442">
        <v>14</v>
      </c>
      <c r="C3442" t="s">
        <v>233</v>
      </c>
      <c r="D3442">
        <v>7357</v>
      </c>
      <c r="E3442">
        <v>1151</v>
      </c>
      <c r="F3442" t="s">
        <v>43</v>
      </c>
    </row>
    <row r="3443" spans="1:6" x14ac:dyDescent="0.3">
      <c r="A3443" s="20">
        <v>45791</v>
      </c>
      <c r="B3443">
        <v>14</v>
      </c>
      <c r="C3443" t="s">
        <v>250</v>
      </c>
      <c r="D3443">
        <v>234</v>
      </c>
      <c r="E3443">
        <v>46</v>
      </c>
      <c r="F3443" t="s">
        <v>34</v>
      </c>
    </row>
    <row r="3444" spans="1:6" x14ac:dyDescent="0.3">
      <c r="A3444" s="20">
        <v>45791</v>
      </c>
      <c r="B3444">
        <v>14</v>
      </c>
      <c r="C3444" t="s">
        <v>160</v>
      </c>
      <c r="D3444">
        <v>1359</v>
      </c>
      <c r="E3444">
        <v>257</v>
      </c>
      <c r="F3444" t="s">
        <v>39</v>
      </c>
    </row>
    <row r="3445" spans="1:6" x14ac:dyDescent="0.3">
      <c r="A3445" s="20">
        <v>45791</v>
      </c>
      <c r="B3445">
        <v>14</v>
      </c>
      <c r="C3445" t="s">
        <v>160</v>
      </c>
      <c r="D3445">
        <v>4048</v>
      </c>
      <c r="E3445">
        <v>598</v>
      </c>
      <c r="F3445" t="s">
        <v>229</v>
      </c>
    </row>
    <row r="3446" spans="1:6" x14ac:dyDescent="0.3">
      <c r="A3446" s="20">
        <v>45791</v>
      </c>
      <c r="B3446">
        <v>14</v>
      </c>
      <c r="C3446" t="s">
        <v>40</v>
      </c>
      <c r="D3446">
        <v>96519</v>
      </c>
      <c r="E3446">
        <v>5600</v>
      </c>
      <c r="F3446" t="s">
        <v>38</v>
      </c>
    </row>
    <row r="3447" spans="1:6" x14ac:dyDescent="0.3">
      <c r="A3447" s="20">
        <v>45791</v>
      </c>
      <c r="B3447">
        <v>14</v>
      </c>
      <c r="C3447" t="s">
        <v>76</v>
      </c>
      <c r="D3447">
        <v>89661</v>
      </c>
      <c r="E3447">
        <v>4066</v>
      </c>
      <c r="F3447" t="s">
        <v>38</v>
      </c>
    </row>
    <row r="3448" spans="1:6" x14ac:dyDescent="0.3">
      <c r="A3448" s="20">
        <v>45791</v>
      </c>
      <c r="B3448">
        <v>14</v>
      </c>
      <c r="C3448" t="s">
        <v>253</v>
      </c>
      <c r="D3448">
        <v>4911</v>
      </c>
      <c r="E3448">
        <v>299</v>
      </c>
      <c r="F3448" t="s">
        <v>44</v>
      </c>
    </row>
    <row r="3449" spans="1:6" x14ac:dyDescent="0.3">
      <c r="A3449" s="20">
        <v>45791</v>
      </c>
      <c r="B3449">
        <v>15</v>
      </c>
      <c r="C3449" t="s">
        <v>73</v>
      </c>
      <c r="D3449">
        <v>0</v>
      </c>
      <c r="E3449">
        <v>0</v>
      </c>
      <c r="F3449" t="s">
        <v>31</v>
      </c>
    </row>
    <row r="3450" spans="1:6" x14ac:dyDescent="0.3">
      <c r="A3450" s="20">
        <v>45791</v>
      </c>
      <c r="B3450">
        <v>15</v>
      </c>
      <c r="C3450" t="s">
        <v>156</v>
      </c>
      <c r="D3450">
        <v>2794</v>
      </c>
      <c r="E3450">
        <v>225</v>
      </c>
      <c r="F3450" t="s">
        <v>75</v>
      </c>
    </row>
    <row r="3451" spans="1:6" x14ac:dyDescent="0.3">
      <c r="A3451" s="20">
        <v>45791</v>
      </c>
      <c r="B3451">
        <v>15</v>
      </c>
      <c r="C3451" t="s">
        <v>50</v>
      </c>
      <c r="D3451">
        <v>1</v>
      </c>
      <c r="E3451">
        <v>0</v>
      </c>
      <c r="F3451" t="s">
        <v>31</v>
      </c>
    </row>
    <row r="3452" spans="1:6" x14ac:dyDescent="0.3">
      <c r="A3452" s="20">
        <v>45791</v>
      </c>
      <c r="B3452">
        <v>15</v>
      </c>
      <c r="C3452" t="s">
        <v>247</v>
      </c>
      <c r="D3452">
        <v>238</v>
      </c>
      <c r="E3452">
        <v>11</v>
      </c>
      <c r="F3452" t="s">
        <v>31</v>
      </c>
    </row>
    <row r="3453" spans="1:6" x14ac:dyDescent="0.3">
      <c r="A3453" s="20">
        <v>45791</v>
      </c>
      <c r="B3453">
        <v>15</v>
      </c>
      <c r="C3453" t="s">
        <v>254</v>
      </c>
      <c r="D3453">
        <v>308</v>
      </c>
      <c r="E3453">
        <v>20</v>
      </c>
      <c r="F3453" t="s">
        <v>31</v>
      </c>
    </row>
    <row r="3454" spans="1:6" x14ac:dyDescent="0.3">
      <c r="A3454" s="20">
        <v>45791</v>
      </c>
      <c r="B3454">
        <v>15</v>
      </c>
      <c r="C3454" t="s">
        <v>152</v>
      </c>
      <c r="D3454">
        <v>13</v>
      </c>
      <c r="E3454">
        <v>0</v>
      </c>
      <c r="F3454" t="s">
        <v>138</v>
      </c>
    </row>
    <row r="3455" spans="1:6" x14ac:dyDescent="0.3">
      <c r="A3455" s="20">
        <v>45791</v>
      </c>
      <c r="B3455">
        <v>15</v>
      </c>
      <c r="C3455" t="s">
        <v>232</v>
      </c>
      <c r="D3455">
        <v>175</v>
      </c>
      <c r="E3455">
        <v>13</v>
      </c>
      <c r="F3455" t="s">
        <v>74</v>
      </c>
    </row>
    <row r="3456" spans="1:6" x14ac:dyDescent="0.3">
      <c r="A3456" s="20">
        <v>45791</v>
      </c>
      <c r="B3456">
        <v>15</v>
      </c>
      <c r="C3456" t="s">
        <v>261</v>
      </c>
      <c r="D3456">
        <v>1731</v>
      </c>
      <c r="E3456">
        <v>104</v>
      </c>
      <c r="F3456" t="s">
        <v>31</v>
      </c>
    </row>
    <row r="3457" spans="1:6" x14ac:dyDescent="0.3">
      <c r="A3457" s="20">
        <v>45791</v>
      </c>
      <c r="B3457">
        <v>15</v>
      </c>
      <c r="C3457" t="s">
        <v>256</v>
      </c>
      <c r="D3457">
        <v>804</v>
      </c>
      <c r="E3457">
        <v>15</v>
      </c>
      <c r="F3457" t="s">
        <v>163</v>
      </c>
    </row>
    <row r="3458" spans="1:6" x14ac:dyDescent="0.3">
      <c r="A3458" s="20">
        <v>45791</v>
      </c>
      <c r="B3458">
        <v>15</v>
      </c>
      <c r="C3458" t="s">
        <v>250</v>
      </c>
      <c r="D3458">
        <v>25</v>
      </c>
      <c r="E3458">
        <v>4</v>
      </c>
      <c r="F3458" t="s">
        <v>257</v>
      </c>
    </row>
    <row r="3459" spans="1:6" x14ac:dyDescent="0.3">
      <c r="A3459" s="20">
        <v>45791</v>
      </c>
      <c r="B3459">
        <v>15</v>
      </c>
      <c r="C3459" t="s">
        <v>160</v>
      </c>
      <c r="D3459">
        <v>3</v>
      </c>
      <c r="E3459">
        <v>0</v>
      </c>
      <c r="F3459" t="s">
        <v>32</v>
      </c>
    </row>
    <row r="3460" spans="1:6" x14ac:dyDescent="0.3">
      <c r="A3460" s="20">
        <v>45791</v>
      </c>
      <c r="B3460">
        <v>15</v>
      </c>
      <c r="C3460" t="s">
        <v>160</v>
      </c>
      <c r="D3460">
        <v>39</v>
      </c>
      <c r="E3460">
        <v>3</v>
      </c>
      <c r="F3460" t="s">
        <v>74</v>
      </c>
    </row>
    <row r="3461" spans="1:6" x14ac:dyDescent="0.3">
      <c r="A3461" s="20">
        <v>45791</v>
      </c>
      <c r="B3461">
        <v>15</v>
      </c>
      <c r="C3461" t="s">
        <v>160</v>
      </c>
      <c r="D3461">
        <v>0</v>
      </c>
      <c r="E3461">
        <v>0</v>
      </c>
      <c r="F3461" t="s">
        <v>138</v>
      </c>
    </row>
    <row r="3462" spans="1:6" x14ac:dyDescent="0.3">
      <c r="A3462" s="20">
        <v>45791</v>
      </c>
      <c r="B3462">
        <v>15</v>
      </c>
      <c r="C3462" t="s">
        <v>55</v>
      </c>
      <c r="D3462">
        <v>11999</v>
      </c>
      <c r="E3462">
        <v>900</v>
      </c>
      <c r="F3462" t="s">
        <v>38</v>
      </c>
    </row>
    <row r="3463" spans="1:6" x14ac:dyDescent="0.3">
      <c r="A3463" s="20">
        <v>45791</v>
      </c>
      <c r="B3463">
        <v>8</v>
      </c>
      <c r="C3463" t="s">
        <v>73</v>
      </c>
      <c r="D3463">
        <v>22</v>
      </c>
      <c r="E3463">
        <v>22</v>
      </c>
      <c r="F3463" t="s">
        <v>31</v>
      </c>
    </row>
    <row r="3464" spans="1:6" x14ac:dyDescent="0.3">
      <c r="A3464" s="20">
        <v>45791</v>
      </c>
      <c r="B3464">
        <v>8</v>
      </c>
      <c r="C3464" t="s">
        <v>73</v>
      </c>
      <c r="D3464">
        <v>0</v>
      </c>
      <c r="E3464">
        <v>0</v>
      </c>
      <c r="F3464" t="s">
        <v>161</v>
      </c>
    </row>
    <row r="3465" spans="1:6" x14ac:dyDescent="0.3">
      <c r="A3465" s="20">
        <v>45791</v>
      </c>
      <c r="B3465">
        <v>8</v>
      </c>
      <c r="C3465" t="s">
        <v>73</v>
      </c>
      <c r="D3465">
        <v>0</v>
      </c>
      <c r="E3465">
        <v>0</v>
      </c>
      <c r="F3465" t="s">
        <v>72</v>
      </c>
    </row>
    <row r="3466" spans="1:6" x14ac:dyDescent="0.3">
      <c r="A3466" s="20">
        <v>45791</v>
      </c>
      <c r="B3466">
        <v>8</v>
      </c>
      <c r="C3466" t="s">
        <v>153</v>
      </c>
      <c r="D3466">
        <v>6747</v>
      </c>
      <c r="E3466">
        <v>178</v>
      </c>
      <c r="F3466" t="s">
        <v>248</v>
      </c>
    </row>
    <row r="3467" spans="1:6" x14ac:dyDescent="0.3">
      <c r="A3467" s="20">
        <v>45791</v>
      </c>
      <c r="B3467">
        <v>8</v>
      </c>
      <c r="C3467" t="s">
        <v>156</v>
      </c>
      <c r="D3467">
        <v>6606</v>
      </c>
      <c r="E3467">
        <v>918</v>
      </c>
      <c r="F3467" t="s">
        <v>229</v>
      </c>
    </row>
    <row r="3468" spans="1:6" x14ac:dyDescent="0.3">
      <c r="A3468" s="20">
        <v>45791</v>
      </c>
      <c r="B3468">
        <v>8</v>
      </c>
      <c r="C3468" t="s">
        <v>67</v>
      </c>
      <c r="D3468">
        <v>10411</v>
      </c>
      <c r="E3468">
        <v>590</v>
      </c>
      <c r="F3468" t="s">
        <v>31</v>
      </c>
    </row>
    <row r="3469" spans="1:6" x14ac:dyDescent="0.3">
      <c r="A3469" s="20">
        <v>45791</v>
      </c>
      <c r="B3469">
        <v>8</v>
      </c>
      <c r="C3469" t="s">
        <v>247</v>
      </c>
      <c r="D3469">
        <v>1149</v>
      </c>
      <c r="E3469">
        <v>167</v>
      </c>
      <c r="F3469" t="s">
        <v>31</v>
      </c>
    </row>
    <row r="3470" spans="1:6" x14ac:dyDescent="0.3">
      <c r="A3470" s="20">
        <v>45791</v>
      </c>
      <c r="B3470">
        <v>8</v>
      </c>
      <c r="C3470" t="s">
        <v>254</v>
      </c>
      <c r="D3470">
        <v>7973</v>
      </c>
      <c r="E3470">
        <v>472</v>
      </c>
      <c r="F3470" t="s">
        <v>31</v>
      </c>
    </row>
    <row r="3471" spans="1:6" x14ac:dyDescent="0.3">
      <c r="A3471" s="20">
        <v>45791</v>
      </c>
      <c r="B3471">
        <v>8</v>
      </c>
      <c r="C3471" t="s">
        <v>233</v>
      </c>
      <c r="D3471">
        <v>1583</v>
      </c>
      <c r="E3471">
        <v>308</v>
      </c>
      <c r="F3471" t="s">
        <v>72</v>
      </c>
    </row>
    <row r="3472" spans="1:6" x14ac:dyDescent="0.3">
      <c r="A3472" s="20">
        <v>45791</v>
      </c>
      <c r="B3472">
        <v>8</v>
      </c>
      <c r="C3472" t="s">
        <v>238</v>
      </c>
      <c r="D3472">
        <v>5591</v>
      </c>
      <c r="E3472">
        <v>349</v>
      </c>
      <c r="F3472" t="s">
        <v>47</v>
      </c>
    </row>
    <row r="3473" spans="1:6" x14ac:dyDescent="0.3">
      <c r="A3473" s="20">
        <v>45791</v>
      </c>
      <c r="B3473">
        <v>8</v>
      </c>
      <c r="C3473" t="s">
        <v>265</v>
      </c>
      <c r="D3473">
        <v>18776</v>
      </c>
      <c r="E3473">
        <v>748</v>
      </c>
      <c r="F3473" t="s">
        <v>31</v>
      </c>
    </row>
    <row r="3474" spans="1:6" x14ac:dyDescent="0.3">
      <c r="A3474" s="20">
        <v>45791</v>
      </c>
      <c r="B3474">
        <v>8</v>
      </c>
      <c r="C3474" t="s">
        <v>255</v>
      </c>
      <c r="D3474">
        <v>9468</v>
      </c>
      <c r="E3474">
        <v>998</v>
      </c>
      <c r="F3474" t="s">
        <v>74</v>
      </c>
    </row>
    <row r="3475" spans="1:6" x14ac:dyDescent="0.3">
      <c r="A3475" s="20">
        <v>45791</v>
      </c>
      <c r="B3475">
        <v>8</v>
      </c>
      <c r="C3475" t="s">
        <v>250</v>
      </c>
      <c r="D3475">
        <v>203</v>
      </c>
      <c r="E3475">
        <v>39</v>
      </c>
      <c r="F3475" t="s">
        <v>34</v>
      </c>
    </row>
    <row r="3476" spans="1:6" x14ac:dyDescent="0.3">
      <c r="A3476" s="20">
        <v>45791</v>
      </c>
      <c r="B3476">
        <v>8</v>
      </c>
      <c r="C3476" t="s">
        <v>250</v>
      </c>
      <c r="D3476">
        <v>37</v>
      </c>
      <c r="E3476">
        <v>4</v>
      </c>
      <c r="F3476" t="s">
        <v>74</v>
      </c>
    </row>
    <row r="3477" spans="1:6" x14ac:dyDescent="0.3">
      <c r="A3477" s="20">
        <v>45791</v>
      </c>
      <c r="B3477">
        <v>8</v>
      </c>
      <c r="C3477" t="s">
        <v>235</v>
      </c>
      <c r="D3477">
        <v>558</v>
      </c>
      <c r="E3477">
        <v>39</v>
      </c>
      <c r="F3477" t="s">
        <v>75</v>
      </c>
    </row>
    <row r="3478" spans="1:6" x14ac:dyDescent="0.3">
      <c r="A3478" s="20">
        <v>45791</v>
      </c>
      <c r="B3478">
        <v>9</v>
      </c>
      <c r="C3478" t="s">
        <v>73</v>
      </c>
      <c r="D3478">
        <v>0</v>
      </c>
      <c r="E3478">
        <v>0</v>
      </c>
    </row>
    <row r="3479" spans="1:6" x14ac:dyDescent="0.3">
      <c r="A3479" s="20">
        <v>45791</v>
      </c>
      <c r="B3479">
        <v>9</v>
      </c>
      <c r="C3479" t="s">
        <v>228</v>
      </c>
      <c r="D3479">
        <v>7833</v>
      </c>
      <c r="E3479">
        <v>1755</v>
      </c>
      <c r="F3479" t="s">
        <v>45</v>
      </c>
    </row>
    <row r="3480" spans="1:6" x14ac:dyDescent="0.3">
      <c r="A3480" s="20">
        <v>45791</v>
      </c>
      <c r="B3480">
        <v>9</v>
      </c>
      <c r="C3480" t="s">
        <v>49</v>
      </c>
      <c r="D3480">
        <v>23316</v>
      </c>
      <c r="E3480">
        <v>1311</v>
      </c>
      <c r="F3480" t="s">
        <v>42</v>
      </c>
    </row>
    <row r="3481" spans="1:6" x14ac:dyDescent="0.3">
      <c r="A3481" s="20">
        <v>45791</v>
      </c>
      <c r="B3481">
        <v>9</v>
      </c>
      <c r="C3481" t="s">
        <v>36</v>
      </c>
      <c r="D3481">
        <v>1684</v>
      </c>
      <c r="E3481">
        <v>289</v>
      </c>
      <c r="F3481" t="s">
        <v>31</v>
      </c>
    </row>
    <row r="3482" spans="1:6" x14ac:dyDescent="0.3">
      <c r="A3482" s="20">
        <v>45791</v>
      </c>
      <c r="B3482">
        <v>9</v>
      </c>
      <c r="C3482" t="s">
        <v>245</v>
      </c>
      <c r="D3482">
        <v>49541</v>
      </c>
      <c r="E3482">
        <v>7685</v>
      </c>
      <c r="F3482" t="s">
        <v>31</v>
      </c>
    </row>
    <row r="3483" spans="1:6" x14ac:dyDescent="0.3">
      <c r="A3483" s="20">
        <v>45791</v>
      </c>
      <c r="B3483">
        <v>9</v>
      </c>
      <c r="C3483" t="s">
        <v>232</v>
      </c>
      <c r="D3483">
        <v>296</v>
      </c>
      <c r="E3483">
        <v>32</v>
      </c>
      <c r="F3483" t="s">
        <v>68</v>
      </c>
    </row>
    <row r="3484" spans="1:6" x14ac:dyDescent="0.3">
      <c r="A3484" s="20">
        <v>45791</v>
      </c>
      <c r="B3484">
        <v>9</v>
      </c>
      <c r="C3484" t="s">
        <v>238</v>
      </c>
      <c r="D3484">
        <v>6089</v>
      </c>
      <c r="E3484">
        <v>505</v>
      </c>
      <c r="F3484" t="s">
        <v>32</v>
      </c>
    </row>
    <row r="3485" spans="1:6" x14ac:dyDescent="0.3">
      <c r="A3485" s="20">
        <v>45791</v>
      </c>
      <c r="B3485">
        <v>9</v>
      </c>
      <c r="C3485" t="s">
        <v>262</v>
      </c>
      <c r="D3485">
        <v>19812</v>
      </c>
      <c r="E3485">
        <v>364</v>
      </c>
      <c r="F3485" t="s">
        <v>86</v>
      </c>
    </row>
    <row r="3486" spans="1:6" x14ac:dyDescent="0.3">
      <c r="A3486" s="20">
        <v>45791</v>
      </c>
      <c r="B3486">
        <v>9</v>
      </c>
      <c r="C3486" t="s">
        <v>250</v>
      </c>
      <c r="D3486">
        <v>154</v>
      </c>
      <c r="E3486">
        <v>28</v>
      </c>
      <c r="F3486" t="s">
        <v>85</v>
      </c>
    </row>
    <row r="3487" spans="1:6" x14ac:dyDescent="0.3">
      <c r="A3487" s="20">
        <v>45791</v>
      </c>
      <c r="B3487">
        <v>9</v>
      </c>
      <c r="C3487" t="s">
        <v>160</v>
      </c>
      <c r="D3487">
        <v>521</v>
      </c>
      <c r="E3487">
        <v>110</v>
      </c>
      <c r="F3487" t="s">
        <v>74</v>
      </c>
    </row>
    <row r="3488" spans="1:6" x14ac:dyDescent="0.3">
      <c r="A3488" s="20">
        <v>45791</v>
      </c>
      <c r="B3488">
        <v>9</v>
      </c>
      <c r="C3488" t="s">
        <v>124</v>
      </c>
      <c r="D3488">
        <v>94260</v>
      </c>
      <c r="E3488">
        <v>5328</v>
      </c>
      <c r="F3488" t="s">
        <v>38</v>
      </c>
    </row>
    <row r="3489" spans="1:6" x14ac:dyDescent="0.3">
      <c r="A3489" s="20">
        <v>45791</v>
      </c>
      <c r="B3489">
        <v>9</v>
      </c>
      <c r="C3489" t="s">
        <v>165</v>
      </c>
      <c r="D3489">
        <v>5</v>
      </c>
      <c r="E3489">
        <v>5</v>
      </c>
      <c r="F3489" t="s">
        <v>38</v>
      </c>
    </row>
    <row r="3490" spans="1:6" x14ac:dyDescent="0.3">
      <c r="A3490" s="20">
        <v>45791</v>
      </c>
      <c r="B3490">
        <v>9</v>
      </c>
      <c r="C3490" t="s">
        <v>235</v>
      </c>
      <c r="D3490">
        <v>671</v>
      </c>
      <c r="E3490">
        <v>125</v>
      </c>
      <c r="F3490" t="s">
        <v>161</v>
      </c>
    </row>
    <row r="3491" spans="1:6" x14ac:dyDescent="0.3">
      <c r="A3491" s="20">
        <v>45791</v>
      </c>
      <c r="B3491">
        <v>10</v>
      </c>
      <c r="C3491" t="s">
        <v>73</v>
      </c>
      <c r="D3491">
        <v>0</v>
      </c>
      <c r="E3491">
        <v>0</v>
      </c>
      <c r="F3491" t="s">
        <v>231</v>
      </c>
    </row>
    <row r="3492" spans="1:6" x14ac:dyDescent="0.3">
      <c r="A3492" s="20">
        <v>45791</v>
      </c>
      <c r="B3492">
        <v>10</v>
      </c>
      <c r="C3492" t="s">
        <v>73</v>
      </c>
      <c r="D3492">
        <v>0</v>
      </c>
      <c r="E3492">
        <v>0</v>
      </c>
      <c r="F3492" t="s">
        <v>75</v>
      </c>
    </row>
    <row r="3493" spans="1:6" x14ac:dyDescent="0.3">
      <c r="A3493" s="20">
        <v>45791</v>
      </c>
      <c r="B3493">
        <v>10</v>
      </c>
      <c r="C3493" t="s">
        <v>156</v>
      </c>
      <c r="D3493">
        <v>28</v>
      </c>
      <c r="E3493">
        <v>2</v>
      </c>
      <c r="F3493" t="s">
        <v>33</v>
      </c>
    </row>
    <row r="3494" spans="1:6" x14ac:dyDescent="0.3">
      <c r="A3494" s="20">
        <v>45791</v>
      </c>
      <c r="B3494">
        <v>10</v>
      </c>
      <c r="C3494" t="s">
        <v>158</v>
      </c>
      <c r="D3494">
        <v>3104</v>
      </c>
      <c r="E3494">
        <v>216</v>
      </c>
      <c r="F3494" t="s">
        <v>31</v>
      </c>
    </row>
    <row r="3495" spans="1:6" x14ac:dyDescent="0.3">
      <c r="A3495" s="20">
        <v>45791</v>
      </c>
      <c r="B3495">
        <v>10</v>
      </c>
      <c r="C3495" t="s">
        <v>246</v>
      </c>
      <c r="D3495">
        <v>33912</v>
      </c>
      <c r="E3495">
        <v>4220</v>
      </c>
      <c r="F3495" t="s">
        <v>31</v>
      </c>
    </row>
    <row r="3496" spans="1:6" x14ac:dyDescent="0.3">
      <c r="A3496" s="20">
        <v>45791</v>
      </c>
      <c r="B3496">
        <v>10</v>
      </c>
      <c r="C3496" t="s">
        <v>233</v>
      </c>
      <c r="D3496">
        <v>14531</v>
      </c>
      <c r="E3496">
        <v>2322</v>
      </c>
      <c r="F3496" t="s">
        <v>34</v>
      </c>
    </row>
    <row r="3497" spans="1:6" x14ac:dyDescent="0.3">
      <c r="A3497" s="20">
        <v>45791</v>
      </c>
      <c r="B3497">
        <v>10</v>
      </c>
      <c r="C3497" t="s">
        <v>233</v>
      </c>
      <c r="D3497">
        <v>8315</v>
      </c>
      <c r="E3497">
        <v>1449</v>
      </c>
      <c r="F3497" t="s">
        <v>43</v>
      </c>
    </row>
    <row r="3498" spans="1:6" x14ac:dyDescent="0.3">
      <c r="A3498" s="20">
        <v>45791</v>
      </c>
      <c r="B3498">
        <v>10</v>
      </c>
      <c r="C3498" t="s">
        <v>238</v>
      </c>
      <c r="D3498">
        <v>8302</v>
      </c>
      <c r="E3498">
        <v>999</v>
      </c>
      <c r="F3498" t="s">
        <v>229</v>
      </c>
    </row>
    <row r="3499" spans="1:6" x14ac:dyDescent="0.3">
      <c r="A3499" s="20">
        <v>45791</v>
      </c>
      <c r="B3499">
        <v>10</v>
      </c>
      <c r="C3499" t="s">
        <v>155</v>
      </c>
      <c r="D3499">
        <v>6</v>
      </c>
      <c r="E3499">
        <v>0</v>
      </c>
      <c r="F3499" t="s">
        <v>33</v>
      </c>
    </row>
    <row r="3500" spans="1:6" x14ac:dyDescent="0.3">
      <c r="A3500" s="20">
        <v>45791</v>
      </c>
      <c r="B3500">
        <v>10</v>
      </c>
      <c r="C3500" t="s">
        <v>160</v>
      </c>
      <c r="D3500">
        <v>1290</v>
      </c>
      <c r="E3500">
        <v>245</v>
      </c>
      <c r="F3500" t="s">
        <v>39</v>
      </c>
    </row>
    <row r="3501" spans="1:6" x14ac:dyDescent="0.3">
      <c r="A3501" s="20">
        <v>45791</v>
      </c>
      <c r="B3501">
        <v>10</v>
      </c>
      <c r="C3501" t="s">
        <v>162</v>
      </c>
      <c r="D3501">
        <v>10744</v>
      </c>
      <c r="E3501">
        <v>1253</v>
      </c>
      <c r="F3501" t="s">
        <v>47</v>
      </c>
    </row>
    <row r="3502" spans="1:6" x14ac:dyDescent="0.3">
      <c r="A3502" s="20">
        <v>45791</v>
      </c>
      <c r="B3502">
        <v>10</v>
      </c>
      <c r="C3502" t="s">
        <v>40</v>
      </c>
      <c r="D3502">
        <v>95006</v>
      </c>
      <c r="E3502">
        <v>5823</v>
      </c>
      <c r="F3502" t="s">
        <v>38</v>
      </c>
    </row>
    <row r="3503" spans="1:6" x14ac:dyDescent="0.3">
      <c r="A3503" s="20">
        <v>45791</v>
      </c>
      <c r="B3503">
        <v>10</v>
      </c>
      <c r="C3503" t="s">
        <v>76</v>
      </c>
      <c r="D3503">
        <v>86115</v>
      </c>
      <c r="E3503">
        <v>5039</v>
      </c>
      <c r="F3503" t="s">
        <v>38</v>
      </c>
    </row>
    <row r="3504" spans="1:6" x14ac:dyDescent="0.3">
      <c r="A3504" s="20">
        <v>45791</v>
      </c>
      <c r="B3504">
        <v>10</v>
      </c>
      <c r="C3504" t="s">
        <v>253</v>
      </c>
      <c r="D3504">
        <v>1765</v>
      </c>
      <c r="E3504">
        <v>185</v>
      </c>
      <c r="F3504" t="s">
        <v>44</v>
      </c>
    </row>
    <row r="3505" spans="1:6" x14ac:dyDescent="0.3">
      <c r="A3505" s="20">
        <v>45791</v>
      </c>
      <c r="B3505">
        <v>11</v>
      </c>
      <c r="C3505" t="s">
        <v>73</v>
      </c>
      <c r="D3505">
        <v>13</v>
      </c>
      <c r="E3505">
        <v>13</v>
      </c>
      <c r="F3505" t="s">
        <v>31</v>
      </c>
    </row>
    <row r="3506" spans="1:6" x14ac:dyDescent="0.3">
      <c r="A3506" s="20">
        <v>45791</v>
      </c>
      <c r="B3506">
        <v>11</v>
      </c>
      <c r="C3506" t="s">
        <v>73</v>
      </c>
      <c r="D3506">
        <v>0</v>
      </c>
      <c r="E3506">
        <v>0</v>
      </c>
      <c r="F3506" t="s">
        <v>72</v>
      </c>
    </row>
    <row r="3507" spans="1:6" x14ac:dyDescent="0.3">
      <c r="A3507" s="20">
        <v>45791</v>
      </c>
      <c r="B3507">
        <v>11</v>
      </c>
      <c r="C3507" t="s">
        <v>73</v>
      </c>
      <c r="D3507">
        <v>2</v>
      </c>
      <c r="E3507">
        <v>0</v>
      </c>
      <c r="F3507" t="s">
        <v>77</v>
      </c>
    </row>
    <row r="3508" spans="1:6" x14ac:dyDescent="0.3">
      <c r="A3508" s="20">
        <v>45791</v>
      </c>
      <c r="B3508">
        <v>11</v>
      </c>
      <c r="C3508" t="s">
        <v>156</v>
      </c>
      <c r="D3508">
        <v>8489</v>
      </c>
      <c r="E3508">
        <v>989</v>
      </c>
      <c r="F3508" t="s">
        <v>229</v>
      </c>
    </row>
    <row r="3509" spans="1:6" x14ac:dyDescent="0.3">
      <c r="A3509" s="20">
        <v>45791</v>
      </c>
      <c r="B3509">
        <v>11</v>
      </c>
      <c r="C3509" t="s">
        <v>228</v>
      </c>
      <c r="D3509">
        <v>1</v>
      </c>
      <c r="E3509">
        <v>1</v>
      </c>
      <c r="F3509" t="s">
        <v>77</v>
      </c>
    </row>
    <row r="3510" spans="1:6" x14ac:dyDescent="0.3">
      <c r="A3510" s="20">
        <v>45791</v>
      </c>
      <c r="B3510">
        <v>11</v>
      </c>
      <c r="C3510" t="s">
        <v>67</v>
      </c>
      <c r="D3510">
        <v>18971</v>
      </c>
      <c r="E3510">
        <v>848</v>
      </c>
      <c r="F3510" t="s">
        <v>31</v>
      </c>
    </row>
    <row r="3511" spans="1:6" x14ac:dyDescent="0.3">
      <c r="A3511" s="20">
        <v>45791</v>
      </c>
      <c r="B3511">
        <v>11</v>
      </c>
      <c r="C3511" t="s">
        <v>158</v>
      </c>
      <c r="D3511">
        <v>16871</v>
      </c>
      <c r="E3511">
        <v>417</v>
      </c>
      <c r="F3511" t="s">
        <v>42</v>
      </c>
    </row>
    <row r="3512" spans="1:6" x14ac:dyDescent="0.3">
      <c r="A3512" s="20">
        <v>45791</v>
      </c>
      <c r="B3512">
        <v>11</v>
      </c>
      <c r="C3512" t="s">
        <v>247</v>
      </c>
      <c r="D3512">
        <v>6758</v>
      </c>
      <c r="E3512">
        <v>546</v>
      </c>
      <c r="F3512" t="s">
        <v>31</v>
      </c>
    </row>
    <row r="3513" spans="1:6" x14ac:dyDescent="0.3">
      <c r="A3513" s="20">
        <v>45791</v>
      </c>
      <c r="B3513">
        <v>11</v>
      </c>
      <c r="C3513" t="s">
        <v>254</v>
      </c>
      <c r="D3513">
        <v>11241</v>
      </c>
      <c r="E3513">
        <v>565</v>
      </c>
      <c r="F3513" t="s">
        <v>31</v>
      </c>
    </row>
    <row r="3514" spans="1:6" x14ac:dyDescent="0.3">
      <c r="A3514" s="20">
        <v>45791</v>
      </c>
      <c r="B3514">
        <v>11</v>
      </c>
      <c r="C3514" t="s">
        <v>71</v>
      </c>
      <c r="D3514">
        <v>3607</v>
      </c>
      <c r="E3514">
        <v>360</v>
      </c>
      <c r="F3514" t="s">
        <v>32</v>
      </c>
    </row>
    <row r="3515" spans="1:6" x14ac:dyDescent="0.3">
      <c r="A3515" s="20">
        <v>45791</v>
      </c>
      <c r="B3515">
        <v>11</v>
      </c>
      <c r="C3515" t="s">
        <v>238</v>
      </c>
      <c r="D3515">
        <v>5698</v>
      </c>
      <c r="E3515">
        <v>651</v>
      </c>
      <c r="F3515" t="s">
        <v>47</v>
      </c>
    </row>
    <row r="3516" spans="1:6" x14ac:dyDescent="0.3">
      <c r="A3516" s="20">
        <v>45791</v>
      </c>
      <c r="B3516">
        <v>11</v>
      </c>
      <c r="C3516" t="s">
        <v>265</v>
      </c>
      <c r="D3516">
        <v>14840</v>
      </c>
      <c r="E3516">
        <v>964</v>
      </c>
      <c r="F3516" t="s">
        <v>31</v>
      </c>
    </row>
    <row r="3517" spans="1:6" x14ac:dyDescent="0.3">
      <c r="A3517" s="20">
        <v>45791</v>
      </c>
      <c r="B3517">
        <v>11</v>
      </c>
      <c r="C3517" t="s">
        <v>255</v>
      </c>
      <c r="D3517">
        <v>9671</v>
      </c>
      <c r="E3517">
        <v>1735</v>
      </c>
      <c r="F3517" t="s">
        <v>74</v>
      </c>
    </row>
    <row r="3518" spans="1:6" x14ac:dyDescent="0.3">
      <c r="A3518" s="20">
        <v>45791</v>
      </c>
      <c r="B3518">
        <v>11</v>
      </c>
      <c r="C3518" t="s">
        <v>250</v>
      </c>
      <c r="D3518">
        <v>70</v>
      </c>
      <c r="E3518">
        <v>5</v>
      </c>
      <c r="F3518" t="s">
        <v>74</v>
      </c>
    </row>
    <row r="3519" spans="1:6" x14ac:dyDescent="0.3">
      <c r="A3519" s="20">
        <v>45791</v>
      </c>
      <c r="B3519">
        <v>11</v>
      </c>
      <c r="C3519" t="s">
        <v>160</v>
      </c>
      <c r="D3519">
        <v>4</v>
      </c>
      <c r="E3519">
        <v>0</v>
      </c>
      <c r="F3519" t="s">
        <v>68</v>
      </c>
    </row>
    <row r="3520" spans="1:6" x14ac:dyDescent="0.3">
      <c r="A3520" s="20">
        <v>45791</v>
      </c>
      <c r="B3520">
        <v>11</v>
      </c>
      <c r="C3520" t="s">
        <v>160</v>
      </c>
      <c r="D3520">
        <v>87</v>
      </c>
      <c r="E3520">
        <v>33</v>
      </c>
      <c r="F3520" t="s">
        <v>138</v>
      </c>
    </row>
    <row r="3521" spans="1:6" x14ac:dyDescent="0.3">
      <c r="A3521" s="20">
        <v>45791</v>
      </c>
      <c r="B3521">
        <v>11</v>
      </c>
      <c r="C3521" t="s">
        <v>160</v>
      </c>
      <c r="D3521">
        <v>96</v>
      </c>
      <c r="E3521">
        <v>41</v>
      </c>
      <c r="F3521" t="s">
        <v>161</v>
      </c>
    </row>
    <row r="3522" spans="1:6" x14ac:dyDescent="0.3">
      <c r="A3522" s="20">
        <v>45791</v>
      </c>
      <c r="B3522">
        <v>11</v>
      </c>
      <c r="C3522" t="s">
        <v>55</v>
      </c>
      <c r="D3522">
        <v>90332</v>
      </c>
      <c r="E3522">
        <v>4126</v>
      </c>
      <c r="F3522" t="s">
        <v>38</v>
      </c>
    </row>
    <row r="3523" spans="1:6" x14ac:dyDescent="0.3">
      <c r="A3523" s="20">
        <v>45791</v>
      </c>
      <c r="B3523">
        <v>12</v>
      </c>
      <c r="C3523" t="s">
        <v>73</v>
      </c>
      <c r="D3523">
        <v>0</v>
      </c>
      <c r="E3523">
        <v>0</v>
      </c>
    </row>
    <row r="3524" spans="1:6" x14ac:dyDescent="0.3">
      <c r="A3524" s="20">
        <v>45791</v>
      </c>
      <c r="B3524">
        <v>12</v>
      </c>
      <c r="C3524" t="s">
        <v>73</v>
      </c>
      <c r="D3524">
        <v>0</v>
      </c>
      <c r="E3524">
        <v>0</v>
      </c>
      <c r="F3524" t="s">
        <v>45</v>
      </c>
    </row>
    <row r="3525" spans="1:6" x14ac:dyDescent="0.3">
      <c r="A3525" s="20">
        <v>45791</v>
      </c>
      <c r="B3525">
        <v>12</v>
      </c>
      <c r="C3525" t="s">
        <v>228</v>
      </c>
      <c r="D3525">
        <v>12036</v>
      </c>
      <c r="E3525">
        <v>2034</v>
      </c>
      <c r="F3525" t="s">
        <v>45</v>
      </c>
    </row>
    <row r="3526" spans="1:6" x14ac:dyDescent="0.3">
      <c r="A3526" s="20">
        <v>45791</v>
      </c>
      <c r="B3526">
        <v>12</v>
      </c>
      <c r="C3526" t="s">
        <v>53</v>
      </c>
      <c r="D3526">
        <v>2658</v>
      </c>
      <c r="E3526">
        <v>72</v>
      </c>
      <c r="F3526" t="s">
        <v>31</v>
      </c>
    </row>
    <row r="3527" spans="1:6" x14ac:dyDescent="0.3">
      <c r="A3527" s="20">
        <v>45791</v>
      </c>
      <c r="B3527">
        <v>12</v>
      </c>
      <c r="C3527" t="s">
        <v>49</v>
      </c>
      <c r="D3527">
        <v>30504</v>
      </c>
      <c r="E3527">
        <v>2089</v>
      </c>
      <c r="F3527" t="s">
        <v>42</v>
      </c>
    </row>
    <row r="3528" spans="1:6" x14ac:dyDescent="0.3">
      <c r="A3528" s="20">
        <v>45791</v>
      </c>
      <c r="B3528">
        <v>12</v>
      </c>
      <c r="C3528" t="s">
        <v>36</v>
      </c>
      <c r="D3528">
        <v>1299</v>
      </c>
      <c r="E3528">
        <v>209</v>
      </c>
      <c r="F3528" t="s">
        <v>31</v>
      </c>
    </row>
    <row r="3529" spans="1:6" x14ac:dyDescent="0.3">
      <c r="A3529" s="20">
        <v>45791</v>
      </c>
      <c r="B3529">
        <v>12</v>
      </c>
      <c r="C3529" t="s">
        <v>245</v>
      </c>
      <c r="D3529">
        <v>66543</v>
      </c>
      <c r="E3529">
        <v>7976</v>
      </c>
      <c r="F3529" t="s">
        <v>31</v>
      </c>
    </row>
    <row r="3530" spans="1:6" x14ac:dyDescent="0.3">
      <c r="A3530" s="20">
        <v>45791</v>
      </c>
      <c r="B3530">
        <v>12</v>
      </c>
      <c r="C3530" t="s">
        <v>232</v>
      </c>
      <c r="D3530">
        <v>301</v>
      </c>
      <c r="E3530">
        <v>22</v>
      </c>
      <c r="F3530" t="s">
        <v>68</v>
      </c>
    </row>
    <row r="3531" spans="1:6" x14ac:dyDescent="0.3">
      <c r="A3531" s="20">
        <v>45791</v>
      </c>
      <c r="B3531">
        <v>12</v>
      </c>
      <c r="C3531" t="s">
        <v>238</v>
      </c>
      <c r="D3531">
        <v>8708</v>
      </c>
      <c r="E3531">
        <v>894</v>
      </c>
      <c r="F3531" t="s">
        <v>32</v>
      </c>
    </row>
    <row r="3532" spans="1:6" x14ac:dyDescent="0.3">
      <c r="A3532" s="20">
        <v>45791</v>
      </c>
      <c r="B3532">
        <v>12</v>
      </c>
      <c r="C3532" t="s">
        <v>265</v>
      </c>
      <c r="D3532">
        <v>429</v>
      </c>
      <c r="E3532">
        <v>41</v>
      </c>
      <c r="F3532" t="s">
        <v>42</v>
      </c>
    </row>
    <row r="3533" spans="1:6" x14ac:dyDescent="0.3">
      <c r="A3533" s="20">
        <v>45791</v>
      </c>
      <c r="B3533">
        <v>12</v>
      </c>
      <c r="C3533" t="s">
        <v>262</v>
      </c>
      <c r="D3533">
        <v>20134</v>
      </c>
      <c r="E3533">
        <v>399</v>
      </c>
      <c r="F3533" t="s">
        <v>86</v>
      </c>
    </row>
    <row r="3534" spans="1:6" x14ac:dyDescent="0.3">
      <c r="A3534" s="20">
        <v>45791</v>
      </c>
      <c r="B3534">
        <v>12</v>
      </c>
      <c r="C3534" t="s">
        <v>250</v>
      </c>
      <c r="D3534">
        <v>114</v>
      </c>
      <c r="E3534">
        <v>19</v>
      </c>
      <c r="F3534" t="s">
        <v>85</v>
      </c>
    </row>
    <row r="3535" spans="1:6" x14ac:dyDescent="0.3">
      <c r="A3535" s="20">
        <v>45791</v>
      </c>
      <c r="B3535">
        <v>12</v>
      </c>
      <c r="C3535" t="s">
        <v>124</v>
      </c>
      <c r="D3535">
        <v>100001</v>
      </c>
      <c r="E3535">
        <v>5097</v>
      </c>
      <c r="F3535" t="s">
        <v>38</v>
      </c>
    </row>
    <row r="3536" spans="1:6" x14ac:dyDescent="0.3">
      <c r="A3536" s="20">
        <v>45791</v>
      </c>
      <c r="B3536">
        <v>12</v>
      </c>
      <c r="C3536" t="s">
        <v>165</v>
      </c>
      <c r="D3536">
        <v>4</v>
      </c>
      <c r="E3536">
        <v>4</v>
      </c>
      <c r="F3536" t="s">
        <v>38</v>
      </c>
    </row>
    <row r="3537" spans="1:6" x14ac:dyDescent="0.3">
      <c r="A3537" s="20">
        <v>45791</v>
      </c>
      <c r="B3537">
        <v>13</v>
      </c>
      <c r="C3537" t="s">
        <v>73</v>
      </c>
      <c r="D3537">
        <v>0</v>
      </c>
      <c r="E3537">
        <v>0</v>
      </c>
      <c r="F3537" t="s">
        <v>231</v>
      </c>
    </row>
    <row r="3538" spans="1:6" x14ac:dyDescent="0.3">
      <c r="A3538" s="20">
        <v>45791</v>
      </c>
      <c r="B3538">
        <v>13</v>
      </c>
      <c r="C3538" t="s">
        <v>158</v>
      </c>
      <c r="D3538">
        <v>7448</v>
      </c>
      <c r="E3538">
        <v>539</v>
      </c>
      <c r="F3538" t="s">
        <v>31</v>
      </c>
    </row>
    <row r="3539" spans="1:6" x14ac:dyDescent="0.3">
      <c r="A3539" s="20">
        <v>45791</v>
      </c>
      <c r="B3539">
        <v>13</v>
      </c>
      <c r="C3539" t="s">
        <v>242</v>
      </c>
      <c r="D3539">
        <v>49190</v>
      </c>
      <c r="E3539">
        <v>5681</v>
      </c>
      <c r="F3539" t="s">
        <v>31</v>
      </c>
    </row>
    <row r="3540" spans="1:6" x14ac:dyDescent="0.3">
      <c r="A3540" s="20">
        <v>45791</v>
      </c>
      <c r="B3540">
        <v>13</v>
      </c>
      <c r="C3540" t="s">
        <v>244</v>
      </c>
      <c r="D3540">
        <v>38346</v>
      </c>
      <c r="E3540">
        <v>3411</v>
      </c>
      <c r="F3540" t="s">
        <v>31</v>
      </c>
    </row>
    <row r="3541" spans="1:6" x14ac:dyDescent="0.3">
      <c r="A3541" s="20">
        <v>45791</v>
      </c>
      <c r="B3541">
        <v>13</v>
      </c>
      <c r="C3541" t="s">
        <v>50</v>
      </c>
      <c r="D3541">
        <v>397</v>
      </c>
      <c r="E3541">
        <v>74</v>
      </c>
      <c r="F3541" t="s">
        <v>31</v>
      </c>
    </row>
    <row r="3542" spans="1:6" x14ac:dyDescent="0.3">
      <c r="A3542" s="20">
        <v>45791</v>
      </c>
      <c r="B3542">
        <v>13</v>
      </c>
      <c r="C3542" t="s">
        <v>246</v>
      </c>
      <c r="D3542">
        <v>42966</v>
      </c>
      <c r="E3542">
        <v>5484</v>
      </c>
      <c r="F3542" t="s">
        <v>31</v>
      </c>
    </row>
    <row r="3543" spans="1:6" x14ac:dyDescent="0.3">
      <c r="A3543" s="20">
        <v>45791</v>
      </c>
      <c r="B3543">
        <v>13</v>
      </c>
      <c r="C3543" t="s">
        <v>233</v>
      </c>
      <c r="D3543">
        <v>19087</v>
      </c>
      <c r="E3543">
        <v>2915</v>
      </c>
      <c r="F3543" t="s">
        <v>34</v>
      </c>
    </row>
    <row r="3544" spans="1:6" x14ac:dyDescent="0.3">
      <c r="A3544" s="20">
        <v>45791</v>
      </c>
      <c r="B3544">
        <v>13</v>
      </c>
      <c r="C3544" t="s">
        <v>233</v>
      </c>
      <c r="D3544">
        <v>8147</v>
      </c>
      <c r="E3544">
        <v>1215</v>
      </c>
      <c r="F3544" t="s">
        <v>43</v>
      </c>
    </row>
    <row r="3545" spans="1:6" x14ac:dyDescent="0.3">
      <c r="A3545" s="20">
        <v>45791</v>
      </c>
      <c r="B3545">
        <v>13</v>
      </c>
      <c r="C3545" t="s">
        <v>238</v>
      </c>
      <c r="D3545">
        <v>8671</v>
      </c>
      <c r="E3545">
        <v>1098</v>
      </c>
      <c r="F3545" t="s">
        <v>229</v>
      </c>
    </row>
    <row r="3546" spans="1:6" x14ac:dyDescent="0.3">
      <c r="A3546" s="20">
        <v>45791</v>
      </c>
      <c r="B3546">
        <v>13</v>
      </c>
      <c r="C3546" t="s">
        <v>250</v>
      </c>
      <c r="D3546">
        <v>11684</v>
      </c>
      <c r="E3546">
        <v>1734</v>
      </c>
      <c r="F3546" t="s">
        <v>164</v>
      </c>
    </row>
    <row r="3547" spans="1:6" x14ac:dyDescent="0.3">
      <c r="A3547" s="20">
        <v>45791</v>
      </c>
      <c r="B3547">
        <v>13</v>
      </c>
      <c r="C3547" t="s">
        <v>160</v>
      </c>
      <c r="D3547">
        <v>1310</v>
      </c>
      <c r="E3547">
        <v>271</v>
      </c>
      <c r="F3547" t="s">
        <v>39</v>
      </c>
    </row>
    <row r="3548" spans="1:6" x14ac:dyDescent="0.3">
      <c r="A3548" s="20">
        <v>45791</v>
      </c>
      <c r="B3548">
        <v>13</v>
      </c>
      <c r="C3548" t="s">
        <v>160</v>
      </c>
      <c r="D3548">
        <v>5573</v>
      </c>
      <c r="E3548">
        <v>1071</v>
      </c>
      <c r="F3548" t="s">
        <v>231</v>
      </c>
    </row>
    <row r="3549" spans="1:6" x14ac:dyDescent="0.3">
      <c r="A3549" s="20">
        <v>45791</v>
      </c>
      <c r="B3549">
        <v>13</v>
      </c>
      <c r="C3549" t="s">
        <v>162</v>
      </c>
      <c r="D3549">
        <v>13939</v>
      </c>
      <c r="E3549">
        <v>1422</v>
      </c>
      <c r="F3549" t="s">
        <v>47</v>
      </c>
    </row>
    <row r="3550" spans="1:6" x14ac:dyDescent="0.3">
      <c r="A3550" s="20">
        <v>45791</v>
      </c>
      <c r="B3550">
        <v>13</v>
      </c>
      <c r="C3550" t="s">
        <v>40</v>
      </c>
      <c r="D3550">
        <v>100049</v>
      </c>
      <c r="E3550">
        <v>5912</v>
      </c>
      <c r="F3550" t="s">
        <v>38</v>
      </c>
    </row>
    <row r="3551" spans="1:6" x14ac:dyDescent="0.3">
      <c r="A3551" s="20">
        <v>45791</v>
      </c>
      <c r="B3551">
        <v>13</v>
      </c>
      <c r="C3551" t="s">
        <v>76</v>
      </c>
      <c r="D3551">
        <v>85109</v>
      </c>
      <c r="E3551">
        <v>4246</v>
      </c>
      <c r="F3551" t="s">
        <v>38</v>
      </c>
    </row>
    <row r="3552" spans="1:6" x14ac:dyDescent="0.3">
      <c r="A3552" s="20">
        <v>45791</v>
      </c>
      <c r="B3552">
        <v>13</v>
      </c>
      <c r="C3552" t="s">
        <v>235</v>
      </c>
      <c r="D3552">
        <v>10874</v>
      </c>
      <c r="E3552">
        <v>1108</v>
      </c>
      <c r="F3552" t="s">
        <v>234</v>
      </c>
    </row>
    <row r="3553" spans="1:6" x14ac:dyDescent="0.3">
      <c r="A3553" s="20">
        <v>45791</v>
      </c>
      <c r="B3553">
        <v>14</v>
      </c>
      <c r="C3553" t="s">
        <v>73</v>
      </c>
      <c r="D3553">
        <v>0</v>
      </c>
      <c r="E3553">
        <v>0</v>
      </c>
      <c r="F3553" t="s">
        <v>46</v>
      </c>
    </row>
    <row r="3554" spans="1:6" x14ac:dyDescent="0.3">
      <c r="A3554" s="20">
        <v>45791</v>
      </c>
      <c r="B3554">
        <v>14</v>
      </c>
      <c r="C3554" t="s">
        <v>73</v>
      </c>
      <c r="D3554">
        <v>0</v>
      </c>
      <c r="E3554">
        <v>0</v>
      </c>
      <c r="F3554" t="s">
        <v>72</v>
      </c>
    </row>
    <row r="3555" spans="1:6" x14ac:dyDescent="0.3">
      <c r="A3555" s="20">
        <v>45791</v>
      </c>
      <c r="B3555">
        <v>14</v>
      </c>
      <c r="C3555" t="s">
        <v>73</v>
      </c>
      <c r="D3555">
        <v>0</v>
      </c>
      <c r="E3555">
        <v>0</v>
      </c>
      <c r="F3555" t="s">
        <v>43</v>
      </c>
    </row>
    <row r="3556" spans="1:6" x14ac:dyDescent="0.3">
      <c r="A3556" s="20">
        <v>45791</v>
      </c>
      <c r="B3556">
        <v>14</v>
      </c>
      <c r="C3556" t="s">
        <v>156</v>
      </c>
      <c r="D3556">
        <v>10133</v>
      </c>
      <c r="E3556">
        <v>713</v>
      </c>
      <c r="F3556" t="s">
        <v>229</v>
      </c>
    </row>
    <row r="3557" spans="1:6" x14ac:dyDescent="0.3">
      <c r="A3557" s="20">
        <v>45791</v>
      </c>
      <c r="B3557">
        <v>14</v>
      </c>
      <c r="C3557" t="s">
        <v>67</v>
      </c>
      <c r="D3557">
        <v>13400</v>
      </c>
      <c r="E3557">
        <v>565</v>
      </c>
      <c r="F3557" t="s">
        <v>31</v>
      </c>
    </row>
    <row r="3558" spans="1:6" x14ac:dyDescent="0.3">
      <c r="A3558" s="20">
        <v>45791</v>
      </c>
      <c r="B3558">
        <v>14</v>
      </c>
      <c r="C3558" t="s">
        <v>48</v>
      </c>
      <c r="D3558">
        <v>0</v>
      </c>
      <c r="E3558">
        <v>0</v>
      </c>
      <c r="F3558" t="s">
        <v>259</v>
      </c>
    </row>
    <row r="3559" spans="1:6" x14ac:dyDescent="0.3">
      <c r="A3559" s="20">
        <v>45791</v>
      </c>
      <c r="B3559">
        <v>14</v>
      </c>
      <c r="C3559" t="s">
        <v>247</v>
      </c>
      <c r="D3559">
        <v>7657</v>
      </c>
      <c r="E3559">
        <v>543</v>
      </c>
      <c r="F3559" t="s">
        <v>31</v>
      </c>
    </row>
    <row r="3560" spans="1:6" x14ac:dyDescent="0.3">
      <c r="A3560" s="20">
        <v>45791</v>
      </c>
      <c r="B3560">
        <v>14</v>
      </c>
      <c r="C3560" t="s">
        <v>254</v>
      </c>
      <c r="D3560">
        <v>5747</v>
      </c>
      <c r="E3560">
        <v>266</v>
      </c>
      <c r="F3560" t="s">
        <v>31</v>
      </c>
    </row>
    <row r="3561" spans="1:6" x14ac:dyDescent="0.3">
      <c r="A3561" s="20">
        <v>45791</v>
      </c>
      <c r="B3561">
        <v>14</v>
      </c>
      <c r="C3561" t="s">
        <v>71</v>
      </c>
      <c r="D3561">
        <v>2805</v>
      </c>
      <c r="E3561">
        <v>290</v>
      </c>
      <c r="F3561" t="s">
        <v>32</v>
      </c>
    </row>
    <row r="3562" spans="1:6" x14ac:dyDescent="0.3">
      <c r="A3562" s="20">
        <v>45791</v>
      </c>
      <c r="B3562">
        <v>14</v>
      </c>
      <c r="C3562" t="s">
        <v>71</v>
      </c>
      <c r="D3562">
        <v>16586</v>
      </c>
      <c r="E3562">
        <v>1941</v>
      </c>
      <c r="F3562" t="s">
        <v>164</v>
      </c>
    </row>
    <row r="3563" spans="1:6" x14ac:dyDescent="0.3">
      <c r="A3563" s="20">
        <v>45791</v>
      </c>
      <c r="B3563">
        <v>14</v>
      </c>
      <c r="C3563" t="s">
        <v>238</v>
      </c>
      <c r="D3563">
        <v>4764</v>
      </c>
      <c r="E3563">
        <v>329</v>
      </c>
      <c r="F3563" t="s">
        <v>47</v>
      </c>
    </row>
    <row r="3564" spans="1:6" x14ac:dyDescent="0.3">
      <c r="A3564" s="20">
        <v>45791</v>
      </c>
      <c r="B3564">
        <v>14</v>
      </c>
      <c r="C3564" t="s">
        <v>265</v>
      </c>
      <c r="D3564">
        <v>12639</v>
      </c>
      <c r="E3564">
        <v>674</v>
      </c>
      <c r="F3564" t="s">
        <v>31</v>
      </c>
    </row>
    <row r="3565" spans="1:6" x14ac:dyDescent="0.3">
      <c r="A3565" s="20">
        <v>45791</v>
      </c>
      <c r="B3565">
        <v>14</v>
      </c>
      <c r="C3565" t="s">
        <v>255</v>
      </c>
      <c r="D3565">
        <v>7964</v>
      </c>
      <c r="E3565">
        <v>1304</v>
      </c>
      <c r="F3565" t="s">
        <v>74</v>
      </c>
    </row>
    <row r="3566" spans="1:6" x14ac:dyDescent="0.3">
      <c r="A3566" s="20">
        <v>45791</v>
      </c>
      <c r="B3566">
        <v>14</v>
      </c>
      <c r="C3566" t="s">
        <v>155</v>
      </c>
      <c r="D3566">
        <v>1</v>
      </c>
      <c r="E3566">
        <v>0</v>
      </c>
      <c r="F3566" t="s">
        <v>32</v>
      </c>
    </row>
    <row r="3567" spans="1:6" x14ac:dyDescent="0.3">
      <c r="A3567" s="20">
        <v>45791</v>
      </c>
      <c r="B3567">
        <v>14</v>
      </c>
      <c r="C3567" t="s">
        <v>160</v>
      </c>
      <c r="D3567">
        <v>4</v>
      </c>
      <c r="E3567">
        <v>1</v>
      </c>
      <c r="F3567" t="s">
        <v>68</v>
      </c>
    </row>
    <row r="3568" spans="1:6" x14ac:dyDescent="0.3">
      <c r="A3568" s="20">
        <v>45791</v>
      </c>
      <c r="B3568">
        <v>14</v>
      </c>
      <c r="C3568" t="s">
        <v>160</v>
      </c>
      <c r="D3568">
        <v>60</v>
      </c>
      <c r="E3568">
        <v>15</v>
      </c>
      <c r="F3568" t="s">
        <v>138</v>
      </c>
    </row>
    <row r="3569" spans="1:6" x14ac:dyDescent="0.3">
      <c r="A3569" s="20">
        <v>45791</v>
      </c>
      <c r="B3569">
        <v>14</v>
      </c>
      <c r="C3569" t="s">
        <v>160</v>
      </c>
      <c r="D3569">
        <v>91</v>
      </c>
      <c r="E3569">
        <v>22</v>
      </c>
      <c r="F3569" t="s">
        <v>161</v>
      </c>
    </row>
    <row r="3570" spans="1:6" x14ac:dyDescent="0.3">
      <c r="A3570" s="20">
        <v>45791</v>
      </c>
      <c r="B3570">
        <v>14</v>
      </c>
      <c r="C3570" t="s">
        <v>55</v>
      </c>
      <c r="D3570">
        <v>96061</v>
      </c>
      <c r="E3570">
        <v>6135</v>
      </c>
      <c r="F3570" t="s">
        <v>38</v>
      </c>
    </row>
    <row r="3571" spans="1:6" x14ac:dyDescent="0.3">
      <c r="A3571" s="20">
        <v>45791</v>
      </c>
      <c r="B3571">
        <v>14</v>
      </c>
      <c r="C3571" t="s">
        <v>253</v>
      </c>
      <c r="D3571">
        <v>1059</v>
      </c>
      <c r="E3571">
        <v>212</v>
      </c>
      <c r="F3571" t="s">
        <v>47</v>
      </c>
    </row>
    <row r="3572" spans="1:6" x14ac:dyDescent="0.3">
      <c r="A3572" s="20">
        <v>45791</v>
      </c>
      <c r="B3572">
        <v>14</v>
      </c>
      <c r="C3572" t="s">
        <v>235</v>
      </c>
      <c r="D3572">
        <v>6482</v>
      </c>
      <c r="E3572">
        <v>657</v>
      </c>
      <c r="F3572" t="s">
        <v>229</v>
      </c>
    </row>
    <row r="3573" spans="1:6" x14ac:dyDescent="0.3">
      <c r="A3573" s="20">
        <v>45791</v>
      </c>
      <c r="B3573">
        <v>15</v>
      </c>
      <c r="C3573" t="s">
        <v>73</v>
      </c>
      <c r="D3573">
        <v>0</v>
      </c>
      <c r="E3573">
        <v>0</v>
      </c>
    </row>
    <row r="3574" spans="1:6" x14ac:dyDescent="0.3">
      <c r="A3574" s="20">
        <v>45791</v>
      </c>
      <c r="B3574">
        <v>15</v>
      </c>
      <c r="C3574" t="s">
        <v>73</v>
      </c>
      <c r="D3574">
        <v>0</v>
      </c>
      <c r="E3574">
        <v>0</v>
      </c>
      <c r="F3574" t="s">
        <v>234</v>
      </c>
    </row>
    <row r="3575" spans="1:6" x14ac:dyDescent="0.3">
      <c r="A3575" s="20">
        <v>45791</v>
      </c>
      <c r="B3575">
        <v>15</v>
      </c>
      <c r="C3575" t="s">
        <v>73</v>
      </c>
      <c r="D3575">
        <v>0</v>
      </c>
      <c r="E3575">
        <v>0</v>
      </c>
      <c r="F3575" t="s">
        <v>45</v>
      </c>
    </row>
    <row r="3576" spans="1:6" x14ac:dyDescent="0.3">
      <c r="A3576" s="20">
        <v>45791</v>
      </c>
      <c r="B3576">
        <v>15</v>
      </c>
      <c r="C3576" t="s">
        <v>49</v>
      </c>
      <c r="D3576">
        <v>305</v>
      </c>
      <c r="E3576">
        <v>15</v>
      </c>
      <c r="F3576" t="s">
        <v>42</v>
      </c>
    </row>
    <row r="3577" spans="1:6" x14ac:dyDescent="0.3">
      <c r="A3577" s="20">
        <v>45791</v>
      </c>
      <c r="B3577">
        <v>15</v>
      </c>
      <c r="C3577" t="s">
        <v>36</v>
      </c>
      <c r="D3577">
        <v>40</v>
      </c>
      <c r="E3577">
        <v>6</v>
      </c>
      <c r="F3577" t="s">
        <v>31</v>
      </c>
    </row>
    <row r="3578" spans="1:6" x14ac:dyDescent="0.3">
      <c r="A3578" s="20">
        <v>45791</v>
      </c>
      <c r="B3578">
        <v>15</v>
      </c>
      <c r="C3578" t="s">
        <v>245</v>
      </c>
      <c r="D3578">
        <v>711</v>
      </c>
      <c r="E3578">
        <v>96</v>
      </c>
      <c r="F3578" t="s">
        <v>31</v>
      </c>
    </row>
    <row r="3579" spans="1:6" x14ac:dyDescent="0.3">
      <c r="A3579" s="20">
        <v>45791</v>
      </c>
      <c r="B3579">
        <v>15</v>
      </c>
      <c r="C3579" t="s">
        <v>232</v>
      </c>
      <c r="D3579">
        <v>147</v>
      </c>
      <c r="E3579">
        <v>11</v>
      </c>
      <c r="F3579" t="s">
        <v>39</v>
      </c>
    </row>
    <row r="3580" spans="1:6" x14ac:dyDescent="0.3">
      <c r="A3580" s="20">
        <v>45791</v>
      </c>
      <c r="B3580">
        <v>15</v>
      </c>
      <c r="C3580" t="s">
        <v>250</v>
      </c>
      <c r="D3580">
        <v>20</v>
      </c>
      <c r="E3580">
        <v>4</v>
      </c>
      <c r="F3580" t="s">
        <v>85</v>
      </c>
    </row>
    <row r="3581" spans="1:6" x14ac:dyDescent="0.3">
      <c r="A3581" s="20">
        <v>45791</v>
      </c>
      <c r="B3581">
        <v>15</v>
      </c>
      <c r="C3581" t="s">
        <v>250</v>
      </c>
      <c r="D3581">
        <v>226</v>
      </c>
      <c r="E3581">
        <v>8</v>
      </c>
      <c r="F3581" t="s">
        <v>75</v>
      </c>
    </row>
    <row r="3582" spans="1:6" x14ac:dyDescent="0.3">
      <c r="A3582" s="20">
        <v>45791</v>
      </c>
      <c r="B3582">
        <v>15</v>
      </c>
      <c r="C3582" t="s">
        <v>124</v>
      </c>
      <c r="D3582">
        <v>10093</v>
      </c>
      <c r="E3582">
        <v>535</v>
      </c>
      <c r="F3582" t="s">
        <v>38</v>
      </c>
    </row>
    <row r="3583" spans="1:6" x14ac:dyDescent="0.3">
      <c r="A3583" s="20">
        <v>45791</v>
      </c>
      <c r="B3583">
        <v>8</v>
      </c>
      <c r="C3583" t="s">
        <v>73</v>
      </c>
      <c r="D3583">
        <v>0</v>
      </c>
      <c r="E3583">
        <v>0</v>
      </c>
      <c r="F3583" t="s">
        <v>86</v>
      </c>
    </row>
    <row r="3584" spans="1:6" x14ac:dyDescent="0.3">
      <c r="A3584" s="20">
        <v>45791</v>
      </c>
      <c r="B3584">
        <v>8</v>
      </c>
      <c r="C3584" t="s">
        <v>73</v>
      </c>
      <c r="D3584">
        <v>0</v>
      </c>
      <c r="E3584">
        <v>0</v>
      </c>
      <c r="F3584" t="s">
        <v>38</v>
      </c>
    </row>
    <row r="3585" spans="1:6" x14ac:dyDescent="0.3">
      <c r="A3585" s="20">
        <v>45791</v>
      </c>
      <c r="B3585">
        <v>8</v>
      </c>
      <c r="C3585" t="s">
        <v>73</v>
      </c>
      <c r="D3585">
        <v>0</v>
      </c>
      <c r="E3585">
        <v>0</v>
      </c>
      <c r="F3585" t="s">
        <v>43</v>
      </c>
    </row>
    <row r="3586" spans="1:6" x14ac:dyDescent="0.3">
      <c r="A3586" s="20">
        <v>45791</v>
      </c>
      <c r="B3586">
        <v>8</v>
      </c>
      <c r="C3586" t="s">
        <v>156</v>
      </c>
      <c r="D3586">
        <v>7514</v>
      </c>
      <c r="E3586">
        <v>1437</v>
      </c>
      <c r="F3586" t="s">
        <v>45</v>
      </c>
    </row>
    <row r="3587" spans="1:6" x14ac:dyDescent="0.3">
      <c r="A3587" s="20">
        <v>45791</v>
      </c>
      <c r="B3587">
        <v>8</v>
      </c>
      <c r="C3587" t="s">
        <v>228</v>
      </c>
      <c r="D3587">
        <v>13662</v>
      </c>
      <c r="E3587">
        <v>1924</v>
      </c>
      <c r="F3587" t="s">
        <v>231</v>
      </c>
    </row>
    <row r="3588" spans="1:6" x14ac:dyDescent="0.3">
      <c r="A3588" s="20">
        <v>45791</v>
      </c>
      <c r="B3588">
        <v>8</v>
      </c>
      <c r="C3588" t="s">
        <v>159</v>
      </c>
      <c r="D3588">
        <v>27099</v>
      </c>
      <c r="E3588">
        <v>841</v>
      </c>
      <c r="F3588" t="s">
        <v>31</v>
      </c>
    </row>
    <row r="3589" spans="1:6" x14ac:dyDescent="0.3">
      <c r="A3589" s="20">
        <v>45791</v>
      </c>
      <c r="B3589">
        <v>8</v>
      </c>
      <c r="C3589" t="s">
        <v>157</v>
      </c>
      <c r="D3589">
        <v>12625</v>
      </c>
      <c r="E3589">
        <v>3184</v>
      </c>
      <c r="F3589" t="s">
        <v>31</v>
      </c>
    </row>
    <row r="3590" spans="1:6" x14ac:dyDescent="0.3">
      <c r="A3590" s="20">
        <v>45791</v>
      </c>
      <c r="B3590">
        <v>8</v>
      </c>
      <c r="C3590" t="s">
        <v>48</v>
      </c>
      <c r="D3590">
        <v>0</v>
      </c>
      <c r="E3590">
        <v>0</v>
      </c>
      <c r="F3590" t="s">
        <v>259</v>
      </c>
    </row>
    <row r="3591" spans="1:6" x14ac:dyDescent="0.3">
      <c r="A3591" s="20">
        <v>45791</v>
      </c>
      <c r="B3591">
        <v>8</v>
      </c>
      <c r="C3591" t="s">
        <v>152</v>
      </c>
      <c r="D3591">
        <v>737</v>
      </c>
      <c r="E3591">
        <v>62</v>
      </c>
      <c r="F3591" t="s">
        <v>43</v>
      </c>
    </row>
    <row r="3592" spans="1:6" x14ac:dyDescent="0.3">
      <c r="A3592" s="20">
        <v>45791</v>
      </c>
      <c r="B3592">
        <v>8</v>
      </c>
      <c r="C3592" t="s">
        <v>255</v>
      </c>
      <c r="D3592">
        <v>14752</v>
      </c>
      <c r="E3592">
        <v>1416</v>
      </c>
      <c r="F3592" t="s">
        <v>39</v>
      </c>
    </row>
    <row r="3593" spans="1:6" x14ac:dyDescent="0.3">
      <c r="A3593" s="20">
        <v>45791</v>
      </c>
      <c r="B3593">
        <v>8</v>
      </c>
      <c r="C3593" t="s">
        <v>155</v>
      </c>
      <c r="D3593">
        <v>98</v>
      </c>
      <c r="E3593">
        <v>87</v>
      </c>
      <c r="F3593" t="s">
        <v>32</v>
      </c>
    </row>
    <row r="3594" spans="1:6" x14ac:dyDescent="0.3">
      <c r="A3594" s="20">
        <v>45791</v>
      </c>
      <c r="B3594">
        <v>8</v>
      </c>
      <c r="C3594" t="s">
        <v>160</v>
      </c>
      <c r="D3594">
        <v>3</v>
      </c>
      <c r="E3594">
        <v>1</v>
      </c>
      <c r="F3594" t="s">
        <v>68</v>
      </c>
    </row>
    <row r="3595" spans="1:6" x14ac:dyDescent="0.3">
      <c r="A3595" s="20">
        <v>45791</v>
      </c>
      <c r="B3595">
        <v>8</v>
      </c>
      <c r="C3595" t="s">
        <v>160</v>
      </c>
      <c r="D3595">
        <v>99</v>
      </c>
      <c r="E3595">
        <v>26</v>
      </c>
      <c r="F3595" t="s">
        <v>161</v>
      </c>
    </row>
    <row r="3596" spans="1:6" x14ac:dyDescent="0.3">
      <c r="A3596" s="20">
        <v>45791</v>
      </c>
      <c r="B3596">
        <v>8</v>
      </c>
      <c r="C3596" t="s">
        <v>160</v>
      </c>
      <c r="D3596">
        <v>90</v>
      </c>
      <c r="E3596">
        <v>22</v>
      </c>
      <c r="F3596" t="s">
        <v>72</v>
      </c>
    </row>
    <row r="3597" spans="1:6" x14ac:dyDescent="0.3">
      <c r="A3597" s="20">
        <v>45791</v>
      </c>
      <c r="B3597">
        <v>8</v>
      </c>
      <c r="C3597" t="s">
        <v>51</v>
      </c>
      <c r="D3597">
        <v>51473</v>
      </c>
      <c r="E3597">
        <v>2154</v>
      </c>
      <c r="F3597" t="s">
        <v>38</v>
      </c>
    </row>
    <row r="3598" spans="1:6" x14ac:dyDescent="0.3">
      <c r="A3598" s="20">
        <v>45791</v>
      </c>
      <c r="B3598">
        <v>8</v>
      </c>
      <c r="C3598" t="s">
        <v>40</v>
      </c>
      <c r="D3598">
        <v>4510</v>
      </c>
      <c r="E3598">
        <v>293</v>
      </c>
    </row>
    <row r="3599" spans="1:6" x14ac:dyDescent="0.3">
      <c r="A3599" s="20">
        <v>45791</v>
      </c>
      <c r="B3599">
        <v>8</v>
      </c>
      <c r="C3599" t="s">
        <v>251</v>
      </c>
      <c r="D3599">
        <v>2920</v>
      </c>
      <c r="E3599">
        <v>358</v>
      </c>
      <c r="F3599" t="s">
        <v>47</v>
      </c>
    </row>
    <row r="3600" spans="1:6" x14ac:dyDescent="0.3">
      <c r="A3600" s="20">
        <v>45791</v>
      </c>
      <c r="B3600">
        <v>8</v>
      </c>
      <c r="C3600" t="s">
        <v>235</v>
      </c>
      <c r="D3600">
        <v>7521</v>
      </c>
      <c r="E3600">
        <v>614</v>
      </c>
      <c r="F3600" t="s">
        <v>39</v>
      </c>
    </row>
    <row r="3601" spans="1:6" x14ac:dyDescent="0.3">
      <c r="A3601" s="20">
        <v>45791</v>
      </c>
      <c r="B3601">
        <v>8</v>
      </c>
      <c r="C3601" t="s">
        <v>235</v>
      </c>
      <c r="D3601">
        <v>8689</v>
      </c>
      <c r="E3601">
        <v>767</v>
      </c>
      <c r="F3601" t="s">
        <v>229</v>
      </c>
    </row>
    <row r="3602" spans="1:6" x14ac:dyDescent="0.3">
      <c r="A3602" s="20">
        <v>45791</v>
      </c>
      <c r="B3602">
        <v>9</v>
      </c>
      <c r="C3602" t="s">
        <v>66</v>
      </c>
      <c r="D3602">
        <v>44355</v>
      </c>
      <c r="E3602">
        <v>3444</v>
      </c>
      <c r="F3602" t="s">
        <v>31</v>
      </c>
    </row>
    <row r="3603" spans="1:6" x14ac:dyDescent="0.3">
      <c r="A3603" s="20">
        <v>45791</v>
      </c>
      <c r="B3603">
        <v>9</v>
      </c>
      <c r="C3603" t="s">
        <v>230</v>
      </c>
      <c r="D3603">
        <v>38763</v>
      </c>
      <c r="E3603">
        <v>3624</v>
      </c>
      <c r="F3603" t="s">
        <v>31</v>
      </c>
    </row>
    <row r="3604" spans="1:6" x14ac:dyDescent="0.3">
      <c r="A3604" s="20">
        <v>45791</v>
      </c>
      <c r="B3604">
        <v>9</v>
      </c>
      <c r="C3604" t="s">
        <v>48</v>
      </c>
      <c r="D3604">
        <v>49119</v>
      </c>
      <c r="E3604">
        <v>3611</v>
      </c>
      <c r="F3604" t="s">
        <v>31</v>
      </c>
    </row>
    <row r="3605" spans="1:6" x14ac:dyDescent="0.3">
      <c r="A3605" s="20">
        <v>45791</v>
      </c>
      <c r="B3605">
        <v>9</v>
      </c>
      <c r="C3605" t="s">
        <v>53</v>
      </c>
      <c r="D3605">
        <v>2908</v>
      </c>
      <c r="E3605">
        <v>102</v>
      </c>
      <c r="F3605" t="s">
        <v>31</v>
      </c>
    </row>
    <row r="3606" spans="1:6" x14ac:dyDescent="0.3">
      <c r="A3606" s="20">
        <v>45791</v>
      </c>
      <c r="B3606">
        <v>9</v>
      </c>
      <c r="C3606" t="s">
        <v>152</v>
      </c>
      <c r="D3606">
        <v>9107</v>
      </c>
      <c r="E3606">
        <v>1165</v>
      </c>
      <c r="F3606" t="s">
        <v>252</v>
      </c>
    </row>
    <row r="3607" spans="1:6" x14ac:dyDescent="0.3">
      <c r="A3607" s="20">
        <v>45791</v>
      </c>
      <c r="B3607">
        <v>9</v>
      </c>
      <c r="C3607" t="s">
        <v>152</v>
      </c>
      <c r="D3607">
        <v>199</v>
      </c>
      <c r="E3607">
        <v>19</v>
      </c>
      <c r="F3607" t="s">
        <v>72</v>
      </c>
    </row>
    <row r="3608" spans="1:6" x14ac:dyDescent="0.3">
      <c r="A3608" s="20">
        <v>45791</v>
      </c>
      <c r="B3608">
        <v>9</v>
      </c>
      <c r="C3608" t="s">
        <v>232</v>
      </c>
      <c r="D3608">
        <v>2692</v>
      </c>
      <c r="E3608">
        <v>265</v>
      </c>
      <c r="F3608" t="s">
        <v>39</v>
      </c>
    </row>
    <row r="3609" spans="1:6" x14ac:dyDescent="0.3">
      <c r="A3609" s="20">
        <v>45791</v>
      </c>
      <c r="B3609">
        <v>9</v>
      </c>
      <c r="C3609" t="s">
        <v>265</v>
      </c>
      <c r="D3609">
        <v>448</v>
      </c>
      <c r="E3609">
        <v>42</v>
      </c>
      <c r="F3609" t="s">
        <v>42</v>
      </c>
    </row>
    <row r="3610" spans="1:6" x14ac:dyDescent="0.3">
      <c r="A3610" s="20">
        <v>45791</v>
      </c>
      <c r="B3610">
        <v>9</v>
      </c>
      <c r="C3610" t="s">
        <v>162</v>
      </c>
      <c r="D3610">
        <v>14137</v>
      </c>
      <c r="E3610">
        <v>1182</v>
      </c>
      <c r="F3610" t="s">
        <v>44</v>
      </c>
    </row>
    <row r="3611" spans="1:6" x14ac:dyDescent="0.3">
      <c r="A3611" s="20">
        <v>45791</v>
      </c>
      <c r="B3611">
        <v>9</v>
      </c>
      <c r="C3611" t="s">
        <v>37</v>
      </c>
      <c r="D3611">
        <v>81402</v>
      </c>
      <c r="E3611">
        <v>2503</v>
      </c>
      <c r="F3611" t="s">
        <v>38</v>
      </c>
    </row>
    <row r="3612" spans="1:6" x14ac:dyDescent="0.3">
      <c r="A3612" s="20">
        <v>45791</v>
      </c>
      <c r="B3612">
        <v>9</v>
      </c>
      <c r="C3612" t="s">
        <v>126</v>
      </c>
      <c r="D3612">
        <v>40</v>
      </c>
      <c r="E3612">
        <v>40</v>
      </c>
      <c r="F3612" t="s">
        <v>38</v>
      </c>
    </row>
    <row r="3613" spans="1:6" x14ac:dyDescent="0.3">
      <c r="A3613" s="20">
        <v>45791</v>
      </c>
      <c r="B3613">
        <v>10</v>
      </c>
      <c r="C3613" t="s">
        <v>73</v>
      </c>
      <c r="D3613">
        <v>0</v>
      </c>
      <c r="E3613">
        <v>0</v>
      </c>
      <c r="F3613" t="s">
        <v>39</v>
      </c>
    </row>
    <row r="3614" spans="1:6" x14ac:dyDescent="0.3">
      <c r="A3614" s="20">
        <v>45791</v>
      </c>
      <c r="B3614">
        <v>10</v>
      </c>
      <c r="C3614" t="s">
        <v>73</v>
      </c>
      <c r="D3614">
        <v>0</v>
      </c>
      <c r="E3614">
        <v>0</v>
      </c>
      <c r="F3614" t="s">
        <v>229</v>
      </c>
    </row>
    <row r="3615" spans="1:6" x14ac:dyDescent="0.3">
      <c r="A3615" s="20">
        <v>45791</v>
      </c>
      <c r="B3615">
        <v>10</v>
      </c>
      <c r="C3615" t="s">
        <v>52</v>
      </c>
      <c r="D3615">
        <v>46001</v>
      </c>
      <c r="E3615">
        <v>2645</v>
      </c>
      <c r="F3615" t="s">
        <v>31</v>
      </c>
    </row>
    <row r="3616" spans="1:6" x14ac:dyDescent="0.3">
      <c r="A3616" s="20">
        <v>45791</v>
      </c>
      <c r="B3616">
        <v>10</v>
      </c>
      <c r="C3616" t="s">
        <v>242</v>
      </c>
      <c r="D3616">
        <v>32445</v>
      </c>
      <c r="E3616">
        <v>3222</v>
      </c>
      <c r="F3616" t="s">
        <v>31</v>
      </c>
    </row>
    <row r="3617" spans="1:6" x14ac:dyDescent="0.3">
      <c r="A3617" s="20">
        <v>45791</v>
      </c>
      <c r="B3617">
        <v>10</v>
      </c>
      <c r="C3617" t="s">
        <v>236</v>
      </c>
      <c r="D3617">
        <v>64047</v>
      </c>
      <c r="E3617">
        <v>5497</v>
      </c>
      <c r="F3617" t="s">
        <v>31</v>
      </c>
    </row>
    <row r="3618" spans="1:6" x14ac:dyDescent="0.3">
      <c r="A3618" s="20">
        <v>45791</v>
      </c>
      <c r="B3618">
        <v>10</v>
      </c>
      <c r="C3618" t="s">
        <v>236</v>
      </c>
      <c r="D3618">
        <v>813</v>
      </c>
      <c r="E3618">
        <v>170</v>
      </c>
      <c r="F3618" t="s">
        <v>42</v>
      </c>
    </row>
    <row r="3619" spans="1:6" x14ac:dyDescent="0.3">
      <c r="A3619" s="20">
        <v>45791</v>
      </c>
      <c r="B3619">
        <v>10</v>
      </c>
      <c r="C3619" t="s">
        <v>35</v>
      </c>
      <c r="D3619">
        <v>3484</v>
      </c>
      <c r="E3619">
        <v>80</v>
      </c>
      <c r="F3619" t="s">
        <v>31</v>
      </c>
    </row>
    <row r="3620" spans="1:6" x14ac:dyDescent="0.3">
      <c r="A3620" s="20">
        <v>45791</v>
      </c>
      <c r="B3620">
        <v>10</v>
      </c>
      <c r="C3620" t="s">
        <v>35</v>
      </c>
      <c r="D3620">
        <v>78</v>
      </c>
      <c r="E3620">
        <v>13</v>
      </c>
      <c r="F3620" t="s">
        <v>42</v>
      </c>
    </row>
    <row r="3621" spans="1:6" x14ac:dyDescent="0.3">
      <c r="A3621" s="20">
        <v>45791</v>
      </c>
      <c r="B3621">
        <v>10</v>
      </c>
      <c r="C3621" t="s">
        <v>237</v>
      </c>
      <c r="D3621">
        <v>44889</v>
      </c>
      <c r="E3621">
        <v>3760</v>
      </c>
      <c r="F3621" t="s">
        <v>31</v>
      </c>
    </row>
    <row r="3622" spans="1:6" x14ac:dyDescent="0.3">
      <c r="A3622" s="20">
        <v>45791</v>
      </c>
      <c r="B3622">
        <v>10</v>
      </c>
      <c r="C3622" t="s">
        <v>50</v>
      </c>
      <c r="D3622">
        <v>179</v>
      </c>
      <c r="E3622">
        <v>59</v>
      </c>
      <c r="F3622" t="s">
        <v>31</v>
      </c>
    </row>
    <row r="3623" spans="1:6" x14ac:dyDescent="0.3">
      <c r="A3623" s="20">
        <v>45791</v>
      </c>
      <c r="B3623">
        <v>10</v>
      </c>
      <c r="C3623" t="s">
        <v>71</v>
      </c>
      <c r="D3623">
        <v>6898</v>
      </c>
      <c r="E3623">
        <v>843</v>
      </c>
      <c r="F3623" t="s">
        <v>229</v>
      </c>
    </row>
    <row r="3624" spans="1:6" x14ac:dyDescent="0.3">
      <c r="A3624" s="20">
        <v>45791</v>
      </c>
      <c r="B3624">
        <v>10</v>
      </c>
      <c r="C3624" t="s">
        <v>232</v>
      </c>
      <c r="D3624">
        <v>3858</v>
      </c>
      <c r="E3624">
        <v>257</v>
      </c>
      <c r="F3624" t="s">
        <v>74</v>
      </c>
    </row>
    <row r="3625" spans="1:6" x14ac:dyDescent="0.3">
      <c r="A3625" s="20">
        <v>45791</v>
      </c>
      <c r="B3625">
        <v>10</v>
      </c>
      <c r="C3625" t="s">
        <v>232</v>
      </c>
      <c r="D3625">
        <v>17414</v>
      </c>
      <c r="E3625">
        <v>2830</v>
      </c>
      <c r="F3625" t="s">
        <v>229</v>
      </c>
    </row>
    <row r="3626" spans="1:6" x14ac:dyDescent="0.3">
      <c r="A3626" s="20">
        <v>45791</v>
      </c>
      <c r="B3626">
        <v>10</v>
      </c>
      <c r="C3626" t="s">
        <v>250</v>
      </c>
      <c r="D3626">
        <v>8521</v>
      </c>
      <c r="E3626">
        <v>1200</v>
      </c>
      <c r="F3626" t="s">
        <v>164</v>
      </c>
    </row>
    <row r="3627" spans="1:6" x14ac:dyDescent="0.3">
      <c r="A3627" s="20">
        <v>45791</v>
      </c>
      <c r="B3627">
        <v>10</v>
      </c>
      <c r="C3627" t="s">
        <v>160</v>
      </c>
      <c r="D3627">
        <v>137</v>
      </c>
      <c r="E3627">
        <v>25</v>
      </c>
      <c r="F3627" t="s">
        <v>32</v>
      </c>
    </row>
    <row r="3628" spans="1:6" x14ac:dyDescent="0.3">
      <c r="A3628" s="20">
        <v>45791</v>
      </c>
      <c r="B3628">
        <v>10</v>
      </c>
      <c r="C3628" t="s">
        <v>160</v>
      </c>
      <c r="D3628">
        <v>11519</v>
      </c>
      <c r="E3628">
        <v>961</v>
      </c>
      <c r="F3628" t="s">
        <v>234</v>
      </c>
    </row>
    <row r="3629" spans="1:6" x14ac:dyDescent="0.3">
      <c r="A3629" s="20">
        <v>45791</v>
      </c>
      <c r="B3629">
        <v>10</v>
      </c>
      <c r="C3629" t="s">
        <v>160</v>
      </c>
      <c r="D3629">
        <v>291</v>
      </c>
      <c r="E3629">
        <v>73</v>
      </c>
      <c r="F3629" t="s">
        <v>45</v>
      </c>
    </row>
    <row r="3630" spans="1:6" x14ac:dyDescent="0.3">
      <c r="A3630" s="20">
        <v>45791</v>
      </c>
      <c r="B3630">
        <v>10</v>
      </c>
      <c r="C3630" t="s">
        <v>125</v>
      </c>
      <c r="D3630">
        <v>106184</v>
      </c>
      <c r="E3630">
        <v>5763</v>
      </c>
      <c r="F3630" t="s">
        <v>38</v>
      </c>
    </row>
    <row r="3631" spans="1:6" x14ac:dyDescent="0.3">
      <c r="A3631" s="20">
        <v>45791</v>
      </c>
      <c r="B3631">
        <v>11</v>
      </c>
      <c r="C3631" t="s">
        <v>73</v>
      </c>
      <c r="D3631">
        <v>0</v>
      </c>
      <c r="E3631">
        <v>0</v>
      </c>
      <c r="F3631" t="s">
        <v>74</v>
      </c>
    </row>
    <row r="3632" spans="1:6" x14ac:dyDescent="0.3">
      <c r="A3632" s="20">
        <v>45791</v>
      </c>
      <c r="B3632">
        <v>11</v>
      </c>
      <c r="C3632" t="s">
        <v>73</v>
      </c>
      <c r="D3632">
        <v>0</v>
      </c>
      <c r="E3632">
        <v>0</v>
      </c>
      <c r="F3632" t="s">
        <v>86</v>
      </c>
    </row>
    <row r="3633" spans="1:6" x14ac:dyDescent="0.3">
      <c r="A3633" s="20">
        <v>45791</v>
      </c>
      <c r="B3633">
        <v>11</v>
      </c>
      <c r="C3633" t="s">
        <v>73</v>
      </c>
      <c r="D3633">
        <v>0</v>
      </c>
      <c r="E3633">
        <v>0</v>
      </c>
      <c r="F3633" t="s">
        <v>38</v>
      </c>
    </row>
    <row r="3634" spans="1:6" x14ac:dyDescent="0.3">
      <c r="A3634" s="20">
        <v>45791</v>
      </c>
      <c r="B3634">
        <v>11</v>
      </c>
      <c r="C3634" t="s">
        <v>73</v>
      </c>
      <c r="D3634">
        <v>0</v>
      </c>
      <c r="E3634">
        <v>0</v>
      </c>
      <c r="F3634" t="s">
        <v>43</v>
      </c>
    </row>
    <row r="3635" spans="1:6" x14ac:dyDescent="0.3">
      <c r="A3635" s="20">
        <v>45791</v>
      </c>
      <c r="B3635">
        <v>11</v>
      </c>
      <c r="C3635" t="s">
        <v>153</v>
      </c>
      <c r="D3635">
        <v>10600</v>
      </c>
      <c r="E3635">
        <v>326</v>
      </c>
      <c r="F3635" t="s">
        <v>248</v>
      </c>
    </row>
    <row r="3636" spans="1:6" x14ac:dyDescent="0.3">
      <c r="A3636" s="20">
        <v>45791</v>
      </c>
      <c r="B3636">
        <v>11</v>
      </c>
      <c r="C3636" t="s">
        <v>156</v>
      </c>
      <c r="D3636">
        <v>7944</v>
      </c>
      <c r="E3636">
        <v>1403</v>
      </c>
      <c r="F3636" t="s">
        <v>45</v>
      </c>
    </row>
    <row r="3637" spans="1:6" x14ac:dyDescent="0.3">
      <c r="A3637" s="20">
        <v>45791</v>
      </c>
      <c r="B3637">
        <v>11</v>
      </c>
      <c r="C3637" t="s">
        <v>228</v>
      </c>
      <c r="D3637">
        <v>22709</v>
      </c>
      <c r="E3637">
        <v>3600</v>
      </c>
      <c r="F3637" t="s">
        <v>231</v>
      </c>
    </row>
    <row r="3638" spans="1:6" x14ac:dyDescent="0.3">
      <c r="A3638" s="20">
        <v>45791</v>
      </c>
      <c r="B3638">
        <v>11</v>
      </c>
      <c r="C3638" t="s">
        <v>159</v>
      </c>
      <c r="D3638">
        <v>39569</v>
      </c>
      <c r="E3638">
        <v>1417</v>
      </c>
      <c r="F3638" t="s">
        <v>31</v>
      </c>
    </row>
    <row r="3639" spans="1:6" x14ac:dyDescent="0.3">
      <c r="A3639" s="20">
        <v>45791</v>
      </c>
      <c r="B3639">
        <v>11</v>
      </c>
      <c r="C3639" t="s">
        <v>157</v>
      </c>
      <c r="D3639">
        <v>23766</v>
      </c>
      <c r="E3639">
        <v>3027</v>
      </c>
      <c r="F3639" t="s">
        <v>31</v>
      </c>
    </row>
    <row r="3640" spans="1:6" x14ac:dyDescent="0.3">
      <c r="A3640" s="20">
        <v>45791</v>
      </c>
      <c r="B3640">
        <v>11</v>
      </c>
      <c r="C3640" t="s">
        <v>48</v>
      </c>
      <c r="D3640">
        <v>0</v>
      </c>
      <c r="E3640">
        <v>0</v>
      </c>
      <c r="F3640" t="s">
        <v>259</v>
      </c>
    </row>
    <row r="3641" spans="1:6" x14ac:dyDescent="0.3">
      <c r="A3641" s="20">
        <v>45791</v>
      </c>
      <c r="B3641">
        <v>11</v>
      </c>
      <c r="C3641" t="s">
        <v>139</v>
      </c>
      <c r="D3641">
        <v>28141</v>
      </c>
      <c r="E3641">
        <v>644</v>
      </c>
      <c r="F3641" t="s">
        <v>46</v>
      </c>
    </row>
    <row r="3642" spans="1:6" x14ac:dyDescent="0.3">
      <c r="A3642" s="20">
        <v>45791</v>
      </c>
      <c r="B3642">
        <v>11</v>
      </c>
      <c r="C3642" t="s">
        <v>152</v>
      </c>
      <c r="D3642">
        <v>825</v>
      </c>
      <c r="E3642">
        <v>84</v>
      </c>
      <c r="F3642" t="s">
        <v>43</v>
      </c>
    </row>
    <row r="3643" spans="1:6" x14ac:dyDescent="0.3">
      <c r="A3643" s="20">
        <v>45791</v>
      </c>
      <c r="B3643">
        <v>11</v>
      </c>
      <c r="C3643" t="s">
        <v>233</v>
      </c>
      <c r="D3643">
        <v>2226</v>
      </c>
      <c r="E3643">
        <v>530</v>
      </c>
      <c r="F3643" t="s">
        <v>72</v>
      </c>
    </row>
    <row r="3644" spans="1:6" x14ac:dyDescent="0.3">
      <c r="A3644" s="20">
        <v>45791</v>
      </c>
      <c r="B3644">
        <v>11</v>
      </c>
      <c r="C3644" t="s">
        <v>155</v>
      </c>
      <c r="D3644">
        <v>41</v>
      </c>
      <c r="E3644">
        <v>10</v>
      </c>
      <c r="F3644" t="s">
        <v>32</v>
      </c>
    </row>
    <row r="3645" spans="1:6" x14ac:dyDescent="0.3">
      <c r="A3645" s="20">
        <v>45791</v>
      </c>
      <c r="B3645">
        <v>11</v>
      </c>
      <c r="C3645" t="s">
        <v>155</v>
      </c>
      <c r="D3645">
        <v>155</v>
      </c>
      <c r="E3645">
        <v>40</v>
      </c>
      <c r="F3645" t="s">
        <v>229</v>
      </c>
    </row>
    <row r="3646" spans="1:6" x14ac:dyDescent="0.3">
      <c r="A3646" s="20">
        <v>45791</v>
      </c>
      <c r="B3646">
        <v>11</v>
      </c>
      <c r="C3646" t="s">
        <v>250</v>
      </c>
      <c r="D3646">
        <v>900</v>
      </c>
      <c r="E3646">
        <v>129</v>
      </c>
      <c r="F3646" t="s">
        <v>86</v>
      </c>
    </row>
    <row r="3647" spans="1:6" x14ac:dyDescent="0.3">
      <c r="A3647" s="20">
        <v>45791</v>
      </c>
      <c r="B3647">
        <v>11</v>
      </c>
      <c r="C3647" t="s">
        <v>160</v>
      </c>
      <c r="D3647">
        <v>39</v>
      </c>
      <c r="E3647">
        <v>11</v>
      </c>
      <c r="F3647" t="s">
        <v>72</v>
      </c>
    </row>
    <row r="3648" spans="1:6" x14ac:dyDescent="0.3">
      <c r="A3648" s="20">
        <v>45791</v>
      </c>
      <c r="B3648">
        <v>11</v>
      </c>
      <c r="C3648" t="s">
        <v>160</v>
      </c>
      <c r="D3648">
        <v>1</v>
      </c>
      <c r="E3648">
        <v>1</v>
      </c>
      <c r="F3648" t="s">
        <v>77</v>
      </c>
    </row>
    <row r="3649" spans="1:6" x14ac:dyDescent="0.3">
      <c r="A3649" s="20">
        <v>45791</v>
      </c>
      <c r="B3649">
        <v>11</v>
      </c>
      <c r="C3649" t="s">
        <v>51</v>
      </c>
      <c r="D3649">
        <v>62660</v>
      </c>
      <c r="E3649">
        <v>2681</v>
      </c>
      <c r="F3649" t="s">
        <v>38</v>
      </c>
    </row>
    <row r="3650" spans="1:6" x14ac:dyDescent="0.3">
      <c r="A3650" s="20">
        <v>45791</v>
      </c>
      <c r="B3650">
        <v>11</v>
      </c>
      <c r="C3650" t="s">
        <v>240</v>
      </c>
      <c r="D3650">
        <v>20193</v>
      </c>
      <c r="E3650">
        <v>794</v>
      </c>
      <c r="F3650" t="s">
        <v>38</v>
      </c>
    </row>
    <row r="3651" spans="1:6" x14ac:dyDescent="0.3">
      <c r="A3651" s="20">
        <v>45791</v>
      </c>
      <c r="B3651">
        <v>11</v>
      </c>
      <c r="C3651" t="s">
        <v>40</v>
      </c>
      <c r="D3651">
        <v>2760</v>
      </c>
      <c r="E3651">
        <v>233</v>
      </c>
    </row>
    <row r="3652" spans="1:6" x14ac:dyDescent="0.3">
      <c r="A3652" s="20">
        <v>45791</v>
      </c>
      <c r="B3652">
        <v>11</v>
      </c>
      <c r="C3652" t="s">
        <v>81</v>
      </c>
      <c r="D3652">
        <v>89369</v>
      </c>
      <c r="E3652">
        <v>4482</v>
      </c>
      <c r="F3652" t="s">
        <v>38</v>
      </c>
    </row>
    <row r="3653" spans="1:6" x14ac:dyDescent="0.3">
      <c r="A3653" s="20">
        <v>45791</v>
      </c>
      <c r="B3653">
        <v>11</v>
      </c>
      <c r="C3653" t="s">
        <v>251</v>
      </c>
      <c r="D3653">
        <v>7849</v>
      </c>
      <c r="E3653">
        <v>832</v>
      </c>
      <c r="F3653" t="s">
        <v>47</v>
      </c>
    </row>
    <row r="3654" spans="1:6" x14ac:dyDescent="0.3">
      <c r="A3654" s="20">
        <v>45791</v>
      </c>
      <c r="B3654">
        <v>11</v>
      </c>
      <c r="C3654" t="s">
        <v>235</v>
      </c>
      <c r="D3654">
        <v>9113</v>
      </c>
      <c r="E3654">
        <v>854</v>
      </c>
      <c r="F3654" t="s">
        <v>39</v>
      </c>
    </row>
    <row r="3655" spans="1:6" x14ac:dyDescent="0.3">
      <c r="A3655" s="20">
        <v>45791</v>
      </c>
      <c r="B3655">
        <v>11</v>
      </c>
      <c r="C3655" t="s">
        <v>235</v>
      </c>
      <c r="D3655">
        <v>7324</v>
      </c>
      <c r="E3655">
        <v>809</v>
      </c>
      <c r="F3655" t="s">
        <v>229</v>
      </c>
    </row>
    <row r="3656" spans="1:6" x14ac:dyDescent="0.3">
      <c r="A3656" s="20">
        <v>45791</v>
      </c>
      <c r="B3656">
        <v>12</v>
      </c>
      <c r="C3656" t="s">
        <v>66</v>
      </c>
      <c r="D3656">
        <v>37911</v>
      </c>
      <c r="E3656">
        <v>2663</v>
      </c>
      <c r="F3656" t="s">
        <v>31</v>
      </c>
    </row>
    <row r="3657" spans="1:6" x14ac:dyDescent="0.3">
      <c r="A3657" s="20">
        <v>45791</v>
      </c>
      <c r="B3657">
        <v>12</v>
      </c>
      <c r="C3657" t="s">
        <v>52</v>
      </c>
      <c r="D3657">
        <v>32</v>
      </c>
      <c r="E3657">
        <v>32</v>
      </c>
      <c r="F3657" t="s">
        <v>259</v>
      </c>
    </row>
    <row r="3658" spans="1:6" x14ac:dyDescent="0.3">
      <c r="A3658" s="20">
        <v>45791</v>
      </c>
      <c r="B3658">
        <v>12</v>
      </c>
      <c r="C3658" t="s">
        <v>152</v>
      </c>
      <c r="D3658">
        <v>5268</v>
      </c>
      <c r="E3658">
        <v>678</v>
      </c>
      <c r="F3658" t="s">
        <v>252</v>
      </c>
    </row>
    <row r="3659" spans="1:6" x14ac:dyDescent="0.3">
      <c r="A3659" s="20">
        <v>45791</v>
      </c>
      <c r="B3659">
        <v>12</v>
      </c>
      <c r="C3659" t="s">
        <v>232</v>
      </c>
      <c r="D3659">
        <v>1014</v>
      </c>
      <c r="E3659">
        <v>93</v>
      </c>
      <c r="F3659" t="s">
        <v>39</v>
      </c>
    </row>
    <row r="3660" spans="1:6" x14ac:dyDescent="0.3">
      <c r="A3660" s="20">
        <v>45791</v>
      </c>
      <c r="B3660">
        <v>12</v>
      </c>
      <c r="C3660" t="s">
        <v>250</v>
      </c>
      <c r="D3660">
        <v>11339</v>
      </c>
      <c r="E3660">
        <v>2672</v>
      </c>
      <c r="F3660" t="s">
        <v>252</v>
      </c>
    </row>
    <row r="3661" spans="1:6" x14ac:dyDescent="0.3">
      <c r="A3661" s="20">
        <v>45791</v>
      </c>
      <c r="B3661">
        <v>12</v>
      </c>
      <c r="C3661" t="s">
        <v>162</v>
      </c>
      <c r="D3661">
        <v>15057</v>
      </c>
      <c r="E3661">
        <v>1318</v>
      </c>
      <c r="F3661" t="s">
        <v>44</v>
      </c>
    </row>
    <row r="3662" spans="1:6" x14ac:dyDescent="0.3">
      <c r="A3662" s="20">
        <v>45791</v>
      </c>
      <c r="B3662">
        <v>12</v>
      </c>
      <c r="C3662" t="s">
        <v>37</v>
      </c>
      <c r="D3662">
        <v>84759</v>
      </c>
      <c r="E3662">
        <v>2418</v>
      </c>
      <c r="F3662" t="s">
        <v>38</v>
      </c>
    </row>
    <row r="3663" spans="1:6" x14ac:dyDescent="0.3">
      <c r="A3663" s="20">
        <v>45791</v>
      </c>
      <c r="B3663">
        <v>12</v>
      </c>
      <c r="C3663" t="s">
        <v>126</v>
      </c>
      <c r="D3663">
        <v>32</v>
      </c>
      <c r="E3663">
        <v>32</v>
      </c>
      <c r="F3663" t="s">
        <v>38</v>
      </c>
    </row>
    <row r="3664" spans="1:6" x14ac:dyDescent="0.3">
      <c r="A3664" s="20">
        <v>45791</v>
      </c>
      <c r="B3664">
        <v>13</v>
      </c>
      <c r="C3664" t="s">
        <v>73</v>
      </c>
      <c r="D3664">
        <v>0</v>
      </c>
      <c r="E3664">
        <v>0</v>
      </c>
      <c r="F3664" t="s">
        <v>39</v>
      </c>
    </row>
    <row r="3665" spans="1:6" x14ac:dyDescent="0.3">
      <c r="A3665" s="20">
        <v>45791</v>
      </c>
      <c r="B3665">
        <v>13</v>
      </c>
      <c r="C3665" t="s">
        <v>73</v>
      </c>
      <c r="D3665">
        <v>0</v>
      </c>
      <c r="E3665">
        <v>0</v>
      </c>
      <c r="F3665" t="s">
        <v>229</v>
      </c>
    </row>
    <row r="3666" spans="1:6" x14ac:dyDescent="0.3">
      <c r="A3666" s="20">
        <v>45791</v>
      </c>
      <c r="B3666">
        <v>13</v>
      </c>
      <c r="C3666" t="s">
        <v>52</v>
      </c>
      <c r="D3666">
        <v>52709</v>
      </c>
      <c r="E3666">
        <v>2761</v>
      </c>
      <c r="F3666" t="s">
        <v>31</v>
      </c>
    </row>
    <row r="3667" spans="1:6" x14ac:dyDescent="0.3">
      <c r="A3667" s="20">
        <v>45791</v>
      </c>
      <c r="B3667">
        <v>13</v>
      </c>
      <c r="C3667" t="s">
        <v>236</v>
      </c>
      <c r="D3667">
        <v>44494</v>
      </c>
      <c r="E3667">
        <v>4008</v>
      </c>
      <c r="F3667" t="s">
        <v>31</v>
      </c>
    </row>
    <row r="3668" spans="1:6" x14ac:dyDescent="0.3">
      <c r="A3668" s="20">
        <v>45791</v>
      </c>
      <c r="B3668">
        <v>13</v>
      </c>
      <c r="C3668" t="s">
        <v>236</v>
      </c>
      <c r="D3668">
        <v>692</v>
      </c>
      <c r="E3668">
        <v>134</v>
      </c>
      <c r="F3668" t="s">
        <v>42</v>
      </c>
    </row>
    <row r="3669" spans="1:6" x14ac:dyDescent="0.3">
      <c r="A3669" s="20">
        <v>45791</v>
      </c>
      <c r="B3669">
        <v>13</v>
      </c>
      <c r="C3669" t="s">
        <v>35</v>
      </c>
      <c r="D3669">
        <v>3341</v>
      </c>
      <c r="E3669">
        <v>90</v>
      </c>
      <c r="F3669" t="s">
        <v>31</v>
      </c>
    </row>
    <row r="3670" spans="1:6" x14ac:dyDescent="0.3">
      <c r="A3670" s="20">
        <v>45791</v>
      </c>
      <c r="B3670">
        <v>13</v>
      </c>
      <c r="C3670" t="s">
        <v>35</v>
      </c>
      <c r="D3670">
        <v>53</v>
      </c>
      <c r="E3670">
        <v>8</v>
      </c>
      <c r="F3670" t="s">
        <v>42</v>
      </c>
    </row>
    <row r="3671" spans="1:6" x14ac:dyDescent="0.3">
      <c r="A3671" s="20">
        <v>45791</v>
      </c>
      <c r="B3671">
        <v>13</v>
      </c>
      <c r="C3671" t="s">
        <v>54</v>
      </c>
      <c r="D3671">
        <v>208</v>
      </c>
      <c r="E3671">
        <v>18</v>
      </c>
      <c r="F3671" t="s">
        <v>31</v>
      </c>
    </row>
    <row r="3672" spans="1:6" x14ac:dyDescent="0.3">
      <c r="A3672" s="20">
        <v>45791</v>
      </c>
      <c r="B3672">
        <v>13</v>
      </c>
      <c r="C3672" t="s">
        <v>237</v>
      </c>
      <c r="D3672">
        <v>42809</v>
      </c>
      <c r="E3672">
        <v>4070</v>
      </c>
      <c r="F3672" t="s">
        <v>31</v>
      </c>
    </row>
    <row r="3673" spans="1:6" x14ac:dyDescent="0.3">
      <c r="A3673" s="20">
        <v>45791</v>
      </c>
      <c r="B3673">
        <v>13</v>
      </c>
      <c r="C3673" t="s">
        <v>71</v>
      </c>
      <c r="D3673">
        <v>6309</v>
      </c>
      <c r="E3673">
        <v>659</v>
      </c>
      <c r="F3673" t="s">
        <v>229</v>
      </c>
    </row>
    <row r="3674" spans="1:6" x14ac:dyDescent="0.3">
      <c r="A3674" s="20">
        <v>45791</v>
      </c>
      <c r="B3674">
        <v>13</v>
      </c>
      <c r="C3674" t="s">
        <v>232</v>
      </c>
      <c r="D3674">
        <v>2330</v>
      </c>
      <c r="E3674">
        <v>256</v>
      </c>
      <c r="F3674" t="s">
        <v>74</v>
      </c>
    </row>
    <row r="3675" spans="1:6" x14ac:dyDescent="0.3">
      <c r="A3675" s="20">
        <v>45791</v>
      </c>
      <c r="B3675">
        <v>13</v>
      </c>
      <c r="C3675" t="s">
        <v>160</v>
      </c>
      <c r="D3675">
        <v>185</v>
      </c>
      <c r="E3675">
        <v>55</v>
      </c>
      <c r="F3675" t="s">
        <v>32</v>
      </c>
    </row>
    <row r="3676" spans="1:6" x14ac:dyDescent="0.3">
      <c r="A3676" s="20">
        <v>45791</v>
      </c>
      <c r="B3676">
        <v>13</v>
      </c>
      <c r="C3676" t="s">
        <v>160</v>
      </c>
      <c r="D3676">
        <v>13151</v>
      </c>
      <c r="E3676">
        <v>932</v>
      </c>
      <c r="F3676" t="s">
        <v>234</v>
      </c>
    </row>
    <row r="3677" spans="1:6" x14ac:dyDescent="0.3">
      <c r="A3677" s="20">
        <v>45791</v>
      </c>
      <c r="B3677">
        <v>13</v>
      </c>
      <c r="C3677" t="s">
        <v>160</v>
      </c>
      <c r="D3677">
        <v>365</v>
      </c>
      <c r="E3677">
        <v>75</v>
      </c>
      <c r="F3677" t="s">
        <v>45</v>
      </c>
    </row>
    <row r="3678" spans="1:6" x14ac:dyDescent="0.3">
      <c r="A3678" s="20">
        <v>45791</v>
      </c>
      <c r="B3678">
        <v>13</v>
      </c>
      <c r="C3678" t="s">
        <v>125</v>
      </c>
      <c r="D3678">
        <v>109048</v>
      </c>
      <c r="E3678">
        <v>5843</v>
      </c>
      <c r="F3678" t="s">
        <v>38</v>
      </c>
    </row>
    <row r="3679" spans="1:6" x14ac:dyDescent="0.3">
      <c r="A3679" s="20">
        <v>45791</v>
      </c>
      <c r="B3679">
        <v>13</v>
      </c>
      <c r="C3679" t="s">
        <v>253</v>
      </c>
      <c r="D3679">
        <v>4891</v>
      </c>
      <c r="E3679">
        <v>326</v>
      </c>
      <c r="F3679" t="s">
        <v>44</v>
      </c>
    </row>
    <row r="3680" spans="1:6" x14ac:dyDescent="0.3">
      <c r="A3680" s="20">
        <v>45791</v>
      </c>
      <c r="B3680">
        <v>14</v>
      </c>
      <c r="C3680" t="s">
        <v>73</v>
      </c>
      <c r="D3680">
        <v>13</v>
      </c>
      <c r="E3680">
        <v>13</v>
      </c>
      <c r="F3680" t="s">
        <v>31</v>
      </c>
    </row>
    <row r="3681" spans="1:6" x14ac:dyDescent="0.3">
      <c r="A3681" s="20">
        <v>45791</v>
      </c>
      <c r="B3681">
        <v>14</v>
      </c>
      <c r="C3681" t="s">
        <v>73</v>
      </c>
      <c r="D3681">
        <v>0</v>
      </c>
      <c r="E3681">
        <v>0</v>
      </c>
      <c r="F3681" t="s">
        <v>74</v>
      </c>
    </row>
    <row r="3682" spans="1:6" x14ac:dyDescent="0.3">
      <c r="A3682" s="20">
        <v>45791</v>
      </c>
      <c r="B3682">
        <v>14</v>
      </c>
      <c r="C3682" t="s">
        <v>73</v>
      </c>
      <c r="D3682">
        <v>0</v>
      </c>
      <c r="E3682">
        <v>0</v>
      </c>
      <c r="F3682" t="s">
        <v>86</v>
      </c>
    </row>
    <row r="3683" spans="1:6" x14ac:dyDescent="0.3">
      <c r="A3683" s="20">
        <v>45791</v>
      </c>
      <c r="B3683">
        <v>14</v>
      </c>
      <c r="C3683" t="s">
        <v>73</v>
      </c>
      <c r="D3683">
        <v>1</v>
      </c>
      <c r="E3683">
        <v>1</v>
      </c>
      <c r="F3683" t="s">
        <v>38</v>
      </c>
    </row>
    <row r="3684" spans="1:6" x14ac:dyDescent="0.3">
      <c r="A3684" s="20">
        <v>45791</v>
      </c>
      <c r="B3684">
        <v>14</v>
      </c>
      <c r="C3684" t="s">
        <v>153</v>
      </c>
      <c r="D3684">
        <v>9384</v>
      </c>
      <c r="E3684">
        <v>346</v>
      </c>
      <c r="F3684" t="s">
        <v>248</v>
      </c>
    </row>
    <row r="3685" spans="1:6" x14ac:dyDescent="0.3">
      <c r="A3685" s="20">
        <v>45791</v>
      </c>
      <c r="B3685">
        <v>14</v>
      </c>
      <c r="C3685" t="s">
        <v>156</v>
      </c>
      <c r="D3685">
        <v>11686</v>
      </c>
      <c r="E3685">
        <v>1458</v>
      </c>
      <c r="F3685" t="s">
        <v>45</v>
      </c>
    </row>
    <row r="3686" spans="1:6" x14ac:dyDescent="0.3">
      <c r="A3686" s="20">
        <v>45791</v>
      </c>
      <c r="B3686">
        <v>14</v>
      </c>
      <c r="C3686" t="s">
        <v>228</v>
      </c>
      <c r="D3686">
        <v>29299</v>
      </c>
      <c r="E3686">
        <v>2999</v>
      </c>
      <c r="F3686" t="s">
        <v>231</v>
      </c>
    </row>
    <row r="3687" spans="1:6" x14ac:dyDescent="0.3">
      <c r="A3687" s="20">
        <v>45791</v>
      </c>
      <c r="B3687">
        <v>14</v>
      </c>
      <c r="C3687" t="s">
        <v>159</v>
      </c>
      <c r="D3687">
        <v>40686</v>
      </c>
      <c r="E3687">
        <v>1116</v>
      </c>
      <c r="F3687" t="s">
        <v>31</v>
      </c>
    </row>
    <row r="3688" spans="1:6" x14ac:dyDescent="0.3">
      <c r="A3688" s="20">
        <v>45791</v>
      </c>
      <c r="B3688">
        <v>14</v>
      </c>
      <c r="C3688" t="s">
        <v>157</v>
      </c>
      <c r="D3688">
        <v>25891</v>
      </c>
      <c r="E3688">
        <v>2786</v>
      </c>
      <c r="F3688" t="s">
        <v>31</v>
      </c>
    </row>
    <row r="3689" spans="1:6" x14ac:dyDescent="0.3">
      <c r="A3689" s="20">
        <v>45791</v>
      </c>
      <c r="B3689">
        <v>14</v>
      </c>
      <c r="C3689" t="s">
        <v>139</v>
      </c>
      <c r="D3689">
        <v>33087</v>
      </c>
      <c r="E3689">
        <v>780</v>
      </c>
      <c r="F3689" t="s">
        <v>46</v>
      </c>
    </row>
    <row r="3690" spans="1:6" x14ac:dyDescent="0.3">
      <c r="A3690" s="20">
        <v>45791</v>
      </c>
      <c r="B3690">
        <v>14</v>
      </c>
      <c r="C3690" t="s">
        <v>152</v>
      </c>
      <c r="D3690">
        <v>6664</v>
      </c>
      <c r="E3690">
        <v>637</v>
      </c>
      <c r="F3690" t="s">
        <v>138</v>
      </c>
    </row>
    <row r="3691" spans="1:6" x14ac:dyDescent="0.3">
      <c r="A3691" s="20">
        <v>45791</v>
      </c>
      <c r="B3691">
        <v>14</v>
      </c>
      <c r="C3691" t="s">
        <v>152</v>
      </c>
      <c r="D3691">
        <v>711</v>
      </c>
      <c r="E3691">
        <v>59</v>
      </c>
      <c r="F3691" t="s">
        <v>43</v>
      </c>
    </row>
    <row r="3692" spans="1:6" x14ac:dyDescent="0.3">
      <c r="A3692" s="20">
        <v>45791</v>
      </c>
      <c r="B3692">
        <v>14</v>
      </c>
      <c r="C3692" t="s">
        <v>233</v>
      </c>
      <c r="D3692">
        <v>1411</v>
      </c>
      <c r="E3692">
        <v>298</v>
      </c>
      <c r="F3692" t="s">
        <v>72</v>
      </c>
    </row>
    <row r="3693" spans="1:6" x14ac:dyDescent="0.3">
      <c r="A3693" s="20">
        <v>45791</v>
      </c>
      <c r="B3693">
        <v>14</v>
      </c>
      <c r="C3693" t="s">
        <v>250</v>
      </c>
      <c r="D3693">
        <v>0</v>
      </c>
      <c r="E3693">
        <v>0</v>
      </c>
      <c r="F3693" t="s">
        <v>74</v>
      </c>
    </row>
    <row r="3694" spans="1:6" x14ac:dyDescent="0.3">
      <c r="A3694" s="20">
        <v>45791</v>
      </c>
      <c r="B3694">
        <v>14</v>
      </c>
      <c r="C3694" t="s">
        <v>250</v>
      </c>
      <c r="D3694">
        <v>1273</v>
      </c>
      <c r="E3694">
        <v>204</v>
      </c>
      <c r="F3694" t="s">
        <v>86</v>
      </c>
    </row>
    <row r="3695" spans="1:6" x14ac:dyDescent="0.3">
      <c r="A3695" s="20">
        <v>45791</v>
      </c>
      <c r="B3695">
        <v>14</v>
      </c>
      <c r="C3695" t="s">
        <v>160</v>
      </c>
      <c r="D3695">
        <v>59</v>
      </c>
      <c r="E3695">
        <v>12</v>
      </c>
      <c r="F3695" t="s">
        <v>72</v>
      </c>
    </row>
    <row r="3696" spans="1:6" x14ac:dyDescent="0.3">
      <c r="A3696" s="20">
        <v>45791</v>
      </c>
      <c r="B3696">
        <v>14</v>
      </c>
      <c r="C3696" t="s">
        <v>160</v>
      </c>
      <c r="D3696">
        <v>210</v>
      </c>
      <c r="E3696">
        <v>45</v>
      </c>
      <c r="F3696" t="s">
        <v>43</v>
      </c>
    </row>
    <row r="3697" spans="1:6" x14ac:dyDescent="0.3">
      <c r="A3697" s="20">
        <v>45791</v>
      </c>
      <c r="B3697">
        <v>14</v>
      </c>
      <c r="C3697" t="s">
        <v>51</v>
      </c>
      <c r="D3697">
        <v>63901</v>
      </c>
      <c r="E3697">
        <v>2199</v>
      </c>
      <c r="F3697" t="s">
        <v>38</v>
      </c>
    </row>
    <row r="3698" spans="1:6" x14ac:dyDescent="0.3">
      <c r="A3698" s="20">
        <v>45791</v>
      </c>
      <c r="B3698">
        <v>14</v>
      </c>
      <c r="C3698" t="s">
        <v>240</v>
      </c>
      <c r="D3698">
        <v>21262</v>
      </c>
      <c r="E3698">
        <v>721</v>
      </c>
      <c r="F3698" t="s">
        <v>38</v>
      </c>
    </row>
    <row r="3699" spans="1:6" x14ac:dyDescent="0.3">
      <c r="A3699" s="20">
        <v>45791</v>
      </c>
      <c r="B3699">
        <v>14</v>
      </c>
      <c r="C3699" t="s">
        <v>40</v>
      </c>
      <c r="D3699">
        <v>3050</v>
      </c>
      <c r="E3699">
        <v>166</v>
      </c>
    </row>
    <row r="3700" spans="1:6" x14ac:dyDescent="0.3">
      <c r="A3700" s="20">
        <v>45791</v>
      </c>
      <c r="B3700">
        <v>14</v>
      </c>
      <c r="C3700" t="s">
        <v>81</v>
      </c>
      <c r="D3700">
        <v>84548</v>
      </c>
      <c r="E3700">
        <v>3326</v>
      </c>
      <c r="F3700" t="s">
        <v>38</v>
      </c>
    </row>
    <row r="3701" spans="1:6" x14ac:dyDescent="0.3">
      <c r="A3701" s="20">
        <v>45791</v>
      </c>
      <c r="B3701">
        <v>14</v>
      </c>
      <c r="C3701" t="s">
        <v>251</v>
      </c>
      <c r="D3701">
        <v>8062</v>
      </c>
      <c r="E3701">
        <v>699</v>
      </c>
      <c r="F3701" t="s">
        <v>47</v>
      </c>
    </row>
    <row r="3702" spans="1:6" x14ac:dyDescent="0.3">
      <c r="A3702" s="20">
        <v>45791</v>
      </c>
      <c r="B3702">
        <v>14</v>
      </c>
      <c r="C3702" t="s">
        <v>235</v>
      </c>
      <c r="D3702">
        <v>6076</v>
      </c>
      <c r="E3702">
        <v>671</v>
      </c>
      <c r="F3702" t="s">
        <v>39</v>
      </c>
    </row>
    <row r="3703" spans="1:6" x14ac:dyDescent="0.3">
      <c r="A3703" s="20">
        <v>45791</v>
      </c>
      <c r="B3703">
        <v>15</v>
      </c>
      <c r="C3703" t="s">
        <v>152</v>
      </c>
      <c r="D3703">
        <v>1077</v>
      </c>
      <c r="E3703">
        <v>169</v>
      </c>
      <c r="F3703" t="s">
        <v>252</v>
      </c>
    </row>
    <row r="3704" spans="1:6" x14ac:dyDescent="0.3">
      <c r="A3704" s="20">
        <v>45791</v>
      </c>
      <c r="B3704">
        <v>15</v>
      </c>
      <c r="C3704" t="s">
        <v>232</v>
      </c>
      <c r="D3704">
        <v>0</v>
      </c>
      <c r="E3704">
        <v>0</v>
      </c>
      <c r="F3704" t="s">
        <v>68</v>
      </c>
    </row>
    <row r="3705" spans="1:6" x14ac:dyDescent="0.3">
      <c r="A3705" s="20">
        <v>45791</v>
      </c>
      <c r="B3705">
        <v>15</v>
      </c>
      <c r="C3705" t="s">
        <v>238</v>
      </c>
      <c r="D3705">
        <v>557</v>
      </c>
      <c r="E3705">
        <v>40</v>
      </c>
      <c r="F3705" t="s">
        <v>32</v>
      </c>
    </row>
    <row r="3706" spans="1:6" x14ac:dyDescent="0.3">
      <c r="A3706" s="20">
        <v>45791</v>
      </c>
      <c r="B3706">
        <v>15</v>
      </c>
      <c r="C3706" t="s">
        <v>250</v>
      </c>
      <c r="D3706">
        <v>2258</v>
      </c>
      <c r="E3706">
        <v>495</v>
      </c>
      <c r="F3706" t="s">
        <v>252</v>
      </c>
    </row>
    <row r="3707" spans="1:6" x14ac:dyDescent="0.3">
      <c r="A3707" s="20">
        <v>45791</v>
      </c>
      <c r="B3707">
        <v>15</v>
      </c>
      <c r="C3707" t="s">
        <v>37</v>
      </c>
      <c r="D3707">
        <v>3848</v>
      </c>
      <c r="E3707">
        <v>68</v>
      </c>
      <c r="F3707" t="s">
        <v>38</v>
      </c>
    </row>
    <row r="3708" spans="1:6" x14ac:dyDescent="0.3">
      <c r="A3708" s="20">
        <v>45791</v>
      </c>
      <c r="B3708">
        <v>8</v>
      </c>
      <c r="C3708" t="s">
        <v>73</v>
      </c>
      <c r="D3708">
        <v>0</v>
      </c>
      <c r="E3708">
        <v>0</v>
      </c>
      <c r="F3708" t="s">
        <v>74</v>
      </c>
    </row>
    <row r="3709" spans="1:6" x14ac:dyDescent="0.3">
      <c r="A3709" s="20">
        <v>45791</v>
      </c>
      <c r="B3709">
        <v>8</v>
      </c>
      <c r="C3709" t="s">
        <v>156</v>
      </c>
      <c r="D3709">
        <v>83</v>
      </c>
      <c r="E3709">
        <v>12</v>
      </c>
      <c r="F3709" t="s">
        <v>33</v>
      </c>
    </row>
    <row r="3710" spans="1:6" x14ac:dyDescent="0.3">
      <c r="A3710" s="20">
        <v>45791</v>
      </c>
      <c r="B3710">
        <v>8</v>
      </c>
      <c r="C3710" t="s">
        <v>158</v>
      </c>
      <c r="D3710">
        <v>15336</v>
      </c>
      <c r="E3710">
        <v>714</v>
      </c>
      <c r="F3710" t="s">
        <v>31</v>
      </c>
    </row>
    <row r="3711" spans="1:6" x14ac:dyDescent="0.3">
      <c r="A3711" s="20">
        <v>45791</v>
      </c>
      <c r="B3711">
        <v>8</v>
      </c>
      <c r="C3711" t="s">
        <v>239</v>
      </c>
      <c r="D3711">
        <v>81382</v>
      </c>
      <c r="E3711">
        <v>7043</v>
      </c>
      <c r="F3711" t="s">
        <v>31</v>
      </c>
    </row>
    <row r="3712" spans="1:6" x14ac:dyDescent="0.3">
      <c r="A3712" s="20">
        <v>45791</v>
      </c>
      <c r="B3712">
        <v>8</v>
      </c>
      <c r="C3712" t="s">
        <v>50</v>
      </c>
      <c r="D3712">
        <v>661</v>
      </c>
      <c r="E3712">
        <v>188</v>
      </c>
      <c r="F3712" t="s">
        <v>31</v>
      </c>
    </row>
    <row r="3713" spans="1:6" x14ac:dyDescent="0.3">
      <c r="A3713" s="20">
        <v>45791</v>
      </c>
      <c r="B3713">
        <v>8</v>
      </c>
      <c r="C3713" t="s">
        <v>152</v>
      </c>
      <c r="D3713">
        <v>4776</v>
      </c>
      <c r="E3713">
        <v>526</v>
      </c>
      <c r="F3713" t="s">
        <v>138</v>
      </c>
    </row>
    <row r="3714" spans="1:6" x14ac:dyDescent="0.3">
      <c r="A3714" s="20">
        <v>45791</v>
      </c>
      <c r="B3714">
        <v>8</v>
      </c>
      <c r="C3714" t="s">
        <v>233</v>
      </c>
      <c r="D3714">
        <v>15713</v>
      </c>
      <c r="E3714">
        <v>2338</v>
      </c>
      <c r="F3714" t="s">
        <v>34</v>
      </c>
    </row>
    <row r="3715" spans="1:6" x14ac:dyDescent="0.3">
      <c r="A3715" s="20">
        <v>45791</v>
      </c>
      <c r="B3715">
        <v>8</v>
      </c>
      <c r="C3715" t="s">
        <v>261</v>
      </c>
      <c r="D3715">
        <v>11599</v>
      </c>
      <c r="E3715">
        <v>973</v>
      </c>
      <c r="F3715" t="s">
        <v>31</v>
      </c>
    </row>
    <row r="3716" spans="1:6" x14ac:dyDescent="0.3">
      <c r="A3716" s="20">
        <v>45791</v>
      </c>
      <c r="B3716">
        <v>8</v>
      </c>
      <c r="C3716" t="s">
        <v>250</v>
      </c>
      <c r="D3716">
        <v>661</v>
      </c>
      <c r="E3716">
        <v>85</v>
      </c>
      <c r="F3716" t="s">
        <v>86</v>
      </c>
    </row>
    <row r="3717" spans="1:6" x14ac:dyDescent="0.3">
      <c r="A3717" s="20">
        <v>45791</v>
      </c>
      <c r="B3717">
        <v>8</v>
      </c>
      <c r="C3717" t="s">
        <v>160</v>
      </c>
      <c r="D3717">
        <v>510</v>
      </c>
      <c r="E3717">
        <v>99</v>
      </c>
      <c r="F3717" t="s">
        <v>74</v>
      </c>
    </row>
    <row r="3718" spans="1:6" x14ac:dyDescent="0.3">
      <c r="A3718" s="20">
        <v>45791</v>
      </c>
      <c r="B3718">
        <v>8</v>
      </c>
      <c r="C3718" t="s">
        <v>162</v>
      </c>
      <c r="D3718">
        <v>15124</v>
      </c>
      <c r="E3718">
        <v>1494</v>
      </c>
      <c r="F3718" t="s">
        <v>44</v>
      </c>
    </row>
    <row r="3719" spans="1:6" x14ac:dyDescent="0.3">
      <c r="A3719" s="20">
        <v>45791</v>
      </c>
      <c r="B3719">
        <v>8</v>
      </c>
      <c r="C3719" t="s">
        <v>37</v>
      </c>
      <c r="D3719">
        <v>59664</v>
      </c>
      <c r="E3719">
        <v>1885</v>
      </c>
      <c r="F3719" t="s">
        <v>38</v>
      </c>
    </row>
    <row r="3720" spans="1:6" x14ac:dyDescent="0.3">
      <c r="A3720" s="20">
        <v>45791</v>
      </c>
      <c r="B3720">
        <v>8</v>
      </c>
      <c r="C3720" t="s">
        <v>240</v>
      </c>
      <c r="D3720">
        <v>18538</v>
      </c>
      <c r="E3720">
        <v>716</v>
      </c>
      <c r="F3720" t="s">
        <v>38</v>
      </c>
    </row>
    <row r="3721" spans="1:6" x14ac:dyDescent="0.3">
      <c r="A3721" s="20">
        <v>45791</v>
      </c>
      <c r="B3721">
        <v>8</v>
      </c>
      <c r="C3721" t="s">
        <v>235</v>
      </c>
      <c r="D3721">
        <v>12956</v>
      </c>
      <c r="E3721">
        <v>1353</v>
      </c>
      <c r="F3721" t="s">
        <v>234</v>
      </c>
    </row>
    <row r="3722" spans="1:6" x14ac:dyDescent="0.3">
      <c r="A3722" s="20">
        <v>45791</v>
      </c>
      <c r="B3722">
        <v>9</v>
      </c>
      <c r="C3722" t="s">
        <v>73</v>
      </c>
      <c r="D3722">
        <v>0</v>
      </c>
      <c r="E3722">
        <v>0</v>
      </c>
      <c r="F3722" t="s">
        <v>39</v>
      </c>
    </row>
    <row r="3723" spans="1:6" x14ac:dyDescent="0.3">
      <c r="A3723" s="20">
        <v>45791</v>
      </c>
      <c r="B3723">
        <v>9</v>
      </c>
      <c r="C3723" t="s">
        <v>73</v>
      </c>
      <c r="D3723">
        <v>0</v>
      </c>
      <c r="E3723">
        <v>0</v>
      </c>
      <c r="F3723" t="s">
        <v>46</v>
      </c>
    </row>
    <row r="3724" spans="1:6" x14ac:dyDescent="0.3">
      <c r="A3724" s="20">
        <v>45791</v>
      </c>
      <c r="B3724">
        <v>9</v>
      </c>
      <c r="C3724" t="s">
        <v>73</v>
      </c>
      <c r="D3724">
        <v>0</v>
      </c>
      <c r="E3724">
        <v>0</v>
      </c>
      <c r="F3724" t="s">
        <v>43</v>
      </c>
    </row>
    <row r="3725" spans="1:6" x14ac:dyDescent="0.3">
      <c r="A3725" s="20">
        <v>45791</v>
      </c>
      <c r="B3725">
        <v>9</v>
      </c>
      <c r="C3725" t="s">
        <v>156</v>
      </c>
      <c r="D3725">
        <v>6158</v>
      </c>
      <c r="E3725">
        <v>1263</v>
      </c>
      <c r="F3725" t="s">
        <v>45</v>
      </c>
    </row>
    <row r="3726" spans="1:6" x14ac:dyDescent="0.3">
      <c r="A3726" s="20">
        <v>45791</v>
      </c>
      <c r="B3726">
        <v>9</v>
      </c>
      <c r="C3726" t="s">
        <v>52</v>
      </c>
      <c r="D3726">
        <v>51215</v>
      </c>
      <c r="E3726">
        <v>3150</v>
      </c>
      <c r="F3726" t="s">
        <v>31</v>
      </c>
    </row>
    <row r="3727" spans="1:6" x14ac:dyDescent="0.3">
      <c r="A3727" s="20">
        <v>45791</v>
      </c>
      <c r="B3727">
        <v>9</v>
      </c>
      <c r="C3727" t="s">
        <v>52</v>
      </c>
      <c r="D3727">
        <v>34</v>
      </c>
      <c r="E3727">
        <v>34</v>
      </c>
      <c r="F3727" t="s">
        <v>259</v>
      </c>
    </row>
    <row r="3728" spans="1:6" x14ac:dyDescent="0.3">
      <c r="A3728" s="20">
        <v>45791</v>
      </c>
      <c r="B3728">
        <v>9</v>
      </c>
      <c r="C3728" t="s">
        <v>139</v>
      </c>
      <c r="D3728">
        <v>35544</v>
      </c>
      <c r="E3728">
        <v>952</v>
      </c>
      <c r="F3728" t="s">
        <v>46</v>
      </c>
    </row>
    <row r="3729" spans="1:6" x14ac:dyDescent="0.3">
      <c r="A3729" s="20">
        <v>45791</v>
      </c>
      <c r="B3729">
        <v>9</v>
      </c>
      <c r="C3729" t="s">
        <v>71</v>
      </c>
      <c r="D3729">
        <v>5910</v>
      </c>
      <c r="E3729">
        <v>2661</v>
      </c>
      <c r="F3729" t="s">
        <v>32</v>
      </c>
    </row>
    <row r="3730" spans="1:6" x14ac:dyDescent="0.3">
      <c r="A3730" s="20">
        <v>45791</v>
      </c>
      <c r="B3730">
        <v>9</v>
      </c>
      <c r="C3730" t="s">
        <v>71</v>
      </c>
      <c r="D3730">
        <v>25798</v>
      </c>
      <c r="E3730">
        <v>2979</v>
      </c>
      <c r="F3730" t="s">
        <v>164</v>
      </c>
    </row>
    <row r="3731" spans="1:6" x14ac:dyDescent="0.3">
      <c r="A3731" s="20">
        <v>45791</v>
      </c>
      <c r="B3731">
        <v>9</v>
      </c>
      <c r="C3731" t="s">
        <v>233</v>
      </c>
      <c r="D3731">
        <v>3111</v>
      </c>
      <c r="E3731">
        <v>548</v>
      </c>
      <c r="F3731" t="s">
        <v>85</v>
      </c>
    </row>
    <row r="3732" spans="1:6" x14ac:dyDescent="0.3">
      <c r="A3732" s="20">
        <v>45791</v>
      </c>
      <c r="B3732">
        <v>9</v>
      </c>
      <c r="C3732" t="s">
        <v>265</v>
      </c>
      <c r="D3732">
        <v>16001</v>
      </c>
      <c r="E3732">
        <v>872</v>
      </c>
      <c r="F3732" t="s">
        <v>31</v>
      </c>
    </row>
    <row r="3733" spans="1:6" x14ac:dyDescent="0.3">
      <c r="A3733" s="20">
        <v>45791</v>
      </c>
      <c r="B3733">
        <v>9</v>
      </c>
      <c r="C3733" t="s">
        <v>155</v>
      </c>
      <c r="D3733">
        <v>96</v>
      </c>
      <c r="E3733">
        <v>80</v>
      </c>
      <c r="F3733" t="s">
        <v>32</v>
      </c>
    </row>
    <row r="3734" spans="1:6" x14ac:dyDescent="0.3">
      <c r="A3734" s="20">
        <v>45791</v>
      </c>
      <c r="B3734">
        <v>9</v>
      </c>
      <c r="C3734" t="s">
        <v>250</v>
      </c>
      <c r="D3734">
        <v>9272</v>
      </c>
      <c r="E3734">
        <v>2265</v>
      </c>
      <c r="F3734" t="s">
        <v>252</v>
      </c>
    </row>
    <row r="3735" spans="1:6" x14ac:dyDescent="0.3">
      <c r="A3735" s="20">
        <v>45791</v>
      </c>
      <c r="B3735">
        <v>9</v>
      </c>
      <c r="C3735" t="s">
        <v>160</v>
      </c>
      <c r="D3735">
        <v>5782</v>
      </c>
      <c r="E3735">
        <v>442</v>
      </c>
      <c r="F3735" t="s">
        <v>234</v>
      </c>
    </row>
    <row r="3736" spans="1:6" x14ac:dyDescent="0.3">
      <c r="A3736" s="20">
        <v>45791</v>
      </c>
      <c r="B3736">
        <v>9</v>
      </c>
      <c r="C3736" t="s">
        <v>160</v>
      </c>
      <c r="D3736">
        <v>344</v>
      </c>
      <c r="E3736">
        <v>81</v>
      </c>
      <c r="F3736" t="s">
        <v>45</v>
      </c>
    </row>
    <row r="3737" spans="1:6" x14ac:dyDescent="0.3">
      <c r="A3737" s="20">
        <v>45791</v>
      </c>
      <c r="B3737">
        <v>9</v>
      </c>
      <c r="C3737" t="s">
        <v>125</v>
      </c>
      <c r="D3737">
        <v>87609</v>
      </c>
      <c r="E3737">
        <v>5208</v>
      </c>
      <c r="F3737" t="s">
        <v>38</v>
      </c>
    </row>
    <row r="3738" spans="1:6" x14ac:dyDescent="0.3">
      <c r="A3738" s="20">
        <v>45791</v>
      </c>
      <c r="B3738">
        <v>9</v>
      </c>
      <c r="C3738" t="s">
        <v>235</v>
      </c>
      <c r="D3738">
        <v>7765</v>
      </c>
      <c r="E3738">
        <v>817</v>
      </c>
      <c r="F3738" t="s">
        <v>229</v>
      </c>
    </row>
    <row r="3739" spans="1:6" x14ac:dyDescent="0.3">
      <c r="A3739" s="20">
        <v>45791</v>
      </c>
      <c r="B3739">
        <v>10</v>
      </c>
      <c r="C3739" t="s">
        <v>73</v>
      </c>
      <c r="D3739">
        <v>0</v>
      </c>
      <c r="E3739">
        <v>0</v>
      </c>
    </row>
    <row r="3740" spans="1:6" x14ac:dyDescent="0.3">
      <c r="A3740" s="20">
        <v>45791</v>
      </c>
      <c r="B3740">
        <v>10</v>
      </c>
      <c r="C3740" t="s">
        <v>73</v>
      </c>
      <c r="D3740">
        <v>21</v>
      </c>
      <c r="E3740">
        <v>21</v>
      </c>
      <c r="F3740" t="s">
        <v>31</v>
      </c>
    </row>
    <row r="3741" spans="1:6" x14ac:dyDescent="0.3">
      <c r="A3741" s="20">
        <v>45791</v>
      </c>
      <c r="B3741">
        <v>10</v>
      </c>
      <c r="C3741" t="s">
        <v>73</v>
      </c>
      <c r="D3741">
        <v>0</v>
      </c>
      <c r="E3741">
        <v>0</v>
      </c>
      <c r="F3741" t="s">
        <v>161</v>
      </c>
    </row>
    <row r="3742" spans="1:6" x14ac:dyDescent="0.3">
      <c r="A3742" s="20">
        <v>45791</v>
      </c>
      <c r="B3742">
        <v>10</v>
      </c>
      <c r="C3742" t="s">
        <v>153</v>
      </c>
      <c r="D3742">
        <v>8783</v>
      </c>
      <c r="E3742">
        <v>345</v>
      </c>
      <c r="F3742" t="s">
        <v>248</v>
      </c>
    </row>
    <row r="3743" spans="1:6" x14ac:dyDescent="0.3">
      <c r="A3743" s="20">
        <v>45791</v>
      </c>
      <c r="B3743">
        <v>10</v>
      </c>
      <c r="C3743" t="s">
        <v>156</v>
      </c>
      <c r="D3743">
        <v>15312</v>
      </c>
      <c r="E3743">
        <v>2743</v>
      </c>
      <c r="F3743" t="s">
        <v>75</v>
      </c>
    </row>
    <row r="3744" spans="1:6" x14ac:dyDescent="0.3">
      <c r="A3744" s="20">
        <v>45791</v>
      </c>
      <c r="B3744">
        <v>10</v>
      </c>
      <c r="C3744" t="s">
        <v>66</v>
      </c>
      <c r="D3744">
        <v>31912</v>
      </c>
      <c r="E3744">
        <v>2529</v>
      </c>
      <c r="F3744" t="s">
        <v>31</v>
      </c>
    </row>
    <row r="3745" spans="1:6" x14ac:dyDescent="0.3">
      <c r="A3745" s="20">
        <v>45791</v>
      </c>
      <c r="B3745">
        <v>10</v>
      </c>
      <c r="C3745" t="s">
        <v>53</v>
      </c>
      <c r="D3745">
        <v>2260</v>
      </c>
      <c r="E3745">
        <v>60</v>
      </c>
      <c r="F3745" t="s">
        <v>31</v>
      </c>
    </row>
    <row r="3746" spans="1:6" x14ac:dyDescent="0.3">
      <c r="A3746" s="20">
        <v>45791</v>
      </c>
      <c r="B3746">
        <v>10</v>
      </c>
      <c r="C3746" t="s">
        <v>152</v>
      </c>
      <c r="D3746">
        <v>733</v>
      </c>
      <c r="E3746">
        <v>68</v>
      </c>
      <c r="F3746" t="s">
        <v>43</v>
      </c>
    </row>
    <row r="3747" spans="1:6" x14ac:dyDescent="0.3">
      <c r="A3747" s="20">
        <v>45791</v>
      </c>
      <c r="B3747">
        <v>10</v>
      </c>
      <c r="C3747" t="s">
        <v>250</v>
      </c>
      <c r="D3747">
        <v>193</v>
      </c>
      <c r="E3747">
        <v>53</v>
      </c>
      <c r="F3747" t="s">
        <v>34</v>
      </c>
    </row>
    <row r="3748" spans="1:6" x14ac:dyDescent="0.3">
      <c r="A3748" s="20">
        <v>45791</v>
      </c>
      <c r="B3748">
        <v>10</v>
      </c>
      <c r="C3748" t="s">
        <v>250</v>
      </c>
      <c r="D3748">
        <v>1158</v>
      </c>
      <c r="E3748">
        <v>129</v>
      </c>
      <c r="F3748" t="s">
        <v>75</v>
      </c>
    </row>
    <row r="3749" spans="1:6" x14ac:dyDescent="0.3">
      <c r="A3749" s="20">
        <v>45791</v>
      </c>
      <c r="B3749">
        <v>10</v>
      </c>
      <c r="C3749" t="s">
        <v>160</v>
      </c>
      <c r="D3749">
        <v>3367</v>
      </c>
      <c r="E3749">
        <v>545</v>
      </c>
      <c r="F3749" t="s">
        <v>229</v>
      </c>
    </row>
    <row r="3750" spans="1:6" x14ac:dyDescent="0.3">
      <c r="A3750" s="20">
        <v>45791</v>
      </c>
      <c r="B3750">
        <v>10</v>
      </c>
      <c r="C3750" t="s">
        <v>51</v>
      </c>
      <c r="D3750">
        <v>63563</v>
      </c>
      <c r="E3750">
        <v>3054</v>
      </c>
      <c r="F3750" t="s">
        <v>38</v>
      </c>
    </row>
    <row r="3751" spans="1:6" x14ac:dyDescent="0.3">
      <c r="A3751" s="20">
        <v>45791</v>
      </c>
      <c r="B3751">
        <v>11</v>
      </c>
      <c r="C3751" t="s">
        <v>239</v>
      </c>
      <c r="D3751">
        <v>74039</v>
      </c>
      <c r="E3751">
        <v>5176</v>
      </c>
      <c r="F3751" t="s">
        <v>31</v>
      </c>
    </row>
    <row r="3752" spans="1:6" x14ac:dyDescent="0.3">
      <c r="A3752" s="20">
        <v>45791</v>
      </c>
      <c r="B3752">
        <v>11</v>
      </c>
      <c r="C3752" t="s">
        <v>35</v>
      </c>
      <c r="D3752">
        <v>77</v>
      </c>
      <c r="E3752">
        <v>13</v>
      </c>
      <c r="F3752" t="s">
        <v>42</v>
      </c>
    </row>
    <row r="3753" spans="1:6" x14ac:dyDescent="0.3">
      <c r="A3753" s="20">
        <v>45791</v>
      </c>
      <c r="B3753">
        <v>11</v>
      </c>
      <c r="C3753" t="s">
        <v>50</v>
      </c>
      <c r="D3753">
        <v>414</v>
      </c>
      <c r="E3753">
        <v>146</v>
      </c>
      <c r="F3753" t="s">
        <v>31</v>
      </c>
    </row>
    <row r="3754" spans="1:6" x14ac:dyDescent="0.3">
      <c r="A3754" s="20">
        <v>45791</v>
      </c>
      <c r="B3754">
        <v>11</v>
      </c>
      <c r="C3754" t="s">
        <v>152</v>
      </c>
      <c r="D3754">
        <v>5394</v>
      </c>
      <c r="E3754">
        <v>579</v>
      </c>
      <c r="F3754" t="s">
        <v>138</v>
      </c>
    </row>
    <row r="3755" spans="1:6" x14ac:dyDescent="0.3">
      <c r="A3755" s="20">
        <v>45791</v>
      </c>
      <c r="B3755">
        <v>11</v>
      </c>
      <c r="C3755" t="s">
        <v>233</v>
      </c>
      <c r="D3755">
        <v>15485</v>
      </c>
      <c r="E3755">
        <v>2483</v>
      </c>
      <c r="F3755" t="s">
        <v>34</v>
      </c>
    </row>
    <row r="3756" spans="1:6" x14ac:dyDescent="0.3">
      <c r="A3756" s="20">
        <v>45791</v>
      </c>
      <c r="B3756">
        <v>11</v>
      </c>
      <c r="C3756" t="s">
        <v>238</v>
      </c>
      <c r="D3756">
        <v>8900</v>
      </c>
      <c r="E3756">
        <v>815</v>
      </c>
      <c r="F3756" t="s">
        <v>32</v>
      </c>
    </row>
    <row r="3757" spans="1:6" x14ac:dyDescent="0.3">
      <c r="A3757" s="20">
        <v>45791</v>
      </c>
      <c r="B3757">
        <v>11</v>
      </c>
      <c r="C3757" t="s">
        <v>261</v>
      </c>
      <c r="D3757">
        <v>12912</v>
      </c>
      <c r="E3757">
        <v>1255</v>
      </c>
      <c r="F3757" t="s">
        <v>31</v>
      </c>
    </row>
    <row r="3758" spans="1:6" x14ac:dyDescent="0.3">
      <c r="A3758" s="20">
        <v>45791</v>
      </c>
      <c r="B3758">
        <v>11</v>
      </c>
      <c r="C3758" t="s">
        <v>255</v>
      </c>
      <c r="D3758">
        <v>13256</v>
      </c>
      <c r="E3758">
        <v>1836</v>
      </c>
      <c r="F3758" t="s">
        <v>39</v>
      </c>
    </row>
    <row r="3759" spans="1:6" x14ac:dyDescent="0.3">
      <c r="A3759" s="20">
        <v>45791</v>
      </c>
      <c r="B3759">
        <v>11</v>
      </c>
      <c r="C3759" t="s">
        <v>256</v>
      </c>
      <c r="D3759">
        <v>10066</v>
      </c>
      <c r="E3759">
        <v>243</v>
      </c>
      <c r="F3759" t="s">
        <v>163</v>
      </c>
    </row>
    <row r="3760" spans="1:6" x14ac:dyDescent="0.3">
      <c r="A3760" s="20">
        <v>45791</v>
      </c>
      <c r="B3760">
        <v>11</v>
      </c>
      <c r="C3760" t="s">
        <v>250</v>
      </c>
      <c r="D3760">
        <v>343</v>
      </c>
      <c r="E3760">
        <v>82</v>
      </c>
      <c r="F3760" t="s">
        <v>257</v>
      </c>
    </row>
    <row r="3761" spans="1:6" x14ac:dyDescent="0.3">
      <c r="A3761" s="20">
        <v>45791</v>
      </c>
      <c r="B3761">
        <v>11</v>
      </c>
      <c r="C3761" t="s">
        <v>160</v>
      </c>
      <c r="D3761">
        <v>580</v>
      </c>
      <c r="E3761">
        <v>139</v>
      </c>
      <c r="F3761" t="s">
        <v>74</v>
      </c>
    </row>
    <row r="3762" spans="1:6" x14ac:dyDescent="0.3">
      <c r="A3762" s="20">
        <v>45791</v>
      </c>
      <c r="B3762">
        <v>11</v>
      </c>
      <c r="C3762" t="s">
        <v>37</v>
      </c>
      <c r="D3762">
        <v>82664</v>
      </c>
      <c r="E3762">
        <v>2400</v>
      </c>
      <c r="F3762" t="s">
        <v>38</v>
      </c>
    </row>
    <row r="3763" spans="1:6" x14ac:dyDescent="0.3">
      <c r="A3763" s="20">
        <v>45791</v>
      </c>
      <c r="B3763">
        <v>11</v>
      </c>
      <c r="C3763" t="s">
        <v>235</v>
      </c>
      <c r="D3763">
        <v>11343</v>
      </c>
      <c r="E3763">
        <v>1294</v>
      </c>
      <c r="F3763" t="s">
        <v>234</v>
      </c>
    </row>
    <row r="3764" spans="1:6" x14ac:dyDescent="0.3">
      <c r="A3764" s="20">
        <v>45791</v>
      </c>
      <c r="B3764">
        <v>12</v>
      </c>
      <c r="C3764" t="s">
        <v>73</v>
      </c>
      <c r="D3764">
        <v>0</v>
      </c>
      <c r="E3764">
        <v>0</v>
      </c>
      <c r="F3764" t="s">
        <v>39</v>
      </c>
    </row>
    <row r="3765" spans="1:6" x14ac:dyDescent="0.3">
      <c r="A3765" s="20">
        <v>45791</v>
      </c>
      <c r="B3765">
        <v>12</v>
      </c>
      <c r="C3765" t="s">
        <v>73</v>
      </c>
      <c r="D3765">
        <v>0</v>
      </c>
      <c r="E3765">
        <v>0</v>
      </c>
      <c r="F3765" t="s">
        <v>231</v>
      </c>
    </row>
    <row r="3766" spans="1:6" x14ac:dyDescent="0.3">
      <c r="A3766" s="20">
        <v>45791</v>
      </c>
      <c r="B3766">
        <v>12</v>
      </c>
      <c r="C3766" t="s">
        <v>73</v>
      </c>
      <c r="D3766">
        <v>0</v>
      </c>
      <c r="E3766">
        <v>0</v>
      </c>
      <c r="F3766" t="s">
        <v>46</v>
      </c>
    </row>
    <row r="3767" spans="1:6" x14ac:dyDescent="0.3">
      <c r="A3767" s="20">
        <v>45791</v>
      </c>
      <c r="B3767">
        <v>12</v>
      </c>
      <c r="C3767" t="s">
        <v>73</v>
      </c>
      <c r="D3767">
        <v>0</v>
      </c>
      <c r="E3767">
        <v>0</v>
      </c>
      <c r="F3767" t="s">
        <v>43</v>
      </c>
    </row>
    <row r="3768" spans="1:6" x14ac:dyDescent="0.3">
      <c r="A3768" s="20">
        <v>45791</v>
      </c>
      <c r="B3768">
        <v>12</v>
      </c>
      <c r="C3768" t="s">
        <v>156</v>
      </c>
      <c r="D3768">
        <v>10232</v>
      </c>
      <c r="E3768">
        <v>1574</v>
      </c>
      <c r="F3768" t="s">
        <v>45</v>
      </c>
    </row>
    <row r="3769" spans="1:6" x14ac:dyDescent="0.3">
      <c r="A3769" s="20">
        <v>45791</v>
      </c>
      <c r="B3769">
        <v>12</v>
      </c>
      <c r="C3769" t="s">
        <v>228</v>
      </c>
      <c r="D3769">
        <v>25277</v>
      </c>
      <c r="E3769">
        <v>3354</v>
      </c>
      <c r="F3769" t="s">
        <v>231</v>
      </c>
    </row>
    <row r="3770" spans="1:6" x14ac:dyDescent="0.3">
      <c r="A3770" s="20">
        <v>45791</v>
      </c>
      <c r="B3770">
        <v>12</v>
      </c>
      <c r="C3770" t="s">
        <v>159</v>
      </c>
      <c r="D3770">
        <v>38407</v>
      </c>
      <c r="E3770">
        <v>1344</v>
      </c>
      <c r="F3770" t="s">
        <v>31</v>
      </c>
    </row>
    <row r="3771" spans="1:6" x14ac:dyDescent="0.3">
      <c r="A3771" s="20">
        <v>45791</v>
      </c>
      <c r="B3771">
        <v>12</v>
      </c>
      <c r="C3771" t="s">
        <v>230</v>
      </c>
      <c r="D3771">
        <v>28264</v>
      </c>
      <c r="E3771">
        <v>2717</v>
      </c>
      <c r="F3771" t="s">
        <v>31</v>
      </c>
    </row>
    <row r="3772" spans="1:6" x14ac:dyDescent="0.3">
      <c r="A3772" s="20">
        <v>45791</v>
      </c>
      <c r="B3772">
        <v>12</v>
      </c>
      <c r="C3772" t="s">
        <v>52</v>
      </c>
      <c r="D3772">
        <v>53323</v>
      </c>
      <c r="E3772">
        <v>3040</v>
      </c>
      <c r="F3772" t="s">
        <v>31</v>
      </c>
    </row>
    <row r="3773" spans="1:6" x14ac:dyDescent="0.3">
      <c r="A3773" s="20">
        <v>45791</v>
      </c>
      <c r="B3773">
        <v>12</v>
      </c>
      <c r="C3773" t="s">
        <v>139</v>
      </c>
      <c r="D3773">
        <v>30096</v>
      </c>
      <c r="E3773">
        <v>809</v>
      </c>
      <c r="F3773" t="s">
        <v>46</v>
      </c>
    </row>
    <row r="3774" spans="1:6" x14ac:dyDescent="0.3">
      <c r="A3774" s="20">
        <v>45791</v>
      </c>
      <c r="B3774">
        <v>12</v>
      </c>
      <c r="C3774" t="s">
        <v>152</v>
      </c>
      <c r="D3774">
        <v>194</v>
      </c>
      <c r="E3774">
        <v>23</v>
      </c>
      <c r="F3774" t="s">
        <v>72</v>
      </c>
    </row>
    <row r="3775" spans="1:6" x14ac:dyDescent="0.3">
      <c r="A3775" s="20">
        <v>45791</v>
      </c>
      <c r="B3775">
        <v>12</v>
      </c>
      <c r="C3775" t="s">
        <v>71</v>
      </c>
      <c r="D3775">
        <v>3434</v>
      </c>
      <c r="E3775">
        <v>335</v>
      </c>
      <c r="F3775" t="s">
        <v>32</v>
      </c>
    </row>
    <row r="3776" spans="1:6" x14ac:dyDescent="0.3">
      <c r="A3776" s="20">
        <v>45791</v>
      </c>
      <c r="B3776">
        <v>12</v>
      </c>
      <c r="C3776" t="s">
        <v>71</v>
      </c>
      <c r="D3776">
        <v>21590</v>
      </c>
      <c r="E3776">
        <v>2540</v>
      </c>
      <c r="F3776" t="s">
        <v>164</v>
      </c>
    </row>
    <row r="3777" spans="1:6" x14ac:dyDescent="0.3">
      <c r="A3777" s="20">
        <v>45791</v>
      </c>
      <c r="B3777">
        <v>12</v>
      </c>
      <c r="C3777" t="s">
        <v>233</v>
      </c>
      <c r="D3777">
        <v>3247</v>
      </c>
      <c r="E3777">
        <v>560</v>
      </c>
      <c r="F3777" t="s">
        <v>85</v>
      </c>
    </row>
    <row r="3778" spans="1:6" x14ac:dyDescent="0.3">
      <c r="A3778" s="20">
        <v>45791</v>
      </c>
      <c r="B3778">
        <v>12</v>
      </c>
      <c r="C3778" t="s">
        <v>155</v>
      </c>
      <c r="D3778">
        <v>15</v>
      </c>
      <c r="E3778">
        <v>3</v>
      </c>
      <c r="F3778" t="s">
        <v>32</v>
      </c>
    </row>
    <row r="3779" spans="1:6" x14ac:dyDescent="0.3">
      <c r="A3779" s="20">
        <v>45791</v>
      </c>
      <c r="B3779">
        <v>12</v>
      </c>
      <c r="C3779" t="s">
        <v>160</v>
      </c>
      <c r="D3779">
        <v>4805</v>
      </c>
      <c r="E3779">
        <v>334</v>
      </c>
      <c r="F3779" t="s">
        <v>234</v>
      </c>
    </row>
    <row r="3780" spans="1:6" x14ac:dyDescent="0.3">
      <c r="A3780" s="20">
        <v>45791</v>
      </c>
      <c r="B3780">
        <v>12</v>
      </c>
      <c r="C3780" t="s">
        <v>125</v>
      </c>
      <c r="D3780">
        <v>108675</v>
      </c>
      <c r="E3780">
        <v>5819</v>
      </c>
      <c r="F3780" t="s">
        <v>38</v>
      </c>
    </row>
    <row r="3781" spans="1:6" x14ac:dyDescent="0.3">
      <c r="A3781" s="20">
        <v>45791</v>
      </c>
      <c r="B3781">
        <v>12</v>
      </c>
      <c r="C3781" t="s">
        <v>40</v>
      </c>
      <c r="D3781">
        <v>98298</v>
      </c>
      <c r="E3781">
        <v>6054</v>
      </c>
      <c r="F3781" t="s">
        <v>38</v>
      </c>
    </row>
    <row r="3782" spans="1:6" x14ac:dyDescent="0.3">
      <c r="A3782" s="20">
        <v>45791</v>
      </c>
      <c r="B3782">
        <v>12</v>
      </c>
      <c r="C3782" t="s">
        <v>253</v>
      </c>
      <c r="D3782">
        <v>1071</v>
      </c>
      <c r="E3782">
        <v>228</v>
      </c>
      <c r="F3782" t="s">
        <v>47</v>
      </c>
    </row>
    <row r="3783" spans="1:6" x14ac:dyDescent="0.3">
      <c r="A3783" s="20">
        <v>45791</v>
      </c>
      <c r="B3783">
        <v>12</v>
      </c>
      <c r="C3783" t="s">
        <v>253</v>
      </c>
      <c r="D3783">
        <v>4656</v>
      </c>
      <c r="E3783">
        <v>285</v>
      </c>
      <c r="F3783" t="s">
        <v>44</v>
      </c>
    </row>
    <row r="3784" spans="1:6" x14ac:dyDescent="0.3">
      <c r="A3784" s="20">
        <v>45791</v>
      </c>
      <c r="B3784">
        <v>12</v>
      </c>
      <c r="C3784" t="s">
        <v>235</v>
      </c>
      <c r="D3784">
        <v>8432</v>
      </c>
      <c r="E3784">
        <v>852</v>
      </c>
      <c r="F3784" t="s">
        <v>229</v>
      </c>
    </row>
    <row r="3785" spans="1:6" x14ac:dyDescent="0.3">
      <c r="A3785" s="20">
        <v>45791</v>
      </c>
      <c r="B3785">
        <v>13</v>
      </c>
      <c r="C3785" t="s">
        <v>73</v>
      </c>
      <c r="D3785">
        <v>15</v>
      </c>
      <c r="E3785">
        <v>15</v>
      </c>
      <c r="F3785" t="s">
        <v>31</v>
      </c>
    </row>
    <row r="3786" spans="1:6" x14ac:dyDescent="0.3">
      <c r="A3786" s="20">
        <v>45791</v>
      </c>
      <c r="B3786">
        <v>13</v>
      </c>
      <c r="C3786" t="s">
        <v>73</v>
      </c>
      <c r="D3786">
        <v>0</v>
      </c>
      <c r="E3786">
        <v>0</v>
      </c>
      <c r="F3786" t="s">
        <v>161</v>
      </c>
    </row>
    <row r="3787" spans="1:6" x14ac:dyDescent="0.3">
      <c r="A3787" s="20">
        <v>45791</v>
      </c>
      <c r="B3787">
        <v>13</v>
      </c>
      <c r="C3787" t="s">
        <v>73</v>
      </c>
      <c r="D3787">
        <v>0</v>
      </c>
      <c r="E3787">
        <v>0</v>
      </c>
      <c r="F3787" t="s">
        <v>72</v>
      </c>
    </row>
    <row r="3788" spans="1:6" x14ac:dyDescent="0.3">
      <c r="A3788" s="20">
        <v>45791</v>
      </c>
      <c r="B3788">
        <v>13</v>
      </c>
      <c r="C3788" t="s">
        <v>153</v>
      </c>
      <c r="D3788">
        <v>7662</v>
      </c>
      <c r="E3788">
        <v>285</v>
      </c>
      <c r="F3788" t="s">
        <v>248</v>
      </c>
    </row>
    <row r="3789" spans="1:6" x14ac:dyDescent="0.3">
      <c r="A3789" s="20">
        <v>45791</v>
      </c>
      <c r="B3789">
        <v>13</v>
      </c>
      <c r="C3789" t="s">
        <v>156</v>
      </c>
      <c r="D3789">
        <v>9284</v>
      </c>
      <c r="E3789">
        <v>870</v>
      </c>
      <c r="F3789" t="s">
        <v>229</v>
      </c>
    </row>
    <row r="3790" spans="1:6" x14ac:dyDescent="0.3">
      <c r="A3790" s="20">
        <v>45791</v>
      </c>
      <c r="B3790">
        <v>13</v>
      </c>
      <c r="C3790" t="s">
        <v>156</v>
      </c>
      <c r="D3790">
        <v>17090</v>
      </c>
      <c r="E3790">
        <v>2249</v>
      </c>
      <c r="F3790" t="s">
        <v>75</v>
      </c>
    </row>
    <row r="3791" spans="1:6" x14ac:dyDescent="0.3">
      <c r="A3791" s="20">
        <v>45791</v>
      </c>
      <c r="B3791">
        <v>13</v>
      </c>
      <c r="C3791" t="s">
        <v>66</v>
      </c>
      <c r="D3791">
        <v>45832</v>
      </c>
      <c r="E3791">
        <v>3560</v>
      </c>
      <c r="F3791" t="s">
        <v>31</v>
      </c>
    </row>
    <row r="3792" spans="1:6" x14ac:dyDescent="0.3">
      <c r="A3792" s="20">
        <v>45791</v>
      </c>
      <c r="B3792">
        <v>13</v>
      </c>
      <c r="C3792" t="s">
        <v>53</v>
      </c>
      <c r="D3792">
        <v>2884</v>
      </c>
      <c r="E3792">
        <v>89</v>
      </c>
      <c r="F3792" t="s">
        <v>31</v>
      </c>
    </row>
    <row r="3793" spans="1:6" x14ac:dyDescent="0.3">
      <c r="A3793" s="20">
        <v>45791</v>
      </c>
      <c r="B3793">
        <v>13</v>
      </c>
      <c r="C3793" t="s">
        <v>247</v>
      </c>
      <c r="D3793">
        <v>5409</v>
      </c>
      <c r="E3793">
        <v>419</v>
      </c>
      <c r="F3793" t="s">
        <v>31</v>
      </c>
    </row>
    <row r="3794" spans="1:6" x14ac:dyDescent="0.3">
      <c r="A3794" s="20">
        <v>45791</v>
      </c>
      <c r="B3794">
        <v>13</v>
      </c>
      <c r="C3794" t="s">
        <v>152</v>
      </c>
      <c r="D3794">
        <v>5679</v>
      </c>
      <c r="E3794">
        <v>862</v>
      </c>
      <c r="F3794" t="s">
        <v>252</v>
      </c>
    </row>
    <row r="3795" spans="1:6" x14ac:dyDescent="0.3">
      <c r="A3795" s="20">
        <v>45791</v>
      </c>
      <c r="B3795">
        <v>13</v>
      </c>
      <c r="C3795" t="s">
        <v>232</v>
      </c>
      <c r="D3795">
        <v>19505</v>
      </c>
      <c r="E3795">
        <v>3202</v>
      </c>
      <c r="F3795" t="s">
        <v>229</v>
      </c>
    </row>
    <row r="3796" spans="1:6" x14ac:dyDescent="0.3">
      <c r="A3796" s="20">
        <v>45791</v>
      </c>
      <c r="B3796">
        <v>13</v>
      </c>
      <c r="C3796" t="s">
        <v>238</v>
      </c>
      <c r="D3796">
        <v>4941</v>
      </c>
      <c r="E3796">
        <v>385</v>
      </c>
      <c r="F3796" t="s">
        <v>47</v>
      </c>
    </row>
    <row r="3797" spans="1:6" x14ac:dyDescent="0.3">
      <c r="A3797" s="20">
        <v>45791</v>
      </c>
      <c r="B3797">
        <v>13</v>
      </c>
      <c r="C3797" t="s">
        <v>250</v>
      </c>
      <c r="D3797">
        <v>218</v>
      </c>
      <c r="E3797">
        <v>43</v>
      </c>
      <c r="F3797" t="s">
        <v>34</v>
      </c>
    </row>
    <row r="3798" spans="1:6" x14ac:dyDescent="0.3">
      <c r="A3798" s="20">
        <v>45791</v>
      </c>
      <c r="B3798">
        <v>13</v>
      </c>
      <c r="C3798" t="s">
        <v>250</v>
      </c>
      <c r="D3798">
        <v>5</v>
      </c>
      <c r="E3798">
        <v>1</v>
      </c>
      <c r="F3798" t="s">
        <v>74</v>
      </c>
    </row>
    <row r="3799" spans="1:6" x14ac:dyDescent="0.3">
      <c r="A3799" s="20">
        <v>45791</v>
      </c>
      <c r="B3799">
        <v>13</v>
      </c>
      <c r="C3799" t="s">
        <v>250</v>
      </c>
      <c r="D3799">
        <v>958</v>
      </c>
      <c r="E3799">
        <v>79</v>
      </c>
      <c r="F3799" t="s">
        <v>75</v>
      </c>
    </row>
    <row r="3800" spans="1:6" x14ac:dyDescent="0.3">
      <c r="A3800" s="20">
        <v>45791</v>
      </c>
      <c r="B3800">
        <v>13</v>
      </c>
      <c r="C3800" t="s">
        <v>160</v>
      </c>
      <c r="D3800">
        <v>4251</v>
      </c>
      <c r="E3800">
        <v>673</v>
      </c>
      <c r="F3800" t="s">
        <v>229</v>
      </c>
    </row>
    <row r="3801" spans="1:6" x14ac:dyDescent="0.3">
      <c r="A3801" s="20">
        <v>45791</v>
      </c>
      <c r="B3801">
        <v>14</v>
      </c>
      <c r="C3801" t="s">
        <v>239</v>
      </c>
      <c r="D3801">
        <v>74902</v>
      </c>
      <c r="E3801">
        <v>5007</v>
      </c>
      <c r="F3801" t="s">
        <v>31</v>
      </c>
    </row>
    <row r="3802" spans="1:6" x14ac:dyDescent="0.3">
      <c r="A3802" s="20">
        <v>45791</v>
      </c>
      <c r="B3802">
        <v>14</v>
      </c>
      <c r="C3802" t="s">
        <v>236</v>
      </c>
      <c r="D3802">
        <v>34234</v>
      </c>
      <c r="E3802">
        <v>3160</v>
      </c>
      <c r="F3802" t="s">
        <v>31</v>
      </c>
    </row>
    <row r="3803" spans="1:6" x14ac:dyDescent="0.3">
      <c r="A3803" s="20">
        <v>45791</v>
      </c>
      <c r="B3803">
        <v>14</v>
      </c>
      <c r="C3803" t="s">
        <v>35</v>
      </c>
      <c r="D3803">
        <v>85</v>
      </c>
      <c r="E3803">
        <v>11</v>
      </c>
      <c r="F3803" t="s">
        <v>42</v>
      </c>
    </row>
    <row r="3804" spans="1:6" x14ac:dyDescent="0.3">
      <c r="A3804" s="20">
        <v>45791</v>
      </c>
      <c r="B3804">
        <v>14</v>
      </c>
      <c r="C3804" t="s">
        <v>237</v>
      </c>
      <c r="D3804">
        <v>43819</v>
      </c>
      <c r="E3804">
        <v>3618</v>
      </c>
      <c r="F3804" t="s">
        <v>31</v>
      </c>
    </row>
    <row r="3805" spans="1:6" x14ac:dyDescent="0.3">
      <c r="A3805" s="20">
        <v>45791</v>
      </c>
      <c r="B3805">
        <v>14</v>
      </c>
      <c r="C3805" t="s">
        <v>50</v>
      </c>
      <c r="D3805">
        <v>515</v>
      </c>
      <c r="E3805">
        <v>96</v>
      </c>
      <c r="F3805" t="s">
        <v>31</v>
      </c>
    </row>
    <row r="3806" spans="1:6" x14ac:dyDescent="0.3">
      <c r="A3806" s="20">
        <v>45791</v>
      </c>
      <c r="B3806">
        <v>14</v>
      </c>
      <c r="C3806" t="s">
        <v>238</v>
      </c>
      <c r="D3806">
        <v>6459</v>
      </c>
      <c r="E3806">
        <v>584</v>
      </c>
      <c r="F3806" t="s">
        <v>32</v>
      </c>
    </row>
    <row r="3807" spans="1:6" x14ac:dyDescent="0.3">
      <c r="A3807" s="20">
        <v>45791</v>
      </c>
      <c r="B3807">
        <v>14</v>
      </c>
      <c r="C3807" t="s">
        <v>261</v>
      </c>
      <c r="D3807">
        <v>13063</v>
      </c>
      <c r="E3807">
        <v>984</v>
      </c>
      <c r="F3807" t="s">
        <v>31</v>
      </c>
    </row>
    <row r="3808" spans="1:6" x14ac:dyDescent="0.3">
      <c r="A3808" s="20">
        <v>45791</v>
      </c>
      <c r="B3808">
        <v>14</v>
      </c>
      <c r="C3808" t="s">
        <v>255</v>
      </c>
      <c r="D3808">
        <v>7040</v>
      </c>
      <c r="E3808">
        <v>1046</v>
      </c>
      <c r="F3808" t="s">
        <v>39</v>
      </c>
    </row>
    <row r="3809" spans="1:6" x14ac:dyDescent="0.3">
      <c r="A3809" s="20">
        <v>45791</v>
      </c>
      <c r="B3809">
        <v>14</v>
      </c>
      <c r="C3809" t="s">
        <v>256</v>
      </c>
      <c r="D3809">
        <v>13628</v>
      </c>
      <c r="E3809">
        <v>163</v>
      </c>
      <c r="F3809" t="s">
        <v>163</v>
      </c>
    </row>
    <row r="3810" spans="1:6" x14ac:dyDescent="0.3">
      <c r="A3810" s="20">
        <v>45791</v>
      </c>
      <c r="B3810">
        <v>14</v>
      </c>
      <c r="C3810" t="s">
        <v>250</v>
      </c>
      <c r="D3810">
        <v>134</v>
      </c>
      <c r="E3810">
        <v>32</v>
      </c>
      <c r="F3810" t="s">
        <v>85</v>
      </c>
    </row>
    <row r="3811" spans="1:6" x14ac:dyDescent="0.3">
      <c r="A3811" s="20">
        <v>45791</v>
      </c>
      <c r="B3811">
        <v>14</v>
      </c>
      <c r="C3811" t="s">
        <v>250</v>
      </c>
      <c r="D3811">
        <v>212</v>
      </c>
      <c r="E3811">
        <v>40</v>
      </c>
      <c r="F3811" t="s">
        <v>257</v>
      </c>
    </row>
    <row r="3812" spans="1:6" x14ac:dyDescent="0.3">
      <c r="A3812" s="20">
        <v>45791</v>
      </c>
      <c r="B3812">
        <v>14</v>
      </c>
      <c r="C3812" t="s">
        <v>160</v>
      </c>
      <c r="D3812">
        <v>592</v>
      </c>
      <c r="E3812">
        <v>95</v>
      </c>
      <c r="F3812" t="s">
        <v>74</v>
      </c>
    </row>
    <row r="3813" spans="1:6" x14ac:dyDescent="0.3">
      <c r="A3813" s="20">
        <v>45791</v>
      </c>
      <c r="B3813">
        <v>14</v>
      </c>
      <c r="C3813" t="s">
        <v>124</v>
      </c>
      <c r="D3813">
        <v>96579</v>
      </c>
      <c r="E3813">
        <v>4326</v>
      </c>
      <c r="F3813" t="s">
        <v>38</v>
      </c>
    </row>
    <row r="3814" spans="1:6" x14ac:dyDescent="0.3">
      <c r="A3814" s="20">
        <v>45791</v>
      </c>
      <c r="B3814">
        <v>14</v>
      </c>
      <c r="C3814" t="s">
        <v>165</v>
      </c>
      <c r="D3814">
        <v>6</v>
      </c>
      <c r="E3814">
        <v>6</v>
      </c>
      <c r="F3814" t="s">
        <v>38</v>
      </c>
    </row>
    <row r="3815" spans="1:6" x14ac:dyDescent="0.3">
      <c r="A3815" s="20">
        <v>45791</v>
      </c>
      <c r="B3815">
        <v>14</v>
      </c>
      <c r="C3815" t="s">
        <v>235</v>
      </c>
      <c r="D3815">
        <v>9880</v>
      </c>
      <c r="E3815">
        <v>979</v>
      </c>
      <c r="F3815" t="s">
        <v>234</v>
      </c>
    </row>
    <row r="3816" spans="1:6" x14ac:dyDescent="0.3">
      <c r="A3816" s="20">
        <v>45791</v>
      </c>
      <c r="B3816">
        <v>15</v>
      </c>
      <c r="C3816" t="s">
        <v>73</v>
      </c>
      <c r="D3816">
        <v>0</v>
      </c>
      <c r="E3816">
        <v>0</v>
      </c>
      <c r="F3816" t="s">
        <v>39</v>
      </c>
    </row>
    <row r="3817" spans="1:6" x14ac:dyDescent="0.3">
      <c r="A3817" s="20">
        <v>45791</v>
      </c>
      <c r="B3817">
        <v>15</v>
      </c>
      <c r="C3817" t="s">
        <v>73</v>
      </c>
      <c r="D3817">
        <v>0</v>
      </c>
      <c r="E3817">
        <v>0</v>
      </c>
      <c r="F3817" t="s">
        <v>231</v>
      </c>
    </row>
    <row r="3818" spans="1:6" x14ac:dyDescent="0.3">
      <c r="A3818" s="20">
        <v>45791</v>
      </c>
      <c r="B3818">
        <v>15</v>
      </c>
      <c r="C3818" t="s">
        <v>73</v>
      </c>
      <c r="D3818">
        <v>0</v>
      </c>
      <c r="E3818">
        <v>0</v>
      </c>
      <c r="F3818" t="s">
        <v>46</v>
      </c>
    </row>
    <row r="3819" spans="1:6" x14ac:dyDescent="0.3">
      <c r="A3819" s="20">
        <v>45791</v>
      </c>
      <c r="B3819">
        <v>15</v>
      </c>
      <c r="C3819" t="s">
        <v>73</v>
      </c>
      <c r="D3819">
        <v>0</v>
      </c>
      <c r="E3819">
        <v>0</v>
      </c>
      <c r="F3819" t="s">
        <v>43</v>
      </c>
    </row>
    <row r="3820" spans="1:6" x14ac:dyDescent="0.3">
      <c r="A3820" s="20">
        <v>45791</v>
      </c>
      <c r="B3820">
        <v>15</v>
      </c>
      <c r="C3820" t="s">
        <v>156</v>
      </c>
      <c r="D3820">
        <v>1383</v>
      </c>
      <c r="E3820">
        <v>159</v>
      </c>
      <c r="F3820" t="s">
        <v>45</v>
      </c>
    </row>
    <row r="3821" spans="1:6" x14ac:dyDescent="0.3">
      <c r="A3821" s="20">
        <v>45791</v>
      </c>
      <c r="B3821">
        <v>15</v>
      </c>
      <c r="C3821" t="s">
        <v>228</v>
      </c>
      <c r="D3821">
        <v>3410</v>
      </c>
      <c r="E3821">
        <v>310</v>
      </c>
      <c r="F3821" t="s">
        <v>231</v>
      </c>
    </row>
    <row r="3822" spans="1:6" x14ac:dyDescent="0.3">
      <c r="A3822" s="20">
        <v>45791</v>
      </c>
      <c r="B3822">
        <v>15</v>
      </c>
      <c r="C3822" t="s">
        <v>159</v>
      </c>
      <c r="D3822">
        <v>2775</v>
      </c>
      <c r="E3822">
        <v>62</v>
      </c>
      <c r="F3822" t="s">
        <v>31</v>
      </c>
    </row>
    <row r="3823" spans="1:6" x14ac:dyDescent="0.3">
      <c r="A3823" s="20">
        <v>45791</v>
      </c>
      <c r="B3823">
        <v>15</v>
      </c>
      <c r="C3823" t="s">
        <v>230</v>
      </c>
      <c r="D3823">
        <v>956</v>
      </c>
      <c r="E3823">
        <v>60</v>
      </c>
      <c r="F3823" t="s">
        <v>31</v>
      </c>
    </row>
    <row r="3824" spans="1:6" x14ac:dyDescent="0.3">
      <c r="A3824" s="20">
        <v>45791</v>
      </c>
      <c r="B3824">
        <v>15</v>
      </c>
      <c r="C3824" t="s">
        <v>52</v>
      </c>
      <c r="D3824">
        <v>834</v>
      </c>
      <c r="E3824">
        <v>48</v>
      </c>
      <c r="F3824" t="s">
        <v>31</v>
      </c>
    </row>
    <row r="3825" spans="1:6" x14ac:dyDescent="0.3">
      <c r="A3825" s="20">
        <v>45791</v>
      </c>
      <c r="B3825">
        <v>15</v>
      </c>
      <c r="C3825" t="s">
        <v>48</v>
      </c>
      <c r="D3825">
        <v>392</v>
      </c>
      <c r="E3825">
        <v>8</v>
      </c>
      <c r="F3825" t="s">
        <v>42</v>
      </c>
    </row>
    <row r="3826" spans="1:6" x14ac:dyDescent="0.3">
      <c r="A3826" s="20">
        <v>45791</v>
      </c>
      <c r="B3826">
        <v>15</v>
      </c>
      <c r="C3826" t="s">
        <v>139</v>
      </c>
      <c r="D3826">
        <v>3120</v>
      </c>
      <c r="E3826">
        <v>89</v>
      </c>
      <c r="F3826" t="s">
        <v>46</v>
      </c>
    </row>
    <row r="3827" spans="1:6" x14ac:dyDescent="0.3">
      <c r="A3827" s="20">
        <v>45791</v>
      </c>
      <c r="B3827">
        <v>15</v>
      </c>
      <c r="C3827" t="s">
        <v>152</v>
      </c>
      <c r="D3827">
        <v>5</v>
      </c>
      <c r="E3827">
        <v>1</v>
      </c>
      <c r="F3827" t="s">
        <v>72</v>
      </c>
    </row>
    <row r="3828" spans="1:6" x14ac:dyDescent="0.3">
      <c r="A3828" s="20">
        <v>45791</v>
      </c>
      <c r="B3828">
        <v>15</v>
      </c>
      <c r="C3828" t="s">
        <v>233</v>
      </c>
      <c r="D3828">
        <v>422</v>
      </c>
      <c r="E3828">
        <v>95</v>
      </c>
      <c r="F3828" t="s">
        <v>85</v>
      </c>
    </row>
    <row r="3829" spans="1:6" x14ac:dyDescent="0.3">
      <c r="A3829" s="20">
        <v>45791</v>
      </c>
      <c r="B3829">
        <v>15</v>
      </c>
      <c r="C3829" t="s">
        <v>233</v>
      </c>
      <c r="D3829">
        <v>1110</v>
      </c>
      <c r="E3829">
        <v>120</v>
      </c>
      <c r="F3829" t="s">
        <v>43</v>
      </c>
    </row>
    <row r="3830" spans="1:6" x14ac:dyDescent="0.3">
      <c r="A3830" s="20">
        <v>45791</v>
      </c>
      <c r="B3830">
        <v>15</v>
      </c>
      <c r="C3830" t="s">
        <v>40</v>
      </c>
      <c r="D3830">
        <v>6002</v>
      </c>
      <c r="E3830">
        <v>372</v>
      </c>
      <c r="F3830" t="s">
        <v>38</v>
      </c>
    </row>
    <row r="3831" spans="1:6" x14ac:dyDescent="0.3">
      <c r="A3831" s="20">
        <v>45791</v>
      </c>
      <c r="B3831">
        <v>15</v>
      </c>
      <c r="C3831" t="s">
        <v>76</v>
      </c>
      <c r="D3831">
        <v>8411</v>
      </c>
      <c r="E3831">
        <v>469</v>
      </c>
      <c r="F3831" t="s">
        <v>38</v>
      </c>
    </row>
    <row r="3832" spans="1:6" x14ac:dyDescent="0.3">
      <c r="A3832" s="20">
        <v>45791</v>
      </c>
      <c r="B3832">
        <v>15</v>
      </c>
      <c r="C3832" t="s">
        <v>81</v>
      </c>
      <c r="D3832">
        <v>3625</v>
      </c>
      <c r="E3832">
        <v>166</v>
      </c>
      <c r="F3832" t="s">
        <v>38</v>
      </c>
    </row>
    <row r="3833" spans="1:6" x14ac:dyDescent="0.3">
      <c r="A3833" s="20">
        <v>45791</v>
      </c>
      <c r="B3833">
        <v>15</v>
      </c>
      <c r="C3833" t="s">
        <v>253</v>
      </c>
      <c r="D3833">
        <v>63</v>
      </c>
      <c r="E3833">
        <v>17</v>
      </c>
      <c r="F3833" t="s">
        <v>47</v>
      </c>
    </row>
    <row r="3834" spans="1:6" x14ac:dyDescent="0.3">
      <c r="A3834" s="20">
        <v>45791</v>
      </c>
      <c r="B3834">
        <v>15</v>
      </c>
      <c r="C3834" t="s">
        <v>235</v>
      </c>
      <c r="D3834">
        <v>578</v>
      </c>
      <c r="E3834">
        <v>44</v>
      </c>
      <c r="F3834" t="s">
        <v>229</v>
      </c>
    </row>
    <row r="3835" spans="1:6" x14ac:dyDescent="0.3">
      <c r="A3835" s="20">
        <v>45791</v>
      </c>
      <c r="B3835">
        <v>8</v>
      </c>
      <c r="C3835" t="s">
        <v>158</v>
      </c>
      <c r="D3835">
        <v>9783</v>
      </c>
      <c r="E3835">
        <v>198</v>
      </c>
      <c r="F3835" t="s">
        <v>42</v>
      </c>
    </row>
    <row r="3836" spans="1:6" x14ac:dyDescent="0.3">
      <c r="A3836" s="20">
        <v>45791</v>
      </c>
      <c r="B3836">
        <v>8</v>
      </c>
      <c r="C3836" t="s">
        <v>48</v>
      </c>
      <c r="D3836">
        <v>55781</v>
      </c>
      <c r="E3836">
        <v>3979</v>
      </c>
      <c r="F3836" t="s">
        <v>31</v>
      </c>
    </row>
    <row r="3837" spans="1:6" x14ac:dyDescent="0.3">
      <c r="A3837" s="20">
        <v>45791</v>
      </c>
      <c r="B3837">
        <v>8</v>
      </c>
      <c r="C3837" t="s">
        <v>236</v>
      </c>
      <c r="D3837">
        <v>72582</v>
      </c>
      <c r="E3837">
        <v>6724</v>
      </c>
      <c r="F3837" t="s">
        <v>31</v>
      </c>
    </row>
    <row r="3838" spans="1:6" x14ac:dyDescent="0.3">
      <c r="A3838" s="20">
        <v>45791</v>
      </c>
      <c r="B3838">
        <v>8</v>
      </c>
      <c r="C3838" t="s">
        <v>41</v>
      </c>
      <c r="D3838">
        <v>4642</v>
      </c>
      <c r="E3838">
        <v>276</v>
      </c>
      <c r="F3838" t="s">
        <v>31</v>
      </c>
    </row>
    <row r="3839" spans="1:6" x14ac:dyDescent="0.3">
      <c r="A3839" s="20">
        <v>45791</v>
      </c>
      <c r="B3839">
        <v>8</v>
      </c>
      <c r="C3839" t="s">
        <v>54</v>
      </c>
      <c r="D3839">
        <v>345</v>
      </c>
      <c r="E3839">
        <v>96</v>
      </c>
      <c r="F3839" t="s">
        <v>31</v>
      </c>
    </row>
    <row r="3840" spans="1:6" x14ac:dyDescent="0.3">
      <c r="A3840" s="20">
        <v>45791</v>
      </c>
      <c r="B3840">
        <v>8</v>
      </c>
      <c r="C3840" t="s">
        <v>237</v>
      </c>
      <c r="D3840">
        <v>49726</v>
      </c>
      <c r="E3840">
        <v>5324</v>
      </c>
      <c r="F3840" t="s">
        <v>31</v>
      </c>
    </row>
    <row r="3841" spans="1:6" x14ac:dyDescent="0.3">
      <c r="A3841" s="20">
        <v>45791</v>
      </c>
      <c r="B3841">
        <v>8</v>
      </c>
      <c r="C3841" t="s">
        <v>49</v>
      </c>
      <c r="D3841">
        <v>2689</v>
      </c>
      <c r="E3841">
        <v>193</v>
      </c>
      <c r="F3841" t="s">
        <v>42</v>
      </c>
    </row>
    <row r="3842" spans="1:6" x14ac:dyDescent="0.3">
      <c r="A3842" s="20">
        <v>45791</v>
      </c>
      <c r="B3842">
        <v>8</v>
      </c>
      <c r="C3842" t="s">
        <v>245</v>
      </c>
      <c r="D3842">
        <v>45397</v>
      </c>
      <c r="E3842">
        <v>6350</v>
      </c>
      <c r="F3842" t="s">
        <v>31</v>
      </c>
    </row>
    <row r="3843" spans="1:6" x14ac:dyDescent="0.3">
      <c r="A3843" s="20">
        <v>45791</v>
      </c>
      <c r="B3843">
        <v>8</v>
      </c>
      <c r="C3843" t="s">
        <v>160</v>
      </c>
      <c r="D3843">
        <v>214</v>
      </c>
      <c r="E3843">
        <v>45</v>
      </c>
      <c r="F3843" t="s">
        <v>32</v>
      </c>
    </row>
    <row r="3844" spans="1:6" x14ac:dyDescent="0.3">
      <c r="A3844" s="20">
        <v>45791</v>
      </c>
      <c r="B3844">
        <v>8</v>
      </c>
      <c r="C3844" t="s">
        <v>160</v>
      </c>
      <c r="D3844">
        <v>9</v>
      </c>
      <c r="E3844">
        <v>2</v>
      </c>
      <c r="F3844" t="s">
        <v>138</v>
      </c>
    </row>
    <row r="3845" spans="1:6" x14ac:dyDescent="0.3">
      <c r="A3845" s="20">
        <v>45791</v>
      </c>
      <c r="B3845">
        <v>8</v>
      </c>
      <c r="C3845" t="s">
        <v>162</v>
      </c>
      <c r="D3845">
        <v>8686</v>
      </c>
      <c r="E3845">
        <v>960</v>
      </c>
      <c r="F3845" t="s">
        <v>47</v>
      </c>
    </row>
    <row r="3846" spans="1:6" x14ac:dyDescent="0.3">
      <c r="A3846" s="20">
        <v>45791</v>
      </c>
      <c r="B3846">
        <v>8</v>
      </c>
      <c r="C3846" t="s">
        <v>124</v>
      </c>
      <c r="D3846">
        <v>77950</v>
      </c>
      <c r="E3846">
        <v>5432</v>
      </c>
      <c r="F3846" t="s">
        <v>38</v>
      </c>
    </row>
    <row r="3847" spans="1:6" x14ac:dyDescent="0.3">
      <c r="A3847" s="20">
        <v>45791</v>
      </c>
      <c r="B3847">
        <v>8</v>
      </c>
      <c r="C3847" t="s">
        <v>55</v>
      </c>
      <c r="D3847">
        <v>93603</v>
      </c>
      <c r="E3847">
        <v>5087</v>
      </c>
      <c r="F3847" t="s">
        <v>38</v>
      </c>
    </row>
    <row r="3848" spans="1:6" x14ac:dyDescent="0.3">
      <c r="A3848" s="20">
        <v>45791</v>
      </c>
      <c r="B3848">
        <v>9</v>
      </c>
      <c r="C3848" t="s">
        <v>73</v>
      </c>
      <c r="D3848">
        <v>0</v>
      </c>
      <c r="E3848">
        <v>0</v>
      </c>
      <c r="F3848" t="s">
        <v>234</v>
      </c>
    </row>
    <row r="3849" spans="1:6" x14ac:dyDescent="0.3">
      <c r="A3849" s="20">
        <v>45791</v>
      </c>
      <c r="B3849">
        <v>9</v>
      </c>
      <c r="C3849" t="s">
        <v>73</v>
      </c>
      <c r="D3849">
        <v>0</v>
      </c>
      <c r="E3849">
        <v>0</v>
      </c>
      <c r="F3849" t="s">
        <v>45</v>
      </c>
    </row>
    <row r="3850" spans="1:6" x14ac:dyDescent="0.3">
      <c r="A3850" s="20">
        <v>45791</v>
      </c>
      <c r="B3850">
        <v>9</v>
      </c>
      <c r="C3850" t="s">
        <v>228</v>
      </c>
      <c r="D3850">
        <v>16999</v>
      </c>
      <c r="E3850">
        <v>2697</v>
      </c>
      <c r="F3850" t="s">
        <v>231</v>
      </c>
    </row>
    <row r="3851" spans="1:6" x14ac:dyDescent="0.3">
      <c r="A3851" s="20">
        <v>45791</v>
      </c>
      <c r="B3851">
        <v>9</v>
      </c>
      <c r="C3851" t="s">
        <v>159</v>
      </c>
      <c r="D3851">
        <v>37804</v>
      </c>
      <c r="E3851">
        <v>1344</v>
      </c>
      <c r="F3851" t="s">
        <v>31</v>
      </c>
    </row>
    <row r="3852" spans="1:6" x14ac:dyDescent="0.3">
      <c r="A3852" s="20">
        <v>45791</v>
      </c>
      <c r="B3852">
        <v>9</v>
      </c>
      <c r="C3852" t="s">
        <v>249</v>
      </c>
      <c r="D3852">
        <v>32000</v>
      </c>
      <c r="E3852">
        <v>1569</v>
      </c>
      <c r="F3852" t="s">
        <v>31</v>
      </c>
    </row>
    <row r="3853" spans="1:6" x14ac:dyDescent="0.3">
      <c r="A3853" s="20">
        <v>45791</v>
      </c>
      <c r="B3853">
        <v>9</v>
      </c>
      <c r="C3853" t="s">
        <v>242</v>
      </c>
      <c r="D3853">
        <v>44394</v>
      </c>
      <c r="E3853">
        <v>5558</v>
      </c>
      <c r="F3853" t="s">
        <v>31</v>
      </c>
    </row>
    <row r="3854" spans="1:6" x14ac:dyDescent="0.3">
      <c r="A3854" s="20">
        <v>45791</v>
      </c>
      <c r="B3854">
        <v>9</v>
      </c>
      <c r="C3854" t="s">
        <v>246</v>
      </c>
      <c r="D3854">
        <v>29459</v>
      </c>
      <c r="E3854">
        <v>4265</v>
      </c>
      <c r="F3854" t="s">
        <v>31</v>
      </c>
    </row>
    <row r="3855" spans="1:6" x14ac:dyDescent="0.3">
      <c r="A3855" s="20">
        <v>45791</v>
      </c>
      <c r="B3855">
        <v>9</v>
      </c>
      <c r="C3855" t="s">
        <v>243</v>
      </c>
      <c r="D3855">
        <v>10716</v>
      </c>
      <c r="E3855">
        <v>1322</v>
      </c>
      <c r="F3855" t="s">
        <v>31</v>
      </c>
    </row>
    <row r="3856" spans="1:6" x14ac:dyDescent="0.3">
      <c r="A3856" s="20">
        <v>45791</v>
      </c>
      <c r="B3856">
        <v>9</v>
      </c>
      <c r="C3856" t="s">
        <v>233</v>
      </c>
      <c r="D3856">
        <v>1960</v>
      </c>
      <c r="E3856">
        <v>419</v>
      </c>
      <c r="F3856" t="s">
        <v>72</v>
      </c>
    </row>
    <row r="3857" spans="1:6" x14ac:dyDescent="0.3">
      <c r="A3857" s="20">
        <v>45791</v>
      </c>
      <c r="B3857">
        <v>9</v>
      </c>
      <c r="C3857" t="s">
        <v>155</v>
      </c>
      <c r="D3857">
        <v>16</v>
      </c>
      <c r="E3857">
        <v>0</v>
      </c>
      <c r="F3857" t="s">
        <v>33</v>
      </c>
    </row>
    <row r="3858" spans="1:6" x14ac:dyDescent="0.3">
      <c r="A3858" s="20">
        <v>45791</v>
      </c>
      <c r="B3858">
        <v>9</v>
      </c>
      <c r="C3858" t="s">
        <v>250</v>
      </c>
      <c r="D3858">
        <v>9231</v>
      </c>
      <c r="E3858">
        <v>1230</v>
      </c>
      <c r="F3858" t="s">
        <v>164</v>
      </c>
    </row>
    <row r="3859" spans="1:6" x14ac:dyDescent="0.3">
      <c r="A3859" s="20">
        <v>45791</v>
      </c>
      <c r="B3859">
        <v>9</v>
      </c>
      <c r="C3859" t="s">
        <v>160</v>
      </c>
      <c r="D3859">
        <v>291</v>
      </c>
      <c r="E3859">
        <v>39</v>
      </c>
      <c r="F3859" t="s">
        <v>47</v>
      </c>
    </row>
    <row r="3860" spans="1:6" x14ac:dyDescent="0.3">
      <c r="A3860" s="20">
        <v>45791</v>
      </c>
      <c r="B3860">
        <v>9</v>
      </c>
      <c r="C3860" t="s">
        <v>160</v>
      </c>
      <c r="D3860">
        <v>86</v>
      </c>
      <c r="E3860">
        <v>9</v>
      </c>
      <c r="F3860" t="s">
        <v>43</v>
      </c>
    </row>
    <row r="3861" spans="1:6" x14ac:dyDescent="0.3">
      <c r="A3861" s="20">
        <v>45791</v>
      </c>
      <c r="B3861">
        <v>9</v>
      </c>
      <c r="C3861" t="s">
        <v>40</v>
      </c>
      <c r="D3861">
        <v>4871</v>
      </c>
      <c r="E3861">
        <v>304</v>
      </c>
    </row>
    <row r="3862" spans="1:6" x14ac:dyDescent="0.3">
      <c r="A3862" s="20">
        <v>45791</v>
      </c>
      <c r="B3862">
        <v>9</v>
      </c>
      <c r="C3862" t="s">
        <v>81</v>
      </c>
      <c r="D3862">
        <v>111347</v>
      </c>
      <c r="E3862">
        <v>5081</v>
      </c>
      <c r="F3862" t="s">
        <v>38</v>
      </c>
    </row>
    <row r="3863" spans="1:6" x14ac:dyDescent="0.3">
      <c r="A3863" s="20">
        <v>45791</v>
      </c>
      <c r="B3863">
        <v>9</v>
      </c>
      <c r="C3863" t="s">
        <v>251</v>
      </c>
      <c r="D3863">
        <v>2539</v>
      </c>
      <c r="E3863">
        <v>351</v>
      </c>
      <c r="F3863" t="s">
        <v>47</v>
      </c>
    </row>
    <row r="3864" spans="1:6" x14ac:dyDescent="0.3">
      <c r="A3864" s="20">
        <v>45791</v>
      </c>
      <c r="B3864">
        <v>9</v>
      </c>
      <c r="C3864" t="s">
        <v>251</v>
      </c>
      <c r="D3864">
        <v>7737</v>
      </c>
      <c r="E3864">
        <v>927</v>
      </c>
      <c r="F3864" t="s">
        <v>44</v>
      </c>
    </row>
    <row r="3865" spans="1:6" x14ac:dyDescent="0.3">
      <c r="A3865" s="20">
        <v>45791</v>
      </c>
      <c r="B3865">
        <v>9</v>
      </c>
      <c r="C3865" t="s">
        <v>235</v>
      </c>
      <c r="D3865">
        <v>8631</v>
      </c>
      <c r="E3865">
        <v>851</v>
      </c>
      <c r="F3865" t="s">
        <v>39</v>
      </c>
    </row>
    <row r="3866" spans="1:6" x14ac:dyDescent="0.3">
      <c r="A3866" s="20">
        <v>45791</v>
      </c>
      <c r="B3866">
        <v>10</v>
      </c>
      <c r="C3866" t="s">
        <v>73</v>
      </c>
      <c r="D3866">
        <v>0</v>
      </c>
      <c r="E3866">
        <v>0</v>
      </c>
      <c r="F3866" t="s">
        <v>163</v>
      </c>
    </row>
    <row r="3867" spans="1:6" x14ac:dyDescent="0.3">
      <c r="A3867" s="20">
        <v>45791</v>
      </c>
      <c r="B3867">
        <v>10</v>
      </c>
      <c r="C3867" t="s">
        <v>73</v>
      </c>
      <c r="D3867">
        <v>0</v>
      </c>
      <c r="E3867">
        <v>0</v>
      </c>
      <c r="F3867" t="s">
        <v>72</v>
      </c>
    </row>
    <row r="3868" spans="1:6" x14ac:dyDescent="0.3">
      <c r="A3868" s="20">
        <v>45791</v>
      </c>
      <c r="B3868">
        <v>10</v>
      </c>
      <c r="C3868" t="s">
        <v>48</v>
      </c>
      <c r="D3868">
        <v>0</v>
      </c>
      <c r="E3868">
        <v>0</v>
      </c>
      <c r="F3868" t="s">
        <v>259</v>
      </c>
    </row>
    <row r="3869" spans="1:6" x14ac:dyDescent="0.3">
      <c r="A3869" s="20">
        <v>45791</v>
      </c>
      <c r="B3869">
        <v>10</v>
      </c>
      <c r="C3869" t="s">
        <v>244</v>
      </c>
      <c r="D3869">
        <v>35967</v>
      </c>
      <c r="E3869">
        <v>3586</v>
      </c>
      <c r="F3869" t="s">
        <v>31</v>
      </c>
    </row>
    <row r="3870" spans="1:6" x14ac:dyDescent="0.3">
      <c r="A3870" s="20">
        <v>45791</v>
      </c>
      <c r="B3870">
        <v>10</v>
      </c>
      <c r="C3870" t="s">
        <v>152</v>
      </c>
      <c r="D3870">
        <v>9454</v>
      </c>
      <c r="E3870">
        <v>1208</v>
      </c>
      <c r="F3870" t="s">
        <v>252</v>
      </c>
    </row>
    <row r="3871" spans="1:6" x14ac:dyDescent="0.3">
      <c r="A3871" s="20">
        <v>45791</v>
      </c>
      <c r="B3871">
        <v>10</v>
      </c>
      <c r="C3871" t="s">
        <v>232</v>
      </c>
      <c r="D3871">
        <v>398</v>
      </c>
      <c r="E3871">
        <v>40</v>
      </c>
      <c r="F3871" t="s">
        <v>68</v>
      </c>
    </row>
    <row r="3872" spans="1:6" x14ac:dyDescent="0.3">
      <c r="A3872" s="20">
        <v>45791</v>
      </c>
      <c r="B3872">
        <v>10</v>
      </c>
      <c r="C3872" t="s">
        <v>238</v>
      </c>
      <c r="D3872">
        <v>5166</v>
      </c>
      <c r="E3872">
        <v>503</v>
      </c>
      <c r="F3872" t="s">
        <v>47</v>
      </c>
    </row>
    <row r="3873" spans="1:6" x14ac:dyDescent="0.3">
      <c r="A3873" s="20">
        <v>45791</v>
      </c>
      <c r="B3873">
        <v>10</v>
      </c>
      <c r="C3873" t="s">
        <v>160</v>
      </c>
      <c r="D3873">
        <v>4</v>
      </c>
      <c r="E3873">
        <v>1</v>
      </c>
      <c r="F3873" t="s">
        <v>68</v>
      </c>
    </row>
    <row r="3874" spans="1:6" x14ac:dyDescent="0.3">
      <c r="A3874" s="20">
        <v>45791</v>
      </c>
      <c r="B3874">
        <v>10</v>
      </c>
      <c r="C3874" t="s">
        <v>160</v>
      </c>
      <c r="D3874">
        <v>5224</v>
      </c>
      <c r="E3874">
        <v>838</v>
      </c>
      <c r="F3874" t="s">
        <v>231</v>
      </c>
    </row>
    <row r="3875" spans="1:6" x14ac:dyDescent="0.3">
      <c r="A3875" s="20">
        <v>45791</v>
      </c>
      <c r="B3875">
        <v>10</v>
      </c>
      <c r="C3875" t="s">
        <v>160</v>
      </c>
      <c r="D3875">
        <v>106</v>
      </c>
      <c r="E3875">
        <v>34</v>
      </c>
      <c r="F3875" t="s">
        <v>161</v>
      </c>
    </row>
    <row r="3876" spans="1:6" x14ac:dyDescent="0.3">
      <c r="A3876" s="20">
        <v>45791</v>
      </c>
      <c r="B3876">
        <v>10</v>
      </c>
      <c r="C3876" t="s">
        <v>126</v>
      </c>
      <c r="D3876">
        <v>34</v>
      </c>
      <c r="E3876">
        <v>34</v>
      </c>
      <c r="F3876" t="s">
        <v>38</v>
      </c>
    </row>
    <row r="3877" spans="1:6" x14ac:dyDescent="0.3">
      <c r="A3877" s="20">
        <v>45791</v>
      </c>
      <c r="B3877">
        <v>11</v>
      </c>
      <c r="C3877" t="s">
        <v>158</v>
      </c>
      <c r="D3877">
        <v>6737</v>
      </c>
      <c r="E3877">
        <v>514</v>
      </c>
      <c r="F3877" t="s">
        <v>31</v>
      </c>
    </row>
    <row r="3878" spans="1:6" x14ac:dyDescent="0.3">
      <c r="A3878" s="20">
        <v>45791</v>
      </c>
      <c r="B3878">
        <v>11</v>
      </c>
      <c r="C3878" t="s">
        <v>48</v>
      </c>
      <c r="D3878">
        <v>56131</v>
      </c>
      <c r="E3878">
        <v>3582</v>
      </c>
      <c r="F3878" t="s">
        <v>31</v>
      </c>
    </row>
    <row r="3879" spans="1:6" x14ac:dyDescent="0.3">
      <c r="A3879" s="20">
        <v>45791</v>
      </c>
      <c r="B3879">
        <v>11</v>
      </c>
      <c r="C3879" t="s">
        <v>236</v>
      </c>
      <c r="D3879">
        <v>52730</v>
      </c>
      <c r="E3879">
        <v>4684</v>
      </c>
      <c r="F3879" t="s">
        <v>31</v>
      </c>
    </row>
    <row r="3880" spans="1:6" x14ac:dyDescent="0.3">
      <c r="A3880" s="20">
        <v>45791</v>
      </c>
      <c r="B3880">
        <v>11</v>
      </c>
      <c r="C3880" t="s">
        <v>41</v>
      </c>
      <c r="D3880">
        <v>4309</v>
      </c>
      <c r="E3880">
        <v>213</v>
      </c>
      <c r="F3880" t="s">
        <v>31</v>
      </c>
    </row>
    <row r="3881" spans="1:6" x14ac:dyDescent="0.3">
      <c r="A3881" s="20">
        <v>45791</v>
      </c>
      <c r="B3881">
        <v>11</v>
      </c>
      <c r="C3881" t="s">
        <v>54</v>
      </c>
      <c r="D3881">
        <v>271</v>
      </c>
      <c r="E3881">
        <v>44</v>
      </c>
      <c r="F3881" t="s">
        <v>31</v>
      </c>
    </row>
    <row r="3882" spans="1:6" x14ac:dyDescent="0.3">
      <c r="A3882" s="20">
        <v>45791</v>
      </c>
      <c r="B3882">
        <v>11</v>
      </c>
      <c r="C3882" t="s">
        <v>237</v>
      </c>
      <c r="D3882">
        <v>46199</v>
      </c>
      <c r="E3882">
        <v>3865</v>
      </c>
      <c r="F3882" t="s">
        <v>31</v>
      </c>
    </row>
    <row r="3883" spans="1:6" x14ac:dyDescent="0.3">
      <c r="A3883" s="20">
        <v>45791</v>
      </c>
      <c r="B3883">
        <v>11</v>
      </c>
      <c r="C3883" t="s">
        <v>49</v>
      </c>
      <c r="D3883">
        <v>34786</v>
      </c>
      <c r="E3883">
        <v>2605</v>
      </c>
      <c r="F3883" t="s">
        <v>42</v>
      </c>
    </row>
    <row r="3884" spans="1:6" x14ac:dyDescent="0.3">
      <c r="A3884" s="20">
        <v>45791</v>
      </c>
      <c r="B3884">
        <v>11</v>
      </c>
      <c r="C3884" t="s">
        <v>245</v>
      </c>
      <c r="D3884">
        <v>52789</v>
      </c>
      <c r="E3884">
        <v>6090</v>
      </c>
      <c r="F3884" t="s">
        <v>31</v>
      </c>
    </row>
    <row r="3885" spans="1:6" x14ac:dyDescent="0.3">
      <c r="A3885" s="20">
        <v>45791</v>
      </c>
      <c r="B3885">
        <v>11</v>
      </c>
      <c r="C3885" t="s">
        <v>232</v>
      </c>
      <c r="D3885">
        <v>1207</v>
      </c>
      <c r="E3885">
        <v>109</v>
      </c>
      <c r="F3885" t="s">
        <v>39</v>
      </c>
    </row>
    <row r="3886" spans="1:6" x14ac:dyDescent="0.3">
      <c r="A3886" s="20">
        <v>45791</v>
      </c>
      <c r="B3886">
        <v>11</v>
      </c>
      <c r="C3886" t="s">
        <v>265</v>
      </c>
      <c r="D3886">
        <v>441</v>
      </c>
      <c r="E3886">
        <v>48</v>
      </c>
      <c r="F3886" t="s">
        <v>42</v>
      </c>
    </row>
    <row r="3887" spans="1:6" x14ac:dyDescent="0.3">
      <c r="A3887" s="20">
        <v>45791</v>
      </c>
      <c r="B3887">
        <v>11</v>
      </c>
      <c r="C3887" t="s">
        <v>162</v>
      </c>
      <c r="D3887">
        <v>11059</v>
      </c>
      <c r="E3887">
        <v>1075</v>
      </c>
      <c r="F3887" t="s">
        <v>47</v>
      </c>
    </row>
    <row r="3888" spans="1:6" x14ac:dyDescent="0.3">
      <c r="A3888" s="20">
        <v>45791</v>
      </c>
      <c r="B3888">
        <v>11</v>
      </c>
      <c r="C3888" t="s">
        <v>162</v>
      </c>
      <c r="D3888">
        <v>15902</v>
      </c>
      <c r="E3888">
        <v>1639</v>
      </c>
      <c r="F3888" t="s">
        <v>44</v>
      </c>
    </row>
    <row r="3889" spans="1:6" x14ac:dyDescent="0.3">
      <c r="A3889" s="20">
        <v>45791</v>
      </c>
      <c r="B3889">
        <v>11</v>
      </c>
      <c r="C3889" t="s">
        <v>124</v>
      </c>
      <c r="D3889">
        <v>95275</v>
      </c>
      <c r="E3889">
        <v>5311</v>
      </c>
      <c r="F3889" t="s">
        <v>38</v>
      </c>
    </row>
    <row r="3890" spans="1:6" x14ac:dyDescent="0.3">
      <c r="A3890" s="20">
        <v>45791</v>
      </c>
      <c r="B3890">
        <v>12</v>
      </c>
      <c r="C3890" t="s">
        <v>73</v>
      </c>
      <c r="D3890">
        <v>0</v>
      </c>
      <c r="E3890">
        <v>0</v>
      </c>
      <c r="F3890" t="s">
        <v>229</v>
      </c>
    </row>
    <row r="3891" spans="1:6" x14ac:dyDescent="0.3">
      <c r="A3891" s="20">
        <v>45791</v>
      </c>
      <c r="B3891">
        <v>12</v>
      </c>
      <c r="C3891" t="s">
        <v>73</v>
      </c>
      <c r="D3891">
        <v>0</v>
      </c>
      <c r="E3891">
        <v>0</v>
      </c>
      <c r="F3891" t="s">
        <v>234</v>
      </c>
    </row>
    <row r="3892" spans="1:6" x14ac:dyDescent="0.3">
      <c r="A3892" s="20">
        <v>45791</v>
      </c>
      <c r="B3892">
        <v>12</v>
      </c>
      <c r="C3892" t="s">
        <v>249</v>
      </c>
      <c r="D3892">
        <v>36837</v>
      </c>
      <c r="E3892">
        <v>1410</v>
      </c>
      <c r="F3892" t="s">
        <v>31</v>
      </c>
    </row>
    <row r="3893" spans="1:6" x14ac:dyDescent="0.3">
      <c r="A3893" s="20">
        <v>45791</v>
      </c>
      <c r="B3893">
        <v>12</v>
      </c>
      <c r="C3893" t="s">
        <v>242</v>
      </c>
      <c r="D3893">
        <v>56268</v>
      </c>
      <c r="E3893">
        <v>5895</v>
      </c>
      <c r="F3893" t="s">
        <v>31</v>
      </c>
    </row>
    <row r="3894" spans="1:6" x14ac:dyDescent="0.3">
      <c r="A3894" s="20">
        <v>45791</v>
      </c>
      <c r="B3894">
        <v>12</v>
      </c>
      <c r="C3894" t="s">
        <v>246</v>
      </c>
      <c r="D3894">
        <v>41904</v>
      </c>
      <c r="E3894">
        <v>5404</v>
      </c>
      <c r="F3894" t="s">
        <v>31</v>
      </c>
    </row>
    <row r="3895" spans="1:6" x14ac:dyDescent="0.3">
      <c r="A3895" s="20">
        <v>45791</v>
      </c>
      <c r="B3895">
        <v>12</v>
      </c>
      <c r="C3895" t="s">
        <v>243</v>
      </c>
      <c r="D3895">
        <v>9808</v>
      </c>
      <c r="E3895">
        <v>1350</v>
      </c>
      <c r="F3895" t="s">
        <v>31</v>
      </c>
    </row>
    <row r="3896" spans="1:6" x14ac:dyDescent="0.3">
      <c r="A3896" s="20">
        <v>45791</v>
      </c>
      <c r="B3896">
        <v>12</v>
      </c>
      <c r="C3896" t="s">
        <v>71</v>
      </c>
      <c r="D3896">
        <v>6876</v>
      </c>
      <c r="E3896">
        <v>763</v>
      </c>
      <c r="F3896" t="s">
        <v>229</v>
      </c>
    </row>
    <row r="3897" spans="1:6" x14ac:dyDescent="0.3">
      <c r="A3897" s="20">
        <v>45791</v>
      </c>
      <c r="B3897">
        <v>12</v>
      </c>
      <c r="C3897" t="s">
        <v>233</v>
      </c>
      <c r="D3897">
        <v>2326</v>
      </c>
      <c r="E3897">
        <v>482</v>
      </c>
      <c r="F3897" t="s">
        <v>72</v>
      </c>
    </row>
    <row r="3898" spans="1:6" x14ac:dyDescent="0.3">
      <c r="A3898" s="20">
        <v>45791</v>
      </c>
      <c r="B3898">
        <v>12</v>
      </c>
      <c r="C3898" t="s">
        <v>250</v>
      </c>
      <c r="D3898">
        <v>9837</v>
      </c>
      <c r="E3898">
        <v>1335</v>
      </c>
      <c r="F3898" t="s">
        <v>164</v>
      </c>
    </row>
    <row r="3899" spans="1:6" x14ac:dyDescent="0.3">
      <c r="A3899" s="20">
        <v>45791</v>
      </c>
      <c r="B3899">
        <v>12</v>
      </c>
      <c r="C3899" t="s">
        <v>160</v>
      </c>
      <c r="D3899">
        <v>467</v>
      </c>
      <c r="E3899">
        <v>69</v>
      </c>
      <c r="F3899" t="s">
        <v>47</v>
      </c>
    </row>
    <row r="3900" spans="1:6" x14ac:dyDescent="0.3">
      <c r="A3900" s="20">
        <v>45791</v>
      </c>
      <c r="B3900">
        <v>12</v>
      </c>
      <c r="C3900" t="s">
        <v>160</v>
      </c>
      <c r="D3900">
        <v>282</v>
      </c>
      <c r="E3900">
        <v>56</v>
      </c>
      <c r="F3900" t="s">
        <v>45</v>
      </c>
    </row>
    <row r="3901" spans="1:6" x14ac:dyDescent="0.3">
      <c r="A3901" s="20">
        <v>45791</v>
      </c>
      <c r="B3901">
        <v>12</v>
      </c>
      <c r="C3901" t="s">
        <v>160</v>
      </c>
      <c r="D3901">
        <v>80</v>
      </c>
      <c r="E3901">
        <v>15</v>
      </c>
      <c r="F3901" t="s">
        <v>43</v>
      </c>
    </row>
    <row r="3902" spans="1:6" x14ac:dyDescent="0.3">
      <c r="A3902" s="20">
        <v>45791</v>
      </c>
      <c r="B3902">
        <v>12</v>
      </c>
      <c r="C3902" t="s">
        <v>81</v>
      </c>
      <c r="D3902">
        <v>87817</v>
      </c>
      <c r="E3902">
        <v>4105</v>
      </c>
      <c r="F3902" t="s">
        <v>38</v>
      </c>
    </row>
    <row r="3903" spans="1:6" x14ac:dyDescent="0.3">
      <c r="A3903" s="20">
        <v>45791</v>
      </c>
      <c r="B3903">
        <v>12</v>
      </c>
      <c r="C3903" t="s">
        <v>251</v>
      </c>
      <c r="D3903">
        <v>7043</v>
      </c>
      <c r="E3903">
        <v>659</v>
      </c>
      <c r="F3903" t="s">
        <v>44</v>
      </c>
    </row>
    <row r="3904" spans="1:6" x14ac:dyDescent="0.3">
      <c r="A3904" s="20">
        <v>45791</v>
      </c>
      <c r="B3904">
        <v>12</v>
      </c>
      <c r="C3904" t="s">
        <v>235</v>
      </c>
      <c r="D3904">
        <v>669</v>
      </c>
      <c r="E3904">
        <v>99</v>
      </c>
      <c r="F3904" t="s">
        <v>161</v>
      </c>
    </row>
    <row r="3905" spans="1:6" x14ac:dyDescent="0.3">
      <c r="A3905" s="20">
        <v>45791</v>
      </c>
      <c r="B3905">
        <v>13</v>
      </c>
      <c r="C3905" t="s">
        <v>73</v>
      </c>
      <c r="D3905">
        <v>0</v>
      </c>
      <c r="E3905">
        <v>0</v>
      </c>
      <c r="F3905" t="s">
        <v>163</v>
      </c>
    </row>
    <row r="3906" spans="1:6" x14ac:dyDescent="0.3">
      <c r="A3906" s="20">
        <v>45791</v>
      </c>
      <c r="B3906">
        <v>13</v>
      </c>
      <c r="C3906" t="s">
        <v>73</v>
      </c>
      <c r="D3906">
        <v>0</v>
      </c>
      <c r="E3906">
        <v>0</v>
      </c>
      <c r="F3906" t="s">
        <v>75</v>
      </c>
    </row>
    <row r="3907" spans="1:6" x14ac:dyDescent="0.3">
      <c r="A3907" s="20">
        <v>45791</v>
      </c>
      <c r="B3907">
        <v>13</v>
      </c>
      <c r="C3907" t="s">
        <v>48</v>
      </c>
      <c r="D3907">
        <v>0</v>
      </c>
      <c r="E3907">
        <v>0</v>
      </c>
      <c r="F3907" t="s">
        <v>259</v>
      </c>
    </row>
    <row r="3908" spans="1:6" x14ac:dyDescent="0.3">
      <c r="A3908" s="20">
        <v>45791</v>
      </c>
      <c r="B3908">
        <v>13</v>
      </c>
      <c r="C3908" t="s">
        <v>152</v>
      </c>
      <c r="D3908">
        <v>774</v>
      </c>
      <c r="E3908">
        <v>75</v>
      </c>
      <c r="F3908" t="s">
        <v>43</v>
      </c>
    </row>
    <row r="3909" spans="1:6" x14ac:dyDescent="0.3">
      <c r="A3909" s="20">
        <v>45791</v>
      </c>
      <c r="B3909">
        <v>13</v>
      </c>
      <c r="C3909" t="s">
        <v>232</v>
      </c>
      <c r="D3909">
        <v>442</v>
      </c>
      <c r="E3909">
        <v>50</v>
      </c>
      <c r="F3909" t="s">
        <v>68</v>
      </c>
    </row>
    <row r="3910" spans="1:6" x14ac:dyDescent="0.3">
      <c r="A3910" s="20">
        <v>45791</v>
      </c>
      <c r="B3910">
        <v>13</v>
      </c>
      <c r="C3910" t="s">
        <v>160</v>
      </c>
      <c r="D3910">
        <v>5</v>
      </c>
      <c r="E3910">
        <v>0</v>
      </c>
      <c r="F3910" t="s">
        <v>68</v>
      </c>
    </row>
    <row r="3911" spans="1:6" x14ac:dyDescent="0.3">
      <c r="A3911" s="20">
        <v>45791</v>
      </c>
      <c r="B3911">
        <v>13</v>
      </c>
      <c r="C3911" t="s">
        <v>160</v>
      </c>
      <c r="D3911">
        <v>86</v>
      </c>
      <c r="E3911">
        <v>26</v>
      </c>
      <c r="F3911" t="s">
        <v>161</v>
      </c>
    </row>
    <row r="3912" spans="1:6" x14ac:dyDescent="0.3">
      <c r="A3912" s="20">
        <v>45791</v>
      </c>
      <c r="B3912">
        <v>13</v>
      </c>
      <c r="C3912" t="s">
        <v>160</v>
      </c>
      <c r="D3912">
        <v>3</v>
      </c>
      <c r="E3912">
        <v>0</v>
      </c>
      <c r="F3912" t="s">
        <v>72</v>
      </c>
    </row>
    <row r="3913" spans="1:6" x14ac:dyDescent="0.3">
      <c r="A3913" s="20">
        <v>45791</v>
      </c>
      <c r="B3913">
        <v>13</v>
      </c>
      <c r="C3913" t="s">
        <v>51</v>
      </c>
      <c r="D3913">
        <v>69622</v>
      </c>
      <c r="E3913">
        <v>2749</v>
      </c>
      <c r="F3913" t="s">
        <v>38</v>
      </c>
    </row>
    <row r="3914" spans="1:6" x14ac:dyDescent="0.3">
      <c r="A3914" s="20">
        <v>45791</v>
      </c>
      <c r="B3914">
        <v>14</v>
      </c>
      <c r="C3914" t="s">
        <v>158</v>
      </c>
      <c r="D3914">
        <v>5823</v>
      </c>
      <c r="E3914">
        <v>241</v>
      </c>
      <c r="F3914" t="s">
        <v>31</v>
      </c>
    </row>
    <row r="3915" spans="1:6" x14ac:dyDescent="0.3">
      <c r="A3915" s="20">
        <v>45791</v>
      </c>
      <c r="B3915">
        <v>14</v>
      </c>
      <c r="C3915" t="s">
        <v>48</v>
      </c>
      <c r="D3915">
        <v>40362</v>
      </c>
      <c r="E3915">
        <v>2242</v>
      </c>
      <c r="F3915" t="s">
        <v>31</v>
      </c>
    </row>
    <row r="3916" spans="1:6" x14ac:dyDescent="0.3">
      <c r="A3916" s="20">
        <v>45791</v>
      </c>
      <c r="B3916">
        <v>14</v>
      </c>
      <c r="C3916" t="s">
        <v>41</v>
      </c>
      <c r="D3916">
        <v>3330</v>
      </c>
      <c r="E3916">
        <v>127</v>
      </c>
      <c r="F3916" t="s">
        <v>31</v>
      </c>
    </row>
    <row r="3917" spans="1:6" x14ac:dyDescent="0.3">
      <c r="A3917" s="20">
        <v>45791</v>
      </c>
      <c r="B3917">
        <v>14</v>
      </c>
      <c r="C3917" t="s">
        <v>54</v>
      </c>
      <c r="D3917">
        <v>247</v>
      </c>
      <c r="E3917">
        <v>34</v>
      </c>
      <c r="F3917" t="s">
        <v>31</v>
      </c>
    </row>
    <row r="3918" spans="1:6" x14ac:dyDescent="0.3">
      <c r="A3918" s="20">
        <v>45791</v>
      </c>
      <c r="B3918">
        <v>14</v>
      </c>
      <c r="C3918" t="s">
        <v>49</v>
      </c>
      <c r="D3918">
        <v>27541</v>
      </c>
      <c r="E3918">
        <v>1704</v>
      </c>
      <c r="F3918" t="s">
        <v>42</v>
      </c>
    </row>
    <row r="3919" spans="1:6" x14ac:dyDescent="0.3">
      <c r="A3919" s="20">
        <v>45791</v>
      </c>
      <c r="B3919">
        <v>14</v>
      </c>
      <c r="C3919" t="s">
        <v>245</v>
      </c>
      <c r="D3919">
        <v>56880</v>
      </c>
      <c r="E3919">
        <v>6899</v>
      </c>
      <c r="F3919" t="s">
        <v>31</v>
      </c>
    </row>
    <row r="3920" spans="1:6" x14ac:dyDescent="0.3">
      <c r="A3920" s="20">
        <v>45791</v>
      </c>
      <c r="B3920">
        <v>14</v>
      </c>
      <c r="C3920" t="s">
        <v>232</v>
      </c>
      <c r="D3920">
        <v>1390</v>
      </c>
      <c r="E3920">
        <v>148</v>
      </c>
      <c r="F3920" t="s">
        <v>39</v>
      </c>
    </row>
    <row r="3921" spans="1:6" x14ac:dyDescent="0.3">
      <c r="A3921" s="20">
        <v>45791</v>
      </c>
      <c r="B3921">
        <v>14</v>
      </c>
      <c r="C3921" t="s">
        <v>265</v>
      </c>
      <c r="D3921">
        <v>307</v>
      </c>
      <c r="E3921">
        <v>22</v>
      </c>
      <c r="F3921" t="s">
        <v>42</v>
      </c>
    </row>
    <row r="3922" spans="1:6" x14ac:dyDescent="0.3">
      <c r="A3922" s="20">
        <v>45791</v>
      </c>
      <c r="B3922">
        <v>14</v>
      </c>
      <c r="C3922" t="s">
        <v>162</v>
      </c>
      <c r="D3922">
        <v>14310</v>
      </c>
      <c r="E3922">
        <v>1300</v>
      </c>
      <c r="F3922" t="s">
        <v>47</v>
      </c>
    </row>
    <row r="3923" spans="1:6" x14ac:dyDescent="0.3">
      <c r="A3923" s="20">
        <v>45791</v>
      </c>
      <c r="B3923">
        <v>14</v>
      </c>
      <c r="C3923" t="s">
        <v>162</v>
      </c>
      <c r="D3923">
        <v>13644</v>
      </c>
      <c r="E3923">
        <v>1165</v>
      </c>
      <c r="F3923" t="s">
        <v>44</v>
      </c>
    </row>
    <row r="3924" spans="1:6" x14ac:dyDescent="0.3">
      <c r="A3924" s="20">
        <v>45791</v>
      </c>
      <c r="B3924">
        <v>14</v>
      </c>
      <c r="C3924" t="s">
        <v>37</v>
      </c>
      <c r="D3924">
        <v>79733</v>
      </c>
      <c r="E3924">
        <v>2114</v>
      </c>
      <c r="F3924" t="s">
        <v>38</v>
      </c>
    </row>
    <row r="3925" spans="1:6" x14ac:dyDescent="0.3">
      <c r="A3925" s="20">
        <v>45791</v>
      </c>
      <c r="B3925">
        <v>15</v>
      </c>
      <c r="C3925" t="s">
        <v>73</v>
      </c>
      <c r="D3925">
        <v>0</v>
      </c>
      <c r="E3925">
        <v>0</v>
      </c>
      <c r="F3925" t="s">
        <v>229</v>
      </c>
    </row>
    <row r="3926" spans="1:6" x14ac:dyDescent="0.3">
      <c r="A3926" s="20">
        <v>45791</v>
      </c>
      <c r="B3926">
        <v>15</v>
      </c>
      <c r="C3926" t="s">
        <v>228</v>
      </c>
      <c r="D3926">
        <v>1795</v>
      </c>
      <c r="E3926">
        <v>198</v>
      </c>
      <c r="F3926" t="s">
        <v>45</v>
      </c>
    </row>
    <row r="3927" spans="1:6" x14ac:dyDescent="0.3">
      <c r="A3927" s="20">
        <v>45791</v>
      </c>
      <c r="B3927">
        <v>15</v>
      </c>
      <c r="C3927" t="s">
        <v>249</v>
      </c>
      <c r="D3927">
        <v>1237</v>
      </c>
      <c r="E3927">
        <v>27</v>
      </c>
      <c r="F3927" t="s">
        <v>31</v>
      </c>
    </row>
    <row r="3928" spans="1:6" x14ac:dyDescent="0.3">
      <c r="A3928" s="20">
        <v>45791</v>
      </c>
      <c r="B3928">
        <v>15</v>
      </c>
      <c r="C3928" t="s">
        <v>242</v>
      </c>
      <c r="D3928">
        <v>538</v>
      </c>
      <c r="E3928">
        <v>57</v>
      </c>
      <c r="F3928" t="s">
        <v>31</v>
      </c>
    </row>
    <row r="3929" spans="1:6" x14ac:dyDescent="0.3">
      <c r="A3929" s="20">
        <v>45791</v>
      </c>
      <c r="B3929">
        <v>15</v>
      </c>
      <c r="C3929" t="s">
        <v>35</v>
      </c>
      <c r="D3929">
        <v>109</v>
      </c>
      <c r="E3929">
        <v>4</v>
      </c>
      <c r="F3929" t="s">
        <v>31</v>
      </c>
    </row>
    <row r="3930" spans="1:6" x14ac:dyDescent="0.3">
      <c r="A3930" s="20">
        <v>45791</v>
      </c>
      <c r="B3930">
        <v>15</v>
      </c>
      <c r="C3930" t="s">
        <v>246</v>
      </c>
      <c r="D3930">
        <v>348</v>
      </c>
      <c r="E3930">
        <v>48</v>
      </c>
      <c r="F3930" t="s">
        <v>31</v>
      </c>
    </row>
    <row r="3931" spans="1:6" x14ac:dyDescent="0.3">
      <c r="A3931" s="20">
        <v>45791</v>
      </c>
      <c r="B3931">
        <v>15</v>
      </c>
      <c r="C3931" t="s">
        <v>262</v>
      </c>
      <c r="D3931">
        <v>2211</v>
      </c>
      <c r="E3931">
        <v>26</v>
      </c>
      <c r="F3931" t="s">
        <v>86</v>
      </c>
    </row>
    <row r="3932" spans="1:6" x14ac:dyDescent="0.3">
      <c r="A3932" s="20">
        <v>45791</v>
      </c>
      <c r="B3932">
        <v>15</v>
      </c>
      <c r="C3932" t="s">
        <v>160</v>
      </c>
      <c r="D3932">
        <v>15</v>
      </c>
      <c r="E3932">
        <v>1</v>
      </c>
      <c r="F3932" t="s">
        <v>47</v>
      </c>
    </row>
    <row r="3933" spans="1:6" x14ac:dyDescent="0.3">
      <c r="A3933" s="20">
        <v>45791</v>
      </c>
      <c r="B3933">
        <v>15</v>
      </c>
      <c r="C3933" t="s">
        <v>160</v>
      </c>
      <c r="D3933">
        <v>83</v>
      </c>
      <c r="E3933">
        <v>4</v>
      </c>
      <c r="F3933" t="s">
        <v>234</v>
      </c>
    </row>
    <row r="3934" spans="1:6" x14ac:dyDescent="0.3">
      <c r="A3934" s="20">
        <v>45791</v>
      </c>
      <c r="B3934">
        <v>15</v>
      </c>
      <c r="C3934" t="s">
        <v>160</v>
      </c>
      <c r="D3934">
        <v>30</v>
      </c>
      <c r="E3934">
        <v>7</v>
      </c>
      <c r="F3934" t="s">
        <v>45</v>
      </c>
    </row>
    <row r="3935" spans="1:6" x14ac:dyDescent="0.3">
      <c r="A3935" s="20">
        <v>45791</v>
      </c>
      <c r="B3935">
        <v>15</v>
      </c>
      <c r="C3935" t="s">
        <v>160</v>
      </c>
      <c r="D3935">
        <v>47</v>
      </c>
      <c r="E3935">
        <v>8</v>
      </c>
      <c r="F3935" t="s">
        <v>43</v>
      </c>
    </row>
    <row r="3936" spans="1:6" x14ac:dyDescent="0.3">
      <c r="A3936" s="20">
        <v>45791</v>
      </c>
      <c r="B3936">
        <v>15</v>
      </c>
      <c r="C3936" t="s">
        <v>125</v>
      </c>
      <c r="D3936">
        <v>11255</v>
      </c>
      <c r="E3936">
        <v>670</v>
      </c>
      <c r="F3936" t="s">
        <v>38</v>
      </c>
    </row>
    <row r="3937" spans="1:6" x14ac:dyDescent="0.3">
      <c r="A3937" s="20">
        <v>45791</v>
      </c>
      <c r="B3937">
        <v>15</v>
      </c>
      <c r="C3937" t="s">
        <v>235</v>
      </c>
      <c r="D3937">
        <v>93</v>
      </c>
      <c r="E3937">
        <v>14</v>
      </c>
      <c r="F3937" t="s">
        <v>161</v>
      </c>
    </row>
    <row r="3938" spans="1:6" x14ac:dyDescent="0.3">
      <c r="A3938" s="20">
        <v>45791</v>
      </c>
      <c r="B3938">
        <v>8</v>
      </c>
      <c r="C3938" t="s">
        <v>73</v>
      </c>
      <c r="D3938">
        <v>0</v>
      </c>
      <c r="E3938">
        <v>0</v>
      </c>
      <c r="F3938" t="s">
        <v>234</v>
      </c>
    </row>
    <row r="3939" spans="1:6" x14ac:dyDescent="0.3">
      <c r="A3939" s="20">
        <v>45791</v>
      </c>
      <c r="B3939">
        <v>8</v>
      </c>
      <c r="C3939" t="s">
        <v>156</v>
      </c>
      <c r="D3939">
        <v>12187</v>
      </c>
      <c r="E3939">
        <v>1810</v>
      </c>
      <c r="F3939" t="s">
        <v>75</v>
      </c>
    </row>
    <row r="3940" spans="1:6" x14ac:dyDescent="0.3">
      <c r="A3940" s="20">
        <v>45791</v>
      </c>
      <c r="B3940">
        <v>8</v>
      </c>
      <c r="C3940" t="s">
        <v>66</v>
      </c>
      <c r="D3940">
        <v>37461</v>
      </c>
      <c r="E3940">
        <v>2912</v>
      </c>
      <c r="F3940" t="s">
        <v>31</v>
      </c>
    </row>
    <row r="3941" spans="1:6" x14ac:dyDescent="0.3">
      <c r="A3941" s="20">
        <v>45791</v>
      </c>
      <c r="B3941">
        <v>8</v>
      </c>
      <c r="C3941" t="s">
        <v>52</v>
      </c>
      <c r="D3941">
        <v>22</v>
      </c>
      <c r="E3941">
        <v>22</v>
      </c>
      <c r="F3941" t="s">
        <v>259</v>
      </c>
    </row>
    <row r="3942" spans="1:6" x14ac:dyDescent="0.3">
      <c r="A3942" s="20">
        <v>45791</v>
      </c>
      <c r="B3942">
        <v>8</v>
      </c>
      <c r="C3942" t="s">
        <v>243</v>
      </c>
      <c r="D3942">
        <v>11291</v>
      </c>
      <c r="E3942">
        <v>1365</v>
      </c>
      <c r="F3942" t="s">
        <v>31</v>
      </c>
    </row>
    <row r="3943" spans="1:6" x14ac:dyDescent="0.3">
      <c r="A3943" s="20">
        <v>45791</v>
      </c>
      <c r="B3943">
        <v>8</v>
      </c>
      <c r="C3943" t="s">
        <v>152</v>
      </c>
      <c r="D3943">
        <v>6411</v>
      </c>
      <c r="E3943">
        <v>750</v>
      </c>
      <c r="F3943" t="s">
        <v>252</v>
      </c>
    </row>
    <row r="3944" spans="1:6" x14ac:dyDescent="0.3">
      <c r="A3944" s="20">
        <v>45791</v>
      </c>
      <c r="B3944">
        <v>8</v>
      </c>
      <c r="C3944" t="s">
        <v>232</v>
      </c>
      <c r="D3944">
        <v>2095</v>
      </c>
      <c r="E3944">
        <v>176</v>
      </c>
      <c r="F3944" t="s">
        <v>39</v>
      </c>
    </row>
    <row r="3945" spans="1:6" x14ac:dyDescent="0.3">
      <c r="A3945" s="20">
        <v>45791</v>
      </c>
      <c r="B3945">
        <v>8</v>
      </c>
      <c r="C3945" t="s">
        <v>232</v>
      </c>
      <c r="D3945">
        <v>2668</v>
      </c>
      <c r="E3945">
        <v>136</v>
      </c>
      <c r="F3945" t="s">
        <v>74</v>
      </c>
    </row>
    <row r="3946" spans="1:6" x14ac:dyDescent="0.3">
      <c r="A3946" s="20">
        <v>45791</v>
      </c>
      <c r="B3946">
        <v>8</v>
      </c>
      <c r="C3946" t="s">
        <v>232</v>
      </c>
      <c r="D3946">
        <v>18424</v>
      </c>
      <c r="E3946">
        <v>2656</v>
      </c>
      <c r="F3946" t="s">
        <v>229</v>
      </c>
    </row>
    <row r="3947" spans="1:6" x14ac:dyDescent="0.3">
      <c r="A3947" s="20">
        <v>45791</v>
      </c>
      <c r="B3947">
        <v>8</v>
      </c>
      <c r="C3947" t="s">
        <v>250</v>
      </c>
      <c r="D3947">
        <v>1312</v>
      </c>
      <c r="E3947">
        <v>154</v>
      </c>
      <c r="F3947" t="s">
        <v>75</v>
      </c>
    </row>
    <row r="3948" spans="1:6" x14ac:dyDescent="0.3">
      <c r="A3948" s="20">
        <v>45791</v>
      </c>
      <c r="B3948">
        <v>8</v>
      </c>
      <c r="C3948" t="s">
        <v>160</v>
      </c>
      <c r="D3948">
        <v>310</v>
      </c>
      <c r="E3948">
        <v>66</v>
      </c>
      <c r="F3948" t="s">
        <v>45</v>
      </c>
    </row>
    <row r="3949" spans="1:6" x14ac:dyDescent="0.3">
      <c r="A3949" s="20">
        <v>45791</v>
      </c>
      <c r="B3949">
        <v>8</v>
      </c>
      <c r="C3949" t="s">
        <v>251</v>
      </c>
      <c r="D3949">
        <v>7471</v>
      </c>
      <c r="E3949">
        <v>935</v>
      </c>
      <c r="F3949" t="s">
        <v>44</v>
      </c>
    </row>
    <row r="3950" spans="1:6" x14ac:dyDescent="0.3">
      <c r="A3950" s="20">
        <v>45791</v>
      </c>
      <c r="B3950">
        <v>9</v>
      </c>
      <c r="C3950" t="s">
        <v>73</v>
      </c>
      <c r="D3950">
        <v>0</v>
      </c>
      <c r="E3950">
        <v>0</v>
      </c>
      <c r="F3950" t="s">
        <v>229</v>
      </c>
    </row>
    <row r="3951" spans="1:6" x14ac:dyDescent="0.3">
      <c r="A3951" s="20">
        <v>45791</v>
      </c>
      <c r="B3951">
        <v>9</v>
      </c>
      <c r="C3951" t="s">
        <v>73</v>
      </c>
      <c r="D3951">
        <v>0</v>
      </c>
      <c r="E3951">
        <v>0</v>
      </c>
      <c r="F3951" t="s">
        <v>86</v>
      </c>
    </row>
    <row r="3952" spans="1:6" x14ac:dyDescent="0.3">
      <c r="A3952" s="20">
        <v>45791</v>
      </c>
      <c r="B3952">
        <v>9</v>
      </c>
      <c r="C3952" t="s">
        <v>157</v>
      </c>
      <c r="D3952">
        <v>21070</v>
      </c>
      <c r="E3952">
        <v>2918</v>
      </c>
      <c r="F3952" t="s">
        <v>31</v>
      </c>
    </row>
    <row r="3953" spans="1:6" x14ac:dyDescent="0.3">
      <c r="A3953" s="20">
        <v>45791</v>
      </c>
      <c r="B3953">
        <v>9</v>
      </c>
      <c r="C3953" t="s">
        <v>239</v>
      </c>
      <c r="D3953">
        <v>65423</v>
      </c>
      <c r="E3953">
        <v>5623</v>
      </c>
      <c r="F3953" t="s">
        <v>31</v>
      </c>
    </row>
    <row r="3954" spans="1:6" x14ac:dyDescent="0.3">
      <c r="A3954" s="20">
        <v>45791</v>
      </c>
      <c r="B3954">
        <v>9</v>
      </c>
      <c r="C3954" t="s">
        <v>236</v>
      </c>
      <c r="D3954">
        <v>63273</v>
      </c>
      <c r="E3954">
        <v>6636</v>
      </c>
      <c r="F3954" t="s">
        <v>31</v>
      </c>
    </row>
    <row r="3955" spans="1:6" x14ac:dyDescent="0.3">
      <c r="A3955" s="20">
        <v>45791</v>
      </c>
      <c r="B3955">
        <v>9</v>
      </c>
      <c r="C3955" t="s">
        <v>236</v>
      </c>
      <c r="D3955">
        <v>769</v>
      </c>
      <c r="E3955">
        <v>121</v>
      </c>
      <c r="F3955" t="s">
        <v>42</v>
      </c>
    </row>
    <row r="3956" spans="1:6" x14ac:dyDescent="0.3">
      <c r="A3956" s="20">
        <v>45791</v>
      </c>
      <c r="B3956">
        <v>9</v>
      </c>
      <c r="C3956" t="s">
        <v>35</v>
      </c>
      <c r="D3956">
        <v>3803</v>
      </c>
      <c r="E3956">
        <v>104</v>
      </c>
      <c r="F3956" t="s">
        <v>31</v>
      </c>
    </row>
    <row r="3957" spans="1:6" x14ac:dyDescent="0.3">
      <c r="A3957" s="20">
        <v>45791</v>
      </c>
      <c r="B3957">
        <v>9</v>
      </c>
      <c r="C3957" t="s">
        <v>35</v>
      </c>
      <c r="D3957">
        <v>100</v>
      </c>
      <c r="E3957">
        <v>15</v>
      </c>
      <c r="F3957" t="s">
        <v>42</v>
      </c>
    </row>
    <row r="3958" spans="1:6" x14ac:dyDescent="0.3">
      <c r="A3958" s="20">
        <v>45791</v>
      </c>
      <c r="B3958">
        <v>9</v>
      </c>
      <c r="C3958" t="s">
        <v>54</v>
      </c>
      <c r="D3958">
        <v>288</v>
      </c>
      <c r="E3958">
        <v>64</v>
      </c>
      <c r="F3958" t="s">
        <v>31</v>
      </c>
    </row>
    <row r="3959" spans="1:6" x14ac:dyDescent="0.3">
      <c r="A3959" s="20">
        <v>45791</v>
      </c>
      <c r="B3959">
        <v>9</v>
      </c>
      <c r="C3959" t="s">
        <v>237</v>
      </c>
      <c r="D3959">
        <v>52980</v>
      </c>
      <c r="E3959">
        <v>5410</v>
      </c>
      <c r="F3959" t="s">
        <v>31</v>
      </c>
    </row>
    <row r="3960" spans="1:6" x14ac:dyDescent="0.3">
      <c r="A3960" s="20">
        <v>45791</v>
      </c>
      <c r="B3960">
        <v>9</v>
      </c>
      <c r="C3960" t="s">
        <v>49</v>
      </c>
      <c r="D3960">
        <v>0</v>
      </c>
      <c r="E3960">
        <v>0</v>
      </c>
      <c r="F3960" t="s">
        <v>77</v>
      </c>
    </row>
    <row r="3961" spans="1:6" x14ac:dyDescent="0.3">
      <c r="A3961" s="20">
        <v>45791</v>
      </c>
      <c r="B3961">
        <v>9</v>
      </c>
      <c r="C3961" t="s">
        <v>152</v>
      </c>
      <c r="D3961">
        <v>950</v>
      </c>
      <c r="E3961">
        <v>83</v>
      </c>
      <c r="F3961" t="s">
        <v>43</v>
      </c>
    </row>
    <row r="3962" spans="1:6" x14ac:dyDescent="0.3">
      <c r="A3962" s="20">
        <v>45791</v>
      </c>
      <c r="B3962">
        <v>9</v>
      </c>
      <c r="C3962" t="s">
        <v>255</v>
      </c>
      <c r="D3962">
        <v>14601</v>
      </c>
      <c r="E3962">
        <v>1711</v>
      </c>
      <c r="F3962" t="s">
        <v>39</v>
      </c>
    </row>
    <row r="3963" spans="1:6" x14ac:dyDescent="0.3">
      <c r="A3963" s="20">
        <v>45791</v>
      </c>
      <c r="B3963">
        <v>9</v>
      </c>
      <c r="C3963" t="s">
        <v>160</v>
      </c>
      <c r="D3963">
        <v>4</v>
      </c>
      <c r="E3963">
        <v>2</v>
      </c>
      <c r="F3963" t="s">
        <v>44</v>
      </c>
    </row>
    <row r="3964" spans="1:6" x14ac:dyDescent="0.3">
      <c r="A3964" s="20">
        <v>45791</v>
      </c>
      <c r="B3964">
        <v>9</v>
      </c>
      <c r="C3964" t="s">
        <v>51</v>
      </c>
      <c r="D3964">
        <v>65964</v>
      </c>
      <c r="E3964">
        <v>2460</v>
      </c>
      <c r="F3964" t="s">
        <v>38</v>
      </c>
    </row>
    <row r="3965" spans="1:6" x14ac:dyDescent="0.3">
      <c r="A3965" s="20">
        <v>45791</v>
      </c>
      <c r="B3965">
        <v>10</v>
      </c>
      <c r="C3965" t="s">
        <v>73</v>
      </c>
      <c r="D3965">
        <v>0</v>
      </c>
      <c r="E3965">
        <v>0</v>
      </c>
      <c r="F3965" t="s">
        <v>74</v>
      </c>
    </row>
    <row r="3966" spans="1:6" x14ac:dyDescent="0.3">
      <c r="A3966" s="20">
        <v>45791</v>
      </c>
      <c r="B3966">
        <v>10</v>
      </c>
      <c r="C3966" t="s">
        <v>73</v>
      </c>
      <c r="D3966">
        <v>0</v>
      </c>
      <c r="E3966">
        <v>0</v>
      </c>
      <c r="F3966" t="s">
        <v>38</v>
      </c>
    </row>
    <row r="3967" spans="1:6" x14ac:dyDescent="0.3">
      <c r="A3967" s="20">
        <v>45791</v>
      </c>
      <c r="B3967">
        <v>10</v>
      </c>
      <c r="C3967" t="s">
        <v>156</v>
      </c>
      <c r="D3967">
        <v>6990</v>
      </c>
      <c r="E3967">
        <v>1565</v>
      </c>
      <c r="F3967" t="s">
        <v>45</v>
      </c>
    </row>
    <row r="3968" spans="1:6" x14ac:dyDescent="0.3">
      <c r="A3968" s="20">
        <v>45791</v>
      </c>
      <c r="B3968">
        <v>10</v>
      </c>
      <c r="C3968" t="s">
        <v>228</v>
      </c>
      <c r="D3968">
        <v>17592</v>
      </c>
      <c r="E3968">
        <v>2977</v>
      </c>
      <c r="F3968" t="s">
        <v>231</v>
      </c>
    </row>
    <row r="3969" spans="1:6" x14ac:dyDescent="0.3">
      <c r="A3969" s="20">
        <v>45791</v>
      </c>
      <c r="B3969">
        <v>10</v>
      </c>
      <c r="C3969" t="s">
        <v>159</v>
      </c>
      <c r="D3969">
        <v>39773</v>
      </c>
      <c r="E3969">
        <v>1379</v>
      </c>
      <c r="F3969" t="s">
        <v>31</v>
      </c>
    </row>
    <row r="3970" spans="1:6" x14ac:dyDescent="0.3">
      <c r="A3970" s="20">
        <v>45791</v>
      </c>
      <c r="B3970">
        <v>10</v>
      </c>
      <c r="C3970" t="s">
        <v>230</v>
      </c>
      <c r="D3970">
        <v>36421</v>
      </c>
      <c r="E3970">
        <v>2464</v>
      </c>
      <c r="F3970" t="s">
        <v>31</v>
      </c>
    </row>
    <row r="3971" spans="1:6" x14ac:dyDescent="0.3">
      <c r="A3971" s="20">
        <v>45791</v>
      </c>
      <c r="B3971">
        <v>10</v>
      </c>
      <c r="C3971" t="s">
        <v>48</v>
      </c>
      <c r="D3971">
        <v>45324</v>
      </c>
      <c r="E3971">
        <v>2782</v>
      </c>
      <c r="F3971" t="s">
        <v>31</v>
      </c>
    </row>
    <row r="3972" spans="1:6" x14ac:dyDescent="0.3">
      <c r="A3972" s="20">
        <v>45791</v>
      </c>
      <c r="B3972">
        <v>10</v>
      </c>
      <c r="C3972" t="s">
        <v>139</v>
      </c>
      <c r="D3972">
        <v>29162</v>
      </c>
      <c r="E3972">
        <v>768</v>
      </c>
      <c r="F3972" t="s">
        <v>46</v>
      </c>
    </row>
    <row r="3973" spans="1:6" x14ac:dyDescent="0.3">
      <c r="A3973" s="20">
        <v>45791</v>
      </c>
      <c r="B3973">
        <v>10</v>
      </c>
      <c r="C3973" t="s">
        <v>152</v>
      </c>
      <c r="D3973">
        <v>5233</v>
      </c>
      <c r="E3973">
        <v>572</v>
      </c>
      <c r="F3973" t="s">
        <v>138</v>
      </c>
    </row>
    <row r="3974" spans="1:6" x14ac:dyDescent="0.3">
      <c r="A3974" s="20">
        <v>45791</v>
      </c>
      <c r="B3974">
        <v>10</v>
      </c>
      <c r="C3974" t="s">
        <v>152</v>
      </c>
      <c r="D3974">
        <v>149</v>
      </c>
      <c r="E3974">
        <v>21</v>
      </c>
      <c r="F3974" t="s">
        <v>72</v>
      </c>
    </row>
    <row r="3975" spans="1:6" x14ac:dyDescent="0.3">
      <c r="A3975" s="20">
        <v>45791</v>
      </c>
      <c r="B3975">
        <v>10</v>
      </c>
      <c r="C3975" t="s">
        <v>233</v>
      </c>
      <c r="D3975">
        <v>2912</v>
      </c>
      <c r="E3975">
        <v>500</v>
      </c>
      <c r="F3975" t="s">
        <v>85</v>
      </c>
    </row>
    <row r="3976" spans="1:6" x14ac:dyDescent="0.3">
      <c r="A3976" s="20">
        <v>45791</v>
      </c>
      <c r="B3976">
        <v>10</v>
      </c>
      <c r="C3976" t="s">
        <v>250</v>
      </c>
      <c r="D3976">
        <v>679</v>
      </c>
      <c r="E3976">
        <v>74</v>
      </c>
      <c r="F3976" t="s">
        <v>86</v>
      </c>
    </row>
    <row r="3977" spans="1:6" x14ac:dyDescent="0.3">
      <c r="A3977" s="20">
        <v>45791</v>
      </c>
      <c r="B3977">
        <v>10</v>
      </c>
      <c r="C3977" t="s">
        <v>160</v>
      </c>
      <c r="D3977">
        <v>8</v>
      </c>
      <c r="E3977">
        <v>3</v>
      </c>
      <c r="F3977" t="s">
        <v>72</v>
      </c>
    </row>
    <row r="3978" spans="1:6" x14ac:dyDescent="0.3">
      <c r="A3978" s="20">
        <v>45791</v>
      </c>
      <c r="B3978">
        <v>10</v>
      </c>
      <c r="C3978" t="s">
        <v>160</v>
      </c>
      <c r="D3978">
        <v>165</v>
      </c>
      <c r="E3978">
        <v>31</v>
      </c>
      <c r="F3978" t="s">
        <v>43</v>
      </c>
    </row>
    <row r="3979" spans="1:6" x14ac:dyDescent="0.3">
      <c r="A3979" s="20">
        <v>45791</v>
      </c>
      <c r="B3979">
        <v>10</v>
      </c>
      <c r="C3979" t="s">
        <v>162</v>
      </c>
      <c r="D3979">
        <v>12437</v>
      </c>
      <c r="E3979">
        <v>1131</v>
      </c>
      <c r="F3979" t="s">
        <v>44</v>
      </c>
    </row>
    <row r="3980" spans="1:6" x14ac:dyDescent="0.3">
      <c r="A3980" s="20">
        <v>45791</v>
      </c>
      <c r="B3980">
        <v>10</v>
      </c>
      <c r="C3980" t="s">
        <v>37</v>
      </c>
      <c r="D3980">
        <v>81522</v>
      </c>
      <c r="E3980">
        <v>2530</v>
      </c>
      <c r="F3980" t="s">
        <v>38</v>
      </c>
    </row>
    <row r="3981" spans="1:6" x14ac:dyDescent="0.3">
      <c r="A3981" s="20">
        <v>45791</v>
      </c>
      <c r="B3981">
        <v>10</v>
      </c>
      <c r="C3981" t="s">
        <v>240</v>
      </c>
      <c r="D3981">
        <v>22164</v>
      </c>
      <c r="E3981">
        <v>835</v>
      </c>
      <c r="F3981" t="s">
        <v>38</v>
      </c>
    </row>
    <row r="3982" spans="1:6" x14ac:dyDescent="0.3">
      <c r="A3982" s="20">
        <v>45791</v>
      </c>
      <c r="B3982">
        <v>10</v>
      </c>
      <c r="C3982" t="s">
        <v>81</v>
      </c>
      <c r="D3982">
        <v>98492</v>
      </c>
      <c r="E3982">
        <v>5128</v>
      </c>
      <c r="F3982" t="s">
        <v>38</v>
      </c>
    </row>
    <row r="3983" spans="1:6" x14ac:dyDescent="0.3">
      <c r="A3983" s="20">
        <v>45791</v>
      </c>
      <c r="B3983">
        <v>11</v>
      </c>
      <c r="C3983" t="s">
        <v>156</v>
      </c>
      <c r="D3983">
        <v>17768</v>
      </c>
      <c r="E3983">
        <v>2766</v>
      </c>
      <c r="F3983" t="s">
        <v>75</v>
      </c>
    </row>
    <row r="3984" spans="1:6" x14ac:dyDescent="0.3">
      <c r="A3984" s="20">
        <v>45791</v>
      </c>
      <c r="B3984">
        <v>11</v>
      </c>
      <c r="C3984" t="s">
        <v>52</v>
      </c>
      <c r="D3984">
        <v>35</v>
      </c>
      <c r="E3984">
        <v>35</v>
      </c>
      <c r="F3984" t="s">
        <v>259</v>
      </c>
    </row>
    <row r="3985" spans="1:6" x14ac:dyDescent="0.3">
      <c r="A3985" s="20">
        <v>45791</v>
      </c>
      <c r="B3985">
        <v>11</v>
      </c>
      <c r="C3985" t="s">
        <v>152</v>
      </c>
      <c r="D3985">
        <v>8861</v>
      </c>
      <c r="E3985">
        <v>1227</v>
      </c>
      <c r="F3985" t="s">
        <v>252</v>
      </c>
    </row>
    <row r="3986" spans="1:6" x14ac:dyDescent="0.3">
      <c r="A3986" s="20">
        <v>45791</v>
      </c>
      <c r="B3986">
        <v>11</v>
      </c>
      <c r="C3986" t="s">
        <v>232</v>
      </c>
      <c r="D3986">
        <v>3614</v>
      </c>
      <c r="E3986">
        <v>284</v>
      </c>
      <c r="F3986" t="s">
        <v>74</v>
      </c>
    </row>
    <row r="3987" spans="1:6" x14ac:dyDescent="0.3">
      <c r="A3987" s="20">
        <v>45791</v>
      </c>
      <c r="B3987">
        <v>11</v>
      </c>
      <c r="C3987" t="s">
        <v>232</v>
      </c>
      <c r="D3987">
        <v>18335</v>
      </c>
      <c r="E3987">
        <v>2968</v>
      </c>
      <c r="F3987" t="s">
        <v>229</v>
      </c>
    </row>
    <row r="3988" spans="1:6" x14ac:dyDescent="0.3">
      <c r="A3988" s="20">
        <v>45791</v>
      </c>
      <c r="B3988">
        <v>11</v>
      </c>
      <c r="C3988" t="s">
        <v>250</v>
      </c>
      <c r="D3988">
        <v>9710</v>
      </c>
      <c r="E3988">
        <v>2476</v>
      </c>
      <c r="F3988" t="s">
        <v>252</v>
      </c>
    </row>
    <row r="3989" spans="1:6" x14ac:dyDescent="0.3">
      <c r="A3989" s="20">
        <v>45791</v>
      </c>
      <c r="B3989">
        <v>11</v>
      </c>
      <c r="C3989" t="s">
        <v>160</v>
      </c>
      <c r="D3989">
        <v>117</v>
      </c>
      <c r="E3989">
        <v>42</v>
      </c>
      <c r="F3989" t="s">
        <v>32</v>
      </c>
    </row>
    <row r="3990" spans="1:6" x14ac:dyDescent="0.3">
      <c r="A3990" s="20">
        <v>45791</v>
      </c>
      <c r="B3990">
        <v>11</v>
      </c>
      <c r="C3990" t="s">
        <v>160</v>
      </c>
      <c r="D3990">
        <v>13576</v>
      </c>
      <c r="E3990">
        <v>1066</v>
      </c>
      <c r="F3990" t="s">
        <v>234</v>
      </c>
    </row>
    <row r="3991" spans="1:6" x14ac:dyDescent="0.3">
      <c r="A3991" s="20">
        <v>45791</v>
      </c>
      <c r="B3991">
        <v>11</v>
      </c>
      <c r="C3991" t="s">
        <v>160</v>
      </c>
      <c r="D3991">
        <v>263</v>
      </c>
      <c r="E3991">
        <v>62</v>
      </c>
      <c r="F3991" t="s">
        <v>45</v>
      </c>
    </row>
    <row r="3992" spans="1:6" x14ac:dyDescent="0.3">
      <c r="A3992" s="20">
        <v>45791</v>
      </c>
      <c r="B3992">
        <v>11</v>
      </c>
      <c r="C3992" t="s">
        <v>125</v>
      </c>
      <c r="D3992">
        <v>103259</v>
      </c>
      <c r="E3992">
        <v>5755</v>
      </c>
      <c r="F3992" t="s">
        <v>38</v>
      </c>
    </row>
    <row r="3993" spans="1:6" x14ac:dyDescent="0.3">
      <c r="A3993" s="20">
        <v>45791</v>
      </c>
      <c r="B3993">
        <v>12</v>
      </c>
      <c r="C3993" t="s">
        <v>73</v>
      </c>
      <c r="D3993">
        <v>0</v>
      </c>
      <c r="E3993">
        <v>0</v>
      </c>
      <c r="F3993" t="s">
        <v>86</v>
      </c>
    </row>
    <row r="3994" spans="1:6" x14ac:dyDescent="0.3">
      <c r="A3994" s="20">
        <v>45791</v>
      </c>
      <c r="B3994">
        <v>12</v>
      </c>
      <c r="C3994" t="s">
        <v>157</v>
      </c>
      <c r="D3994">
        <v>22955</v>
      </c>
      <c r="E3994">
        <v>2880</v>
      </c>
      <c r="F3994" t="s">
        <v>31</v>
      </c>
    </row>
    <row r="3995" spans="1:6" x14ac:dyDescent="0.3">
      <c r="A3995" s="20">
        <v>45791</v>
      </c>
      <c r="B3995">
        <v>12</v>
      </c>
      <c r="C3995" t="s">
        <v>236</v>
      </c>
      <c r="D3995">
        <v>47112</v>
      </c>
      <c r="E3995">
        <v>4596</v>
      </c>
      <c r="F3995" t="s">
        <v>31</v>
      </c>
    </row>
    <row r="3996" spans="1:6" x14ac:dyDescent="0.3">
      <c r="A3996" s="20">
        <v>45791</v>
      </c>
      <c r="B3996">
        <v>12</v>
      </c>
      <c r="C3996" t="s">
        <v>236</v>
      </c>
      <c r="D3996">
        <v>758</v>
      </c>
      <c r="E3996">
        <v>142</v>
      </c>
      <c r="F3996" t="s">
        <v>42</v>
      </c>
    </row>
    <row r="3997" spans="1:6" x14ac:dyDescent="0.3">
      <c r="A3997" s="20">
        <v>45791</v>
      </c>
      <c r="B3997">
        <v>12</v>
      </c>
      <c r="C3997" t="s">
        <v>35</v>
      </c>
      <c r="D3997">
        <v>3432</v>
      </c>
      <c r="E3997">
        <v>95</v>
      </c>
      <c r="F3997" t="s">
        <v>31</v>
      </c>
    </row>
    <row r="3998" spans="1:6" x14ac:dyDescent="0.3">
      <c r="A3998" s="20">
        <v>45791</v>
      </c>
      <c r="B3998">
        <v>12</v>
      </c>
      <c r="C3998" t="s">
        <v>35</v>
      </c>
      <c r="D3998">
        <v>102</v>
      </c>
      <c r="E3998">
        <v>21</v>
      </c>
      <c r="F3998" t="s">
        <v>42</v>
      </c>
    </row>
    <row r="3999" spans="1:6" x14ac:dyDescent="0.3">
      <c r="A3999" s="20">
        <v>45791</v>
      </c>
      <c r="B3999">
        <v>12</v>
      </c>
      <c r="C3999" t="s">
        <v>41</v>
      </c>
      <c r="D3999">
        <v>4248</v>
      </c>
      <c r="E3999">
        <v>193</v>
      </c>
      <c r="F3999" t="s">
        <v>31</v>
      </c>
    </row>
    <row r="4000" spans="1:6" x14ac:dyDescent="0.3">
      <c r="A4000" s="20">
        <v>45791</v>
      </c>
      <c r="B4000">
        <v>12</v>
      </c>
      <c r="C4000" t="s">
        <v>54</v>
      </c>
      <c r="D4000">
        <v>264</v>
      </c>
      <c r="E4000">
        <v>31</v>
      </c>
      <c r="F4000" t="s">
        <v>31</v>
      </c>
    </row>
    <row r="4001" spans="1:6" x14ac:dyDescent="0.3">
      <c r="A4001" s="20">
        <v>45791</v>
      </c>
      <c r="B4001">
        <v>12</v>
      </c>
      <c r="C4001" t="s">
        <v>237</v>
      </c>
      <c r="D4001">
        <v>44406</v>
      </c>
      <c r="E4001">
        <v>3977</v>
      </c>
      <c r="F4001" t="s">
        <v>31</v>
      </c>
    </row>
    <row r="4002" spans="1:6" x14ac:dyDescent="0.3">
      <c r="A4002" s="20">
        <v>45791</v>
      </c>
      <c r="B4002">
        <v>12</v>
      </c>
      <c r="C4002" t="s">
        <v>49</v>
      </c>
      <c r="D4002">
        <v>0</v>
      </c>
      <c r="E4002">
        <v>0</v>
      </c>
      <c r="F4002" t="s">
        <v>77</v>
      </c>
    </row>
    <row r="4003" spans="1:6" x14ac:dyDescent="0.3">
      <c r="A4003" s="20">
        <v>45791</v>
      </c>
      <c r="B4003">
        <v>12</v>
      </c>
      <c r="C4003" t="s">
        <v>152</v>
      </c>
      <c r="D4003">
        <v>831</v>
      </c>
      <c r="E4003">
        <v>69</v>
      </c>
      <c r="F4003" t="s">
        <v>43</v>
      </c>
    </row>
    <row r="4004" spans="1:6" x14ac:dyDescent="0.3">
      <c r="A4004" s="20">
        <v>45791</v>
      </c>
      <c r="B4004">
        <v>12</v>
      </c>
      <c r="C4004" t="s">
        <v>155</v>
      </c>
      <c r="D4004">
        <v>269</v>
      </c>
      <c r="E4004">
        <v>80</v>
      </c>
      <c r="F4004" t="s">
        <v>229</v>
      </c>
    </row>
    <row r="4005" spans="1:6" x14ac:dyDescent="0.3">
      <c r="A4005" s="20">
        <v>45791</v>
      </c>
      <c r="B4005">
        <v>12</v>
      </c>
      <c r="C4005" t="s">
        <v>160</v>
      </c>
      <c r="D4005">
        <v>3392</v>
      </c>
      <c r="E4005">
        <v>614</v>
      </c>
      <c r="F4005" t="s">
        <v>229</v>
      </c>
    </row>
    <row r="4006" spans="1:6" x14ac:dyDescent="0.3">
      <c r="A4006" s="20">
        <v>45791</v>
      </c>
      <c r="B4006">
        <v>12</v>
      </c>
      <c r="C4006" t="s">
        <v>51</v>
      </c>
      <c r="D4006">
        <v>68526</v>
      </c>
      <c r="E4006">
        <v>2617</v>
      </c>
      <c r="F4006" t="s">
        <v>38</v>
      </c>
    </row>
    <row r="4007" spans="1:6" x14ac:dyDescent="0.3">
      <c r="A4007" s="20">
        <v>45791</v>
      </c>
      <c r="B4007">
        <v>12</v>
      </c>
      <c r="C4007" t="s">
        <v>40</v>
      </c>
      <c r="D4007">
        <v>2933</v>
      </c>
      <c r="E4007">
        <v>230</v>
      </c>
    </row>
    <row r="4008" spans="1:6" x14ac:dyDescent="0.3">
      <c r="A4008" s="20">
        <v>45791</v>
      </c>
      <c r="B4008">
        <v>12</v>
      </c>
      <c r="C4008" t="s">
        <v>251</v>
      </c>
      <c r="D4008">
        <v>6879</v>
      </c>
      <c r="E4008">
        <v>675</v>
      </c>
      <c r="F4008" t="s">
        <v>47</v>
      </c>
    </row>
    <row r="4009" spans="1:6" x14ac:dyDescent="0.3">
      <c r="A4009" s="20">
        <v>45791</v>
      </c>
      <c r="B4009">
        <v>12</v>
      </c>
      <c r="C4009" t="s">
        <v>235</v>
      </c>
      <c r="D4009">
        <v>8665</v>
      </c>
      <c r="E4009">
        <v>832</v>
      </c>
      <c r="F4009" t="s">
        <v>39</v>
      </c>
    </row>
    <row r="4010" spans="1:6" x14ac:dyDescent="0.3">
      <c r="A4010" s="20">
        <v>45791</v>
      </c>
      <c r="B4010">
        <v>13</v>
      </c>
      <c r="C4010" t="s">
        <v>73</v>
      </c>
      <c r="D4010">
        <v>0</v>
      </c>
      <c r="E4010">
        <v>0</v>
      </c>
      <c r="F4010" t="s">
        <v>74</v>
      </c>
    </row>
    <row r="4011" spans="1:6" x14ac:dyDescent="0.3">
      <c r="A4011" s="20">
        <v>45791</v>
      </c>
      <c r="B4011">
        <v>13</v>
      </c>
      <c r="C4011" t="s">
        <v>73</v>
      </c>
      <c r="D4011">
        <v>0</v>
      </c>
      <c r="E4011">
        <v>0</v>
      </c>
      <c r="F4011" t="s">
        <v>38</v>
      </c>
    </row>
    <row r="4012" spans="1:6" x14ac:dyDescent="0.3">
      <c r="A4012" s="20">
        <v>45791</v>
      </c>
      <c r="B4012">
        <v>13</v>
      </c>
      <c r="C4012" t="s">
        <v>228</v>
      </c>
      <c r="D4012">
        <v>24145</v>
      </c>
      <c r="E4012">
        <v>3054</v>
      </c>
      <c r="F4012" t="s">
        <v>231</v>
      </c>
    </row>
    <row r="4013" spans="1:6" x14ac:dyDescent="0.3">
      <c r="A4013" s="20">
        <v>45791</v>
      </c>
      <c r="B4013">
        <v>13</v>
      </c>
      <c r="C4013" t="s">
        <v>159</v>
      </c>
      <c r="D4013">
        <v>41591</v>
      </c>
      <c r="E4013">
        <v>1480</v>
      </c>
      <c r="F4013" t="s">
        <v>31</v>
      </c>
    </row>
    <row r="4014" spans="1:6" x14ac:dyDescent="0.3">
      <c r="A4014" s="20">
        <v>45791</v>
      </c>
      <c r="B4014">
        <v>13</v>
      </c>
      <c r="C4014" t="s">
        <v>249</v>
      </c>
      <c r="D4014">
        <v>39414</v>
      </c>
      <c r="E4014">
        <v>1445</v>
      </c>
      <c r="F4014" t="s">
        <v>31</v>
      </c>
    </row>
    <row r="4015" spans="1:6" x14ac:dyDescent="0.3">
      <c r="A4015" s="20">
        <v>45791</v>
      </c>
      <c r="B4015">
        <v>13</v>
      </c>
      <c r="C4015" t="s">
        <v>230</v>
      </c>
      <c r="D4015">
        <v>29113</v>
      </c>
      <c r="E4015">
        <v>2748</v>
      </c>
      <c r="F4015" t="s">
        <v>31</v>
      </c>
    </row>
    <row r="4016" spans="1:6" x14ac:dyDescent="0.3">
      <c r="A4016" s="20">
        <v>45791</v>
      </c>
      <c r="B4016">
        <v>13</v>
      </c>
      <c r="C4016" t="s">
        <v>48</v>
      </c>
      <c r="D4016">
        <v>46041</v>
      </c>
      <c r="E4016">
        <v>2748</v>
      </c>
      <c r="F4016" t="s">
        <v>31</v>
      </c>
    </row>
    <row r="4017" spans="1:6" x14ac:dyDescent="0.3">
      <c r="A4017" s="20">
        <v>45791</v>
      </c>
      <c r="B4017">
        <v>13</v>
      </c>
      <c r="C4017" t="s">
        <v>48</v>
      </c>
      <c r="D4017">
        <v>19823</v>
      </c>
      <c r="E4017">
        <v>679</v>
      </c>
      <c r="F4017" t="s">
        <v>42</v>
      </c>
    </row>
    <row r="4018" spans="1:6" x14ac:dyDescent="0.3">
      <c r="A4018" s="20">
        <v>45791</v>
      </c>
      <c r="B4018">
        <v>13</v>
      </c>
      <c r="C4018" t="s">
        <v>152</v>
      </c>
      <c r="D4018">
        <v>6267</v>
      </c>
      <c r="E4018">
        <v>643</v>
      </c>
      <c r="F4018" t="s">
        <v>138</v>
      </c>
    </row>
    <row r="4019" spans="1:6" x14ac:dyDescent="0.3">
      <c r="A4019" s="20">
        <v>45791</v>
      </c>
      <c r="B4019">
        <v>13</v>
      </c>
      <c r="C4019" t="s">
        <v>152</v>
      </c>
      <c r="D4019">
        <v>185</v>
      </c>
      <c r="E4019">
        <v>29</v>
      </c>
      <c r="F4019" t="s">
        <v>72</v>
      </c>
    </row>
    <row r="4020" spans="1:6" x14ac:dyDescent="0.3">
      <c r="A4020" s="20">
        <v>45791</v>
      </c>
      <c r="B4020">
        <v>13</v>
      </c>
      <c r="C4020" t="s">
        <v>261</v>
      </c>
      <c r="D4020">
        <v>12460</v>
      </c>
      <c r="E4020">
        <v>1124</v>
      </c>
      <c r="F4020" t="s">
        <v>31</v>
      </c>
    </row>
    <row r="4021" spans="1:6" x14ac:dyDescent="0.3">
      <c r="A4021" s="20">
        <v>45791</v>
      </c>
      <c r="B4021">
        <v>13</v>
      </c>
      <c r="C4021" t="s">
        <v>250</v>
      </c>
      <c r="D4021">
        <v>838</v>
      </c>
      <c r="E4021">
        <v>109</v>
      </c>
      <c r="F4021" t="s">
        <v>86</v>
      </c>
    </row>
    <row r="4022" spans="1:6" x14ac:dyDescent="0.3">
      <c r="A4022" s="20">
        <v>45791</v>
      </c>
      <c r="B4022">
        <v>13</v>
      </c>
      <c r="C4022" t="s">
        <v>250</v>
      </c>
      <c r="D4022">
        <v>144</v>
      </c>
      <c r="E4022">
        <v>29</v>
      </c>
      <c r="F4022" t="s">
        <v>257</v>
      </c>
    </row>
    <row r="4023" spans="1:6" x14ac:dyDescent="0.3">
      <c r="A4023" s="20">
        <v>45791</v>
      </c>
      <c r="B4023">
        <v>13</v>
      </c>
      <c r="C4023" t="s">
        <v>160</v>
      </c>
      <c r="D4023">
        <v>298</v>
      </c>
      <c r="E4023">
        <v>39</v>
      </c>
      <c r="F4023" t="s">
        <v>47</v>
      </c>
    </row>
    <row r="4024" spans="1:6" x14ac:dyDescent="0.3">
      <c r="A4024" s="20">
        <v>45791</v>
      </c>
      <c r="B4024">
        <v>13</v>
      </c>
      <c r="C4024" t="s">
        <v>160</v>
      </c>
      <c r="D4024">
        <v>58</v>
      </c>
      <c r="E4024">
        <v>4</v>
      </c>
      <c r="F4024" t="s">
        <v>43</v>
      </c>
    </row>
    <row r="4025" spans="1:6" x14ac:dyDescent="0.3">
      <c r="A4025" s="20">
        <v>45791</v>
      </c>
      <c r="B4025">
        <v>13</v>
      </c>
      <c r="C4025" t="s">
        <v>162</v>
      </c>
      <c r="D4025">
        <v>14760</v>
      </c>
      <c r="E4025">
        <v>1375</v>
      </c>
      <c r="F4025" t="s">
        <v>44</v>
      </c>
    </row>
    <row r="4026" spans="1:6" x14ac:dyDescent="0.3">
      <c r="A4026" s="20">
        <v>45791</v>
      </c>
      <c r="B4026">
        <v>13</v>
      </c>
      <c r="C4026" t="s">
        <v>37</v>
      </c>
      <c r="D4026">
        <v>88494</v>
      </c>
      <c r="E4026">
        <v>2378</v>
      </c>
      <c r="F4026" t="s">
        <v>38</v>
      </c>
    </row>
    <row r="4027" spans="1:6" x14ac:dyDescent="0.3">
      <c r="A4027" s="20">
        <v>45791</v>
      </c>
      <c r="B4027">
        <v>13</v>
      </c>
      <c r="C4027" t="s">
        <v>126</v>
      </c>
      <c r="D4027">
        <v>30</v>
      </c>
      <c r="E4027">
        <v>30</v>
      </c>
      <c r="F4027" t="s">
        <v>38</v>
      </c>
    </row>
    <row r="4028" spans="1:6" x14ac:dyDescent="0.3">
      <c r="A4028" s="20">
        <v>45791</v>
      </c>
      <c r="B4028">
        <v>13</v>
      </c>
      <c r="C4028" t="s">
        <v>240</v>
      </c>
      <c r="D4028">
        <v>22727</v>
      </c>
      <c r="E4028">
        <v>815</v>
      </c>
      <c r="F4028" t="s">
        <v>38</v>
      </c>
    </row>
    <row r="4029" spans="1:6" x14ac:dyDescent="0.3">
      <c r="A4029" s="20">
        <v>45791</v>
      </c>
      <c r="B4029">
        <v>13</v>
      </c>
      <c r="C4029" t="s">
        <v>81</v>
      </c>
      <c r="D4029">
        <v>90522</v>
      </c>
      <c r="E4029">
        <v>4012</v>
      </c>
      <c r="F4029" t="s">
        <v>38</v>
      </c>
    </row>
    <row r="4030" spans="1:6" x14ac:dyDescent="0.3">
      <c r="A4030" s="20">
        <v>45791</v>
      </c>
      <c r="B4030">
        <v>13</v>
      </c>
      <c r="C4030" t="s">
        <v>235</v>
      </c>
      <c r="D4030">
        <v>657</v>
      </c>
      <c r="E4030">
        <v>93</v>
      </c>
      <c r="F4030" t="s">
        <v>161</v>
      </c>
    </row>
    <row r="4031" spans="1:6" x14ac:dyDescent="0.3">
      <c r="A4031" s="20">
        <v>45791</v>
      </c>
      <c r="B4031">
        <v>14</v>
      </c>
      <c r="C4031" t="s">
        <v>73</v>
      </c>
      <c r="D4031">
        <v>0</v>
      </c>
      <c r="E4031">
        <v>0</v>
      </c>
      <c r="F4031" t="s">
        <v>39</v>
      </c>
    </row>
    <row r="4032" spans="1:6" x14ac:dyDescent="0.3">
      <c r="A4032" s="20">
        <v>45791</v>
      </c>
      <c r="B4032">
        <v>14</v>
      </c>
      <c r="C4032" t="s">
        <v>52</v>
      </c>
      <c r="D4032">
        <v>44522</v>
      </c>
      <c r="E4032">
        <v>2202</v>
      </c>
      <c r="F4032" t="s">
        <v>31</v>
      </c>
    </row>
    <row r="4033" spans="1:6" x14ac:dyDescent="0.3">
      <c r="A4033" s="20">
        <v>45791</v>
      </c>
      <c r="B4033">
        <v>14</v>
      </c>
      <c r="C4033" t="s">
        <v>52</v>
      </c>
      <c r="D4033">
        <v>31</v>
      </c>
      <c r="E4033">
        <v>31</v>
      </c>
      <c r="F4033" t="s">
        <v>259</v>
      </c>
    </row>
    <row r="4034" spans="1:6" x14ac:dyDescent="0.3">
      <c r="A4034" s="20">
        <v>45791</v>
      </c>
      <c r="B4034">
        <v>14</v>
      </c>
      <c r="C4034" t="s">
        <v>152</v>
      </c>
      <c r="D4034">
        <v>6657</v>
      </c>
      <c r="E4034">
        <v>889</v>
      </c>
      <c r="F4034" t="s">
        <v>252</v>
      </c>
    </row>
    <row r="4035" spans="1:6" x14ac:dyDescent="0.3">
      <c r="A4035" s="20">
        <v>45791</v>
      </c>
      <c r="B4035">
        <v>14</v>
      </c>
      <c r="C4035" t="s">
        <v>232</v>
      </c>
      <c r="D4035">
        <v>1319</v>
      </c>
      <c r="E4035">
        <v>148</v>
      </c>
      <c r="F4035" t="s">
        <v>74</v>
      </c>
    </row>
    <row r="4036" spans="1:6" x14ac:dyDescent="0.3">
      <c r="A4036" s="20">
        <v>45791</v>
      </c>
      <c r="B4036">
        <v>14</v>
      </c>
      <c r="C4036" t="s">
        <v>232</v>
      </c>
      <c r="D4036">
        <v>15728</v>
      </c>
      <c r="E4036">
        <v>2237</v>
      </c>
      <c r="F4036" t="s">
        <v>229</v>
      </c>
    </row>
    <row r="4037" spans="1:6" x14ac:dyDescent="0.3">
      <c r="A4037" s="20">
        <v>45791</v>
      </c>
      <c r="B4037">
        <v>14</v>
      </c>
      <c r="C4037" t="s">
        <v>250</v>
      </c>
      <c r="D4037">
        <v>12401</v>
      </c>
      <c r="E4037">
        <v>2805</v>
      </c>
      <c r="F4037" t="s">
        <v>252</v>
      </c>
    </row>
    <row r="4038" spans="1:6" x14ac:dyDescent="0.3">
      <c r="A4038" s="20">
        <v>45791</v>
      </c>
      <c r="B4038">
        <v>14</v>
      </c>
      <c r="C4038" t="s">
        <v>160</v>
      </c>
      <c r="D4038">
        <v>52</v>
      </c>
      <c r="E4038">
        <v>16</v>
      </c>
      <c r="F4038" t="s">
        <v>32</v>
      </c>
    </row>
    <row r="4039" spans="1:6" x14ac:dyDescent="0.3">
      <c r="A4039" s="20">
        <v>45791</v>
      </c>
      <c r="B4039">
        <v>14</v>
      </c>
      <c r="C4039" t="s">
        <v>160</v>
      </c>
      <c r="D4039">
        <v>14072</v>
      </c>
      <c r="E4039">
        <v>1355</v>
      </c>
      <c r="F4039" t="s">
        <v>234</v>
      </c>
    </row>
    <row r="4040" spans="1:6" x14ac:dyDescent="0.3">
      <c r="A4040" s="20">
        <v>45791</v>
      </c>
      <c r="B4040">
        <v>14</v>
      </c>
      <c r="C4040" t="s">
        <v>160</v>
      </c>
      <c r="D4040">
        <v>349</v>
      </c>
      <c r="E4040">
        <v>81</v>
      </c>
      <c r="F4040" t="s">
        <v>45</v>
      </c>
    </row>
    <row r="4041" spans="1:6" x14ac:dyDescent="0.3">
      <c r="A4041" s="20">
        <v>45791</v>
      </c>
      <c r="B4041">
        <v>14</v>
      </c>
      <c r="C4041" t="s">
        <v>125</v>
      </c>
      <c r="D4041">
        <v>105919</v>
      </c>
      <c r="E4041">
        <v>5697</v>
      </c>
      <c r="F4041" t="s">
        <v>38</v>
      </c>
    </row>
    <row r="4042" spans="1:6" x14ac:dyDescent="0.3">
      <c r="A4042" s="20">
        <v>45791</v>
      </c>
      <c r="B4042">
        <v>15</v>
      </c>
      <c r="C4042" t="s">
        <v>73</v>
      </c>
      <c r="D4042">
        <v>0</v>
      </c>
      <c r="E4042">
        <v>0</v>
      </c>
      <c r="F4042" t="s">
        <v>86</v>
      </c>
    </row>
    <row r="4043" spans="1:6" x14ac:dyDescent="0.3">
      <c r="A4043" s="20">
        <v>45791</v>
      </c>
      <c r="B4043">
        <v>15</v>
      </c>
      <c r="C4043" t="s">
        <v>73</v>
      </c>
      <c r="D4043">
        <v>0</v>
      </c>
      <c r="E4043">
        <v>0</v>
      </c>
      <c r="F4043" t="s">
        <v>161</v>
      </c>
    </row>
    <row r="4044" spans="1:6" x14ac:dyDescent="0.3">
      <c r="A4044" s="20">
        <v>45791</v>
      </c>
      <c r="B4044">
        <v>15</v>
      </c>
      <c r="C4044" t="s">
        <v>153</v>
      </c>
      <c r="D4044">
        <v>2024</v>
      </c>
      <c r="E4044">
        <v>36</v>
      </c>
      <c r="F4044" t="s">
        <v>248</v>
      </c>
    </row>
    <row r="4045" spans="1:6" x14ac:dyDescent="0.3">
      <c r="A4045" s="20">
        <v>45791</v>
      </c>
      <c r="B4045">
        <v>15</v>
      </c>
      <c r="C4045" t="s">
        <v>157</v>
      </c>
      <c r="D4045">
        <v>2140</v>
      </c>
      <c r="E4045">
        <v>150</v>
      </c>
      <c r="F4045" t="s">
        <v>31</v>
      </c>
    </row>
    <row r="4046" spans="1:6" x14ac:dyDescent="0.3">
      <c r="A4046" s="20">
        <v>45791</v>
      </c>
      <c r="B4046">
        <v>15</v>
      </c>
      <c r="C4046" t="s">
        <v>236</v>
      </c>
      <c r="D4046">
        <v>1452</v>
      </c>
      <c r="E4046">
        <v>132</v>
      </c>
      <c r="F4046" t="s">
        <v>31</v>
      </c>
    </row>
    <row r="4047" spans="1:6" x14ac:dyDescent="0.3">
      <c r="A4047" s="20">
        <v>45791</v>
      </c>
      <c r="B4047">
        <v>15</v>
      </c>
      <c r="C4047" t="s">
        <v>41</v>
      </c>
      <c r="D4047">
        <v>85</v>
      </c>
      <c r="E4047">
        <v>7</v>
      </c>
      <c r="F4047" t="s">
        <v>31</v>
      </c>
    </row>
    <row r="4048" spans="1:6" x14ac:dyDescent="0.3">
      <c r="A4048" s="20">
        <v>45791</v>
      </c>
      <c r="B4048">
        <v>15</v>
      </c>
      <c r="C4048" t="s">
        <v>237</v>
      </c>
      <c r="D4048">
        <v>1285</v>
      </c>
      <c r="E4048">
        <v>110</v>
      </c>
      <c r="F4048" t="s">
        <v>31</v>
      </c>
    </row>
    <row r="4049" spans="1:6" x14ac:dyDescent="0.3">
      <c r="A4049" s="20">
        <v>45791</v>
      </c>
      <c r="B4049">
        <v>15</v>
      </c>
      <c r="C4049" t="s">
        <v>152</v>
      </c>
      <c r="D4049">
        <v>92</v>
      </c>
      <c r="E4049">
        <v>9</v>
      </c>
      <c r="F4049" t="s">
        <v>43</v>
      </c>
    </row>
    <row r="4050" spans="1:6" x14ac:dyDescent="0.3">
      <c r="A4050" s="20">
        <v>45791</v>
      </c>
      <c r="B4050">
        <v>15</v>
      </c>
      <c r="C4050" t="s">
        <v>233</v>
      </c>
      <c r="D4050">
        <v>180</v>
      </c>
      <c r="E4050">
        <v>35</v>
      </c>
      <c r="F4050" t="s">
        <v>72</v>
      </c>
    </row>
    <row r="4051" spans="1:6" x14ac:dyDescent="0.3">
      <c r="A4051" s="20">
        <v>45791</v>
      </c>
      <c r="B4051">
        <v>15</v>
      </c>
      <c r="C4051" t="s">
        <v>250</v>
      </c>
      <c r="D4051">
        <v>41</v>
      </c>
      <c r="E4051">
        <v>7</v>
      </c>
      <c r="F4051" t="s">
        <v>34</v>
      </c>
    </row>
    <row r="4052" spans="1:6" x14ac:dyDescent="0.3">
      <c r="A4052" s="20">
        <v>45791</v>
      </c>
      <c r="B4052">
        <v>15</v>
      </c>
      <c r="C4052" t="s">
        <v>160</v>
      </c>
      <c r="D4052">
        <v>163</v>
      </c>
      <c r="E4052">
        <v>9</v>
      </c>
      <c r="F4052" t="s">
        <v>229</v>
      </c>
    </row>
    <row r="4053" spans="1:6" x14ac:dyDescent="0.3">
      <c r="A4053" s="20">
        <v>45791</v>
      </c>
      <c r="B4053">
        <v>15</v>
      </c>
      <c r="C4053" t="s">
        <v>40</v>
      </c>
      <c r="D4053">
        <v>171</v>
      </c>
      <c r="E4053">
        <v>10</v>
      </c>
    </row>
    <row r="4054" spans="1:6" x14ac:dyDescent="0.3">
      <c r="A4054" s="20">
        <v>45791</v>
      </c>
      <c r="B4054">
        <v>15</v>
      </c>
      <c r="C4054" t="s">
        <v>251</v>
      </c>
      <c r="D4054">
        <v>418</v>
      </c>
      <c r="E4054">
        <v>33</v>
      </c>
      <c r="F4054" t="s">
        <v>47</v>
      </c>
    </row>
    <row r="4055" spans="1:6" x14ac:dyDescent="0.3">
      <c r="A4055" s="20">
        <v>45791</v>
      </c>
      <c r="B4055">
        <v>15</v>
      </c>
      <c r="C4055" t="s">
        <v>235</v>
      </c>
      <c r="D4055">
        <v>649</v>
      </c>
      <c r="E4055">
        <v>68</v>
      </c>
      <c r="F4055" t="s">
        <v>39</v>
      </c>
    </row>
    <row r="4056" spans="1:6" x14ac:dyDescent="0.3">
      <c r="A4056" s="20">
        <v>45791</v>
      </c>
      <c r="B4056">
        <v>8</v>
      </c>
      <c r="C4056" t="s">
        <v>73</v>
      </c>
      <c r="D4056">
        <v>0</v>
      </c>
      <c r="E4056">
        <v>0</v>
      </c>
      <c r="F4056" t="s">
        <v>45</v>
      </c>
    </row>
    <row r="4057" spans="1:6" x14ac:dyDescent="0.3">
      <c r="A4057" s="20">
        <v>45791</v>
      </c>
      <c r="B4057">
        <v>8</v>
      </c>
      <c r="C4057" t="s">
        <v>73</v>
      </c>
      <c r="D4057">
        <v>0</v>
      </c>
      <c r="E4057">
        <v>0</v>
      </c>
      <c r="F4057" t="s">
        <v>75</v>
      </c>
    </row>
    <row r="4058" spans="1:6" x14ac:dyDescent="0.3">
      <c r="A4058" s="20">
        <v>45791</v>
      </c>
      <c r="B4058">
        <v>8</v>
      </c>
      <c r="C4058" t="s">
        <v>228</v>
      </c>
      <c r="D4058">
        <v>386</v>
      </c>
      <c r="E4058">
        <v>59</v>
      </c>
      <c r="F4058" t="s">
        <v>72</v>
      </c>
    </row>
    <row r="4059" spans="1:6" x14ac:dyDescent="0.3">
      <c r="A4059" s="20">
        <v>45791</v>
      </c>
      <c r="B4059">
        <v>8</v>
      </c>
      <c r="C4059" t="s">
        <v>232</v>
      </c>
      <c r="D4059">
        <v>356</v>
      </c>
      <c r="E4059">
        <v>27</v>
      </c>
      <c r="F4059" t="s">
        <v>68</v>
      </c>
    </row>
    <row r="4060" spans="1:6" x14ac:dyDescent="0.3">
      <c r="A4060" s="20">
        <v>45791</v>
      </c>
      <c r="B4060">
        <v>8</v>
      </c>
      <c r="C4060" t="s">
        <v>238</v>
      </c>
      <c r="D4060">
        <v>12404</v>
      </c>
      <c r="E4060">
        <v>854</v>
      </c>
      <c r="F4060" t="s">
        <v>32</v>
      </c>
    </row>
    <row r="4061" spans="1:6" x14ac:dyDescent="0.3">
      <c r="A4061" s="20">
        <v>45791</v>
      </c>
      <c r="B4061">
        <v>8</v>
      </c>
      <c r="C4061" t="s">
        <v>238</v>
      </c>
      <c r="D4061">
        <v>8294</v>
      </c>
      <c r="E4061">
        <v>874</v>
      </c>
      <c r="F4061" t="s">
        <v>229</v>
      </c>
    </row>
    <row r="4062" spans="1:6" x14ac:dyDescent="0.3">
      <c r="A4062" s="20">
        <v>45791</v>
      </c>
      <c r="B4062">
        <v>8</v>
      </c>
      <c r="C4062" t="s">
        <v>155</v>
      </c>
      <c r="D4062">
        <v>15</v>
      </c>
      <c r="E4062">
        <v>0</v>
      </c>
      <c r="F4062" t="s">
        <v>33</v>
      </c>
    </row>
    <row r="4063" spans="1:6" x14ac:dyDescent="0.3">
      <c r="A4063" s="20">
        <v>45791</v>
      </c>
      <c r="B4063">
        <v>8</v>
      </c>
      <c r="C4063" t="s">
        <v>250</v>
      </c>
      <c r="D4063">
        <v>159</v>
      </c>
      <c r="E4063">
        <v>34</v>
      </c>
      <c r="F4063" t="s">
        <v>85</v>
      </c>
    </row>
    <row r="4064" spans="1:6" x14ac:dyDescent="0.3">
      <c r="A4064" s="20">
        <v>45791</v>
      </c>
      <c r="B4064">
        <v>8</v>
      </c>
      <c r="C4064" t="s">
        <v>250</v>
      </c>
      <c r="D4064">
        <v>9553</v>
      </c>
      <c r="E4064">
        <v>2316</v>
      </c>
      <c r="F4064" t="s">
        <v>252</v>
      </c>
    </row>
    <row r="4065" spans="1:6" x14ac:dyDescent="0.3">
      <c r="A4065" s="20">
        <v>45791</v>
      </c>
      <c r="B4065">
        <v>8</v>
      </c>
      <c r="C4065" t="s">
        <v>165</v>
      </c>
      <c r="D4065">
        <v>4</v>
      </c>
      <c r="E4065">
        <v>4</v>
      </c>
      <c r="F4065" t="s">
        <v>38</v>
      </c>
    </row>
    <row r="4066" spans="1:6" x14ac:dyDescent="0.3">
      <c r="A4066" s="20">
        <v>45791</v>
      </c>
      <c r="B4066">
        <v>9</v>
      </c>
      <c r="C4066" t="s">
        <v>73</v>
      </c>
      <c r="D4066">
        <v>0</v>
      </c>
      <c r="E4066">
        <v>0</v>
      </c>
      <c r="F4066" t="s">
        <v>231</v>
      </c>
    </row>
    <row r="4067" spans="1:6" x14ac:dyDescent="0.3">
      <c r="A4067" s="20">
        <v>45791</v>
      </c>
      <c r="B4067">
        <v>9</v>
      </c>
      <c r="C4067" t="s">
        <v>73</v>
      </c>
      <c r="D4067">
        <v>0</v>
      </c>
      <c r="E4067">
        <v>0</v>
      </c>
      <c r="F4067" t="s">
        <v>161</v>
      </c>
    </row>
    <row r="4068" spans="1:6" x14ac:dyDescent="0.3">
      <c r="A4068" s="20">
        <v>45791</v>
      </c>
      <c r="B4068">
        <v>9</v>
      </c>
      <c r="C4068" t="s">
        <v>73</v>
      </c>
      <c r="D4068">
        <v>0</v>
      </c>
      <c r="E4068">
        <v>0</v>
      </c>
      <c r="F4068" t="s">
        <v>72</v>
      </c>
    </row>
    <row r="4069" spans="1:6" x14ac:dyDescent="0.3">
      <c r="A4069" s="20">
        <v>45791</v>
      </c>
      <c r="B4069">
        <v>9</v>
      </c>
      <c r="C4069" t="s">
        <v>67</v>
      </c>
      <c r="D4069">
        <v>19959</v>
      </c>
      <c r="E4069">
        <v>851</v>
      </c>
      <c r="F4069" t="s">
        <v>31</v>
      </c>
    </row>
    <row r="4070" spans="1:6" x14ac:dyDescent="0.3">
      <c r="A4070" s="20">
        <v>45791</v>
      </c>
      <c r="B4070">
        <v>9</v>
      </c>
      <c r="C4070" t="s">
        <v>158</v>
      </c>
      <c r="D4070">
        <v>15020</v>
      </c>
      <c r="E4070">
        <v>886</v>
      </c>
      <c r="F4070" t="s">
        <v>31</v>
      </c>
    </row>
    <row r="4071" spans="1:6" x14ac:dyDescent="0.3">
      <c r="A4071" s="20">
        <v>45791</v>
      </c>
      <c r="B4071">
        <v>9</v>
      </c>
      <c r="C4071" t="s">
        <v>41</v>
      </c>
      <c r="D4071">
        <v>3438</v>
      </c>
      <c r="E4071">
        <v>194</v>
      </c>
      <c r="F4071" t="s">
        <v>31</v>
      </c>
    </row>
    <row r="4072" spans="1:6" x14ac:dyDescent="0.3">
      <c r="A4072" s="20">
        <v>45791</v>
      </c>
      <c r="B4072">
        <v>9</v>
      </c>
      <c r="C4072" t="s">
        <v>244</v>
      </c>
      <c r="D4072">
        <v>29478</v>
      </c>
      <c r="E4072">
        <v>3258</v>
      </c>
      <c r="F4072" t="s">
        <v>31</v>
      </c>
    </row>
    <row r="4073" spans="1:6" x14ac:dyDescent="0.3">
      <c r="A4073" s="20">
        <v>45791</v>
      </c>
      <c r="B4073">
        <v>9</v>
      </c>
      <c r="C4073" t="s">
        <v>233</v>
      </c>
      <c r="D4073">
        <v>8289</v>
      </c>
      <c r="E4073">
        <v>1238</v>
      </c>
      <c r="F4073" t="s">
        <v>43</v>
      </c>
    </row>
    <row r="4074" spans="1:6" x14ac:dyDescent="0.3">
      <c r="A4074" s="20">
        <v>45791</v>
      </c>
      <c r="B4074">
        <v>9</v>
      </c>
      <c r="C4074" t="s">
        <v>238</v>
      </c>
      <c r="D4074">
        <v>4889</v>
      </c>
      <c r="E4074">
        <v>314</v>
      </c>
      <c r="F4074" t="s">
        <v>47</v>
      </c>
    </row>
    <row r="4075" spans="1:6" x14ac:dyDescent="0.3">
      <c r="A4075" s="20">
        <v>45791</v>
      </c>
      <c r="B4075">
        <v>9</v>
      </c>
      <c r="C4075" t="s">
        <v>255</v>
      </c>
      <c r="D4075">
        <v>9031</v>
      </c>
      <c r="E4075">
        <v>1415</v>
      </c>
      <c r="F4075" t="s">
        <v>74</v>
      </c>
    </row>
    <row r="4076" spans="1:6" x14ac:dyDescent="0.3">
      <c r="A4076" s="20">
        <v>45791</v>
      </c>
      <c r="B4076">
        <v>9</v>
      </c>
      <c r="C4076" t="s">
        <v>250</v>
      </c>
      <c r="D4076">
        <v>190</v>
      </c>
      <c r="E4076">
        <v>54</v>
      </c>
      <c r="F4076" t="s">
        <v>34</v>
      </c>
    </row>
    <row r="4077" spans="1:6" x14ac:dyDescent="0.3">
      <c r="A4077" s="20">
        <v>45791</v>
      </c>
      <c r="B4077">
        <v>9</v>
      </c>
      <c r="C4077" t="s">
        <v>160</v>
      </c>
      <c r="D4077">
        <v>1180</v>
      </c>
      <c r="E4077">
        <v>263</v>
      </c>
      <c r="F4077" t="s">
        <v>39</v>
      </c>
    </row>
    <row r="4078" spans="1:6" x14ac:dyDescent="0.3">
      <c r="A4078" s="20">
        <v>45791</v>
      </c>
      <c r="B4078">
        <v>9</v>
      </c>
      <c r="C4078" t="s">
        <v>160</v>
      </c>
      <c r="D4078">
        <v>3452</v>
      </c>
      <c r="E4078">
        <v>540</v>
      </c>
      <c r="F4078" t="s">
        <v>229</v>
      </c>
    </row>
    <row r="4079" spans="1:6" x14ac:dyDescent="0.3">
      <c r="A4079" s="20">
        <v>45791</v>
      </c>
      <c r="B4079">
        <v>9</v>
      </c>
      <c r="C4079" t="s">
        <v>160</v>
      </c>
      <c r="D4079">
        <v>4749</v>
      </c>
      <c r="E4079">
        <v>800</v>
      </c>
      <c r="F4079" t="s">
        <v>231</v>
      </c>
    </row>
    <row r="4080" spans="1:6" x14ac:dyDescent="0.3">
      <c r="A4080" s="20">
        <v>45791</v>
      </c>
      <c r="B4080">
        <v>9</v>
      </c>
      <c r="C4080" t="s">
        <v>162</v>
      </c>
      <c r="D4080">
        <v>8131</v>
      </c>
      <c r="E4080">
        <v>1040</v>
      </c>
      <c r="F4080" t="s">
        <v>47</v>
      </c>
    </row>
    <row r="4081" spans="1:6" x14ac:dyDescent="0.3">
      <c r="A4081" s="20">
        <v>45791</v>
      </c>
      <c r="B4081">
        <v>9</v>
      </c>
      <c r="C4081" t="s">
        <v>40</v>
      </c>
      <c r="D4081">
        <v>95423</v>
      </c>
      <c r="E4081">
        <v>6034</v>
      </c>
      <c r="F4081" t="s">
        <v>38</v>
      </c>
    </row>
    <row r="4082" spans="1:6" x14ac:dyDescent="0.3">
      <c r="A4082" s="20">
        <v>45791</v>
      </c>
      <c r="B4082">
        <v>9</v>
      </c>
      <c r="C4082" t="s">
        <v>76</v>
      </c>
      <c r="D4082">
        <v>87108</v>
      </c>
      <c r="E4082">
        <v>4998</v>
      </c>
      <c r="F4082" t="s">
        <v>38</v>
      </c>
    </row>
    <row r="4083" spans="1:6" x14ac:dyDescent="0.3">
      <c r="A4083" s="20">
        <v>45791</v>
      </c>
      <c r="B4083">
        <v>9</v>
      </c>
      <c r="C4083" t="s">
        <v>235</v>
      </c>
      <c r="D4083">
        <v>11847</v>
      </c>
      <c r="E4083">
        <v>1234</v>
      </c>
      <c r="F4083" t="s">
        <v>234</v>
      </c>
    </row>
    <row r="4084" spans="1:6" x14ac:dyDescent="0.3">
      <c r="A4084" s="20">
        <v>45791</v>
      </c>
      <c r="B4084">
        <v>10</v>
      </c>
      <c r="C4084" t="s">
        <v>73</v>
      </c>
      <c r="D4084">
        <v>0</v>
      </c>
      <c r="E4084">
        <v>0</v>
      </c>
      <c r="F4084" t="s">
        <v>46</v>
      </c>
    </row>
    <row r="4085" spans="1:6" x14ac:dyDescent="0.3">
      <c r="A4085" s="20">
        <v>45791</v>
      </c>
      <c r="B4085">
        <v>10</v>
      </c>
      <c r="C4085" t="s">
        <v>156</v>
      </c>
      <c r="D4085">
        <v>6027</v>
      </c>
      <c r="E4085">
        <v>892</v>
      </c>
      <c r="F4085" t="s">
        <v>229</v>
      </c>
    </row>
    <row r="4086" spans="1:6" x14ac:dyDescent="0.3">
      <c r="A4086" s="20">
        <v>45791</v>
      </c>
      <c r="B4086">
        <v>10</v>
      </c>
      <c r="C4086" t="s">
        <v>228</v>
      </c>
      <c r="D4086">
        <v>8497</v>
      </c>
      <c r="E4086">
        <v>2021</v>
      </c>
      <c r="F4086" t="s">
        <v>45</v>
      </c>
    </row>
    <row r="4087" spans="1:6" x14ac:dyDescent="0.3">
      <c r="A4087" s="20">
        <v>45791</v>
      </c>
      <c r="B4087">
        <v>10</v>
      </c>
      <c r="C4087" t="s">
        <v>249</v>
      </c>
      <c r="D4087">
        <v>40180</v>
      </c>
      <c r="E4087">
        <v>1915</v>
      </c>
      <c r="F4087" t="s">
        <v>31</v>
      </c>
    </row>
    <row r="4088" spans="1:6" x14ac:dyDescent="0.3">
      <c r="A4088" s="20">
        <v>45791</v>
      </c>
      <c r="B4088">
        <v>10</v>
      </c>
      <c r="C4088" t="s">
        <v>158</v>
      </c>
      <c r="D4088">
        <v>8695</v>
      </c>
      <c r="E4088">
        <v>187</v>
      </c>
      <c r="F4088" t="s">
        <v>42</v>
      </c>
    </row>
    <row r="4089" spans="1:6" x14ac:dyDescent="0.3">
      <c r="A4089" s="20">
        <v>45791</v>
      </c>
      <c r="B4089">
        <v>10</v>
      </c>
      <c r="C4089" t="s">
        <v>36</v>
      </c>
      <c r="D4089">
        <v>1404</v>
      </c>
      <c r="E4089">
        <v>253</v>
      </c>
      <c r="F4089" t="s">
        <v>31</v>
      </c>
    </row>
    <row r="4090" spans="1:6" x14ac:dyDescent="0.3">
      <c r="A4090" s="20">
        <v>45791</v>
      </c>
      <c r="B4090">
        <v>10</v>
      </c>
      <c r="C4090" t="s">
        <v>247</v>
      </c>
      <c r="D4090">
        <v>7038</v>
      </c>
      <c r="E4090">
        <v>540</v>
      </c>
      <c r="F4090" t="s">
        <v>31</v>
      </c>
    </row>
    <row r="4091" spans="1:6" x14ac:dyDescent="0.3">
      <c r="A4091" s="20">
        <v>45791</v>
      </c>
      <c r="B4091">
        <v>10</v>
      </c>
      <c r="C4091" t="s">
        <v>254</v>
      </c>
      <c r="D4091">
        <v>9428</v>
      </c>
      <c r="E4091">
        <v>466</v>
      </c>
      <c r="F4091" t="s">
        <v>31</v>
      </c>
    </row>
    <row r="4092" spans="1:6" x14ac:dyDescent="0.3">
      <c r="A4092" s="20">
        <v>45791</v>
      </c>
      <c r="B4092">
        <v>10</v>
      </c>
      <c r="C4092" t="s">
        <v>71</v>
      </c>
      <c r="D4092">
        <v>5186</v>
      </c>
      <c r="E4092">
        <v>2082</v>
      </c>
      <c r="F4092" t="s">
        <v>32</v>
      </c>
    </row>
    <row r="4093" spans="1:6" x14ac:dyDescent="0.3">
      <c r="A4093" s="20">
        <v>45791</v>
      </c>
      <c r="B4093">
        <v>10</v>
      </c>
      <c r="C4093" t="s">
        <v>71</v>
      </c>
      <c r="D4093">
        <v>25448</v>
      </c>
      <c r="E4093">
        <v>3071</v>
      </c>
      <c r="F4093" t="s">
        <v>164</v>
      </c>
    </row>
    <row r="4094" spans="1:6" x14ac:dyDescent="0.3">
      <c r="A4094" s="20">
        <v>45791</v>
      </c>
      <c r="B4094">
        <v>10</v>
      </c>
      <c r="C4094" t="s">
        <v>261</v>
      </c>
      <c r="D4094">
        <v>13064</v>
      </c>
      <c r="E4094">
        <v>1129</v>
      </c>
      <c r="F4094" t="s">
        <v>31</v>
      </c>
    </row>
    <row r="4095" spans="1:6" x14ac:dyDescent="0.3">
      <c r="A4095" s="20">
        <v>45791</v>
      </c>
      <c r="B4095">
        <v>10</v>
      </c>
      <c r="C4095" t="s">
        <v>256</v>
      </c>
      <c r="D4095">
        <v>7449</v>
      </c>
      <c r="E4095">
        <v>242</v>
      </c>
      <c r="F4095" t="s">
        <v>163</v>
      </c>
    </row>
    <row r="4096" spans="1:6" x14ac:dyDescent="0.3">
      <c r="A4096" s="20">
        <v>45791</v>
      </c>
      <c r="B4096">
        <v>10</v>
      </c>
      <c r="C4096" t="s">
        <v>262</v>
      </c>
      <c r="D4096">
        <v>19199</v>
      </c>
      <c r="E4096">
        <v>397</v>
      </c>
      <c r="F4096" t="s">
        <v>86</v>
      </c>
    </row>
    <row r="4097" spans="1:6" x14ac:dyDescent="0.3">
      <c r="A4097" s="20">
        <v>45791</v>
      </c>
      <c r="B4097">
        <v>10</v>
      </c>
      <c r="C4097" t="s">
        <v>250</v>
      </c>
      <c r="D4097">
        <v>31</v>
      </c>
      <c r="E4097">
        <v>2</v>
      </c>
      <c r="F4097" t="s">
        <v>74</v>
      </c>
    </row>
    <row r="4098" spans="1:6" x14ac:dyDescent="0.3">
      <c r="A4098" s="20">
        <v>45791</v>
      </c>
      <c r="B4098">
        <v>10</v>
      </c>
      <c r="C4098" t="s">
        <v>250</v>
      </c>
      <c r="D4098">
        <v>56</v>
      </c>
      <c r="E4098">
        <v>7</v>
      </c>
      <c r="F4098" t="s">
        <v>257</v>
      </c>
    </row>
    <row r="4099" spans="1:6" x14ac:dyDescent="0.3">
      <c r="A4099" s="20">
        <v>45791</v>
      </c>
      <c r="B4099">
        <v>10</v>
      </c>
      <c r="C4099" t="s">
        <v>160</v>
      </c>
      <c r="D4099">
        <v>463</v>
      </c>
      <c r="E4099">
        <v>74</v>
      </c>
      <c r="F4099" t="s">
        <v>47</v>
      </c>
    </row>
    <row r="4100" spans="1:6" x14ac:dyDescent="0.3">
      <c r="A4100" s="20">
        <v>45791</v>
      </c>
      <c r="B4100">
        <v>10</v>
      </c>
      <c r="C4100" t="s">
        <v>160</v>
      </c>
      <c r="D4100">
        <v>654</v>
      </c>
      <c r="E4100">
        <v>119</v>
      </c>
      <c r="F4100" t="s">
        <v>74</v>
      </c>
    </row>
    <row r="4101" spans="1:6" x14ac:dyDescent="0.3">
      <c r="A4101" s="20">
        <v>45791</v>
      </c>
      <c r="B4101">
        <v>10</v>
      </c>
      <c r="C4101" t="s">
        <v>160</v>
      </c>
      <c r="D4101">
        <v>29</v>
      </c>
      <c r="E4101">
        <v>6</v>
      </c>
      <c r="F4101" t="s">
        <v>138</v>
      </c>
    </row>
    <row r="4102" spans="1:6" x14ac:dyDescent="0.3">
      <c r="A4102" s="20">
        <v>45791</v>
      </c>
      <c r="B4102">
        <v>10</v>
      </c>
      <c r="C4102" t="s">
        <v>124</v>
      </c>
      <c r="D4102">
        <v>94475</v>
      </c>
      <c r="E4102">
        <v>5468</v>
      </c>
      <c r="F4102" t="s">
        <v>38</v>
      </c>
    </row>
    <row r="4103" spans="1:6" x14ac:dyDescent="0.3">
      <c r="A4103" s="20">
        <v>45791</v>
      </c>
      <c r="B4103">
        <v>10</v>
      </c>
      <c r="C4103" t="s">
        <v>55</v>
      </c>
      <c r="D4103">
        <v>88576</v>
      </c>
      <c r="E4103">
        <v>4272</v>
      </c>
      <c r="F4103" t="s">
        <v>38</v>
      </c>
    </row>
    <row r="4104" spans="1:6" x14ac:dyDescent="0.3">
      <c r="A4104" s="20">
        <v>45791</v>
      </c>
      <c r="B4104">
        <v>10</v>
      </c>
      <c r="C4104" t="s">
        <v>253</v>
      </c>
      <c r="D4104">
        <v>1130</v>
      </c>
      <c r="E4104">
        <v>224</v>
      </c>
      <c r="F4104" t="s">
        <v>47</v>
      </c>
    </row>
    <row r="4105" spans="1:6" x14ac:dyDescent="0.3">
      <c r="A4105" s="20">
        <v>45791</v>
      </c>
      <c r="B4105">
        <v>10</v>
      </c>
      <c r="C4105" t="s">
        <v>235</v>
      </c>
      <c r="D4105">
        <v>672</v>
      </c>
      <c r="E4105">
        <v>124</v>
      </c>
      <c r="F4105" t="s">
        <v>161</v>
      </c>
    </row>
    <row r="4106" spans="1:6" x14ac:dyDescent="0.3">
      <c r="A4106" s="20">
        <v>45791</v>
      </c>
      <c r="B4106">
        <v>11</v>
      </c>
      <c r="C4106" t="s">
        <v>73</v>
      </c>
      <c r="D4106">
        <v>0</v>
      </c>
      <c r="E4106">
        <v>0</v>
      </c>
      <c r="F4106" t="s">
        <v>234</v>
      </c>
    </row>
    <row r="4107" spans="1:6" x14ac:dyDescent="0.3">
      <c r="A4107" s="20">
        <v>45791</v>
      </c>
      <c r="B4107">
        <v>11</v>
      </c>
      <c r="C4107" t="s">
        <v>73</v>
      </c>
      <c r="D4107">
        <v>0</v>
      </c>
      <c r="E4107">
        <v>0</v>
      </c>
      <c r="F4107" t="s">
        <v>45</v>
      </c>
    </row>
    <row r="4108" spans="1:6" x14ac:dyDescent="0.3">
      <c r="A4108" s="20">
        <v>45791</v>
      </c>
      <c r="B4108">
        <v>11</v>
      </c>
      <c r="C4108" t="s">
        <v>73</v>
      </c>
      <c r="D4108">
        <v>0</v>
      </c>
      <c r="E4108">
        <v>0</v>
      </c>
      <c r="F4108" t="s">
        <v>75</v>
      </c>
    </row>
    <row r="4109" spans="1:6" x14ac:dyDescent="0.3">
      <c r="A4109" s="20">
        <v>45791</v>
      </c>
      <c r="B4109">
        <v>11</v>
      </c>
      <c r="C4109" t="s">
        <v>243</v>
      </c>
      <c r="D4109">
        <v>10248</v>
      </c>
      <c r="E4109">
        <v>1390</v>
      </c>
      <c r="F4109" t="s">
        <v>31</v>
      </c>
    </row>
    <row r="4110" spans="1:6" x14ac:dyDescent="0.3">
      <c r="A4110" s="20">
        <v>45791</v>
      </c>
      <c r="B4110">
        <v>11</v>
      </c>
      <c r="C4110" t="s">
        <v>238</v>
      </c>
      <c r="D4110">
        <v>8132</v>
      </c>
      <c r="E4110">
        <v>997</v>
      </c>
      <c r="F4110" t="s">
        <v>229</v>
      </c>
    </row>
    <row r="4111" spans="1:6" x14ac:dyDescent="0.3">
      <c r="A4111" s="20">
        <v>45791</v>
      </c>
      <c r="B4111">
        <v>11</v>
      </c>
      <c r="C4111" t="s">
        <v>250</v>
      </c>
      <c r="D4111">
        <v>126</v>
      </c>
      <c r="E4111">
        <v>27</v>
      </c>
      <c r="F4111" t="s">
        <v>85</v>
      </c>
    </row>
    <row r="4112" spans="1:6" x14ac:dyDescent="0.3">
      <c r="A4112" s="20">
        <v>45791</v>
      </c>
      <c r="B4112">
        <v>11</v>
      </c>
      <c r="C4112" t="s">
        <v>250</v>
      </c>
      <c r="D4112">
        <v>1045</v>
      </c>
      <c r="E4112">
        <v>109</v>
      </c>
      <c r="F4112" t="s">
        <v>75</v>
      </c>
    </row>
    <row r="4113" spans="1:6" x14ac:dyDescent="0.3">
      <c r="A4113" s="20">
        <v>45791</v>
      </c>
      <c r="B4113">
        <v>11</v>
      </c>
      <c r="C4113" t="s">
        <v>165</v>
      </c>
      <c r="D4113">
        <v>7</v>
      </c>
      <c r="E4113">
        <v>7</v>
      </c>
      <c r="F4113" t="s">
        <v>38</v>
      </c>
    </row>
    <row r="4114" spans="1:6" x14ac:dyDescent="0.3">
      <c r="A4114" s="20">
        <v>45791</v>
      </c>
      <c r="B4114">
        <v>11</v>
      </c>
      <c r="C4114" t="s">
        <v>251</v>
      </c>
      <c r="D4114">
        <v>8160</v>
      </c>
      <c r="E4114">
        <v>906</v>
      </c>
      <c r="F4114" t="s">
        <v>44</v>
      </c>
    </row>
    <row r="4115" spans="1:6" x14ac:dyDescent="0.3">
      <c r="A4115" s="20">
        <v>45791</v>
      </c>
      <c r="B4115">
        <v>12</v>
      </c>
      <c r="C4115" t="s">
        <v>73</v>
      </c>
      <c r="D4115">
        <v>0</v>
      </c>
      <c r="E4115">
        <v>0</v>
      </c>
      <c r="F4115" t="s">
        <v>163</v>
      </c>
    </row>
    <row r="4116" spans="1:6" x14ac:dyDescent="0.3">
      <c r="A4116" s="20">
        <v>45791</v>
      </c>
      <c r="B4116">
        <v>12</v>
      </c>
      <c r="C4116" t="s">
        <v>73</v>
      </c>
      <c r="D4116">
        <v>0</v>
      </c>
      <c r="E4116">
        <v>0</v>
      </c>
      <c r="F4116" t="s">
        <v>161</v>
      </c>
    </row>
    <row r="4117" spans="1:6" x14ac:dyDescent="0.3">
      <c r="A4117" s="20">
        <v>45791</v>
      </c>
      <c r="B4117">
        <v>12</v>
      </c>
      <c r="C4117" t="s">
        <v>73</v>
      </c>
      <c r="D4117">
        <v>0</v>
      </c>
      <c r="E4117">
        <v>0</v>
      </c>
      <c r="F4117" t="s">
        <v>72</v>
      </c>
    </row>
    <row r="4118" spans="1:6" x14ac:dyDescent="0.3">
      <c r="A4118" s="20">
        <v>45791</v>
      </c>
      <c r="B4118">
        <v>12</v>
      </c>
      <c r="C4118" t="s">
        <v>67</v>
      </c>
      <c r="D4118">
        <v>17597</v>
      </c>
      <c r="E4118">
        <v>773</v>
      </c>
      <c r="F4118" t="s">
        <v>31</v>
      </c>
    </row>
    <row r="4119" spans="1:6" x14ac:dyDescent="0.3">
      <c r="A4119" s="20">
        <v>45791</v>
      </c>
      <c r="B4119">
        <v>12</v>
      </c>
      <c r="C4119" t="s">
        <v>158</v>
      </c>
      <c r="D4119">
        <v>6294</v>
      </c>
      <c r="E4119">
        <v>467</v>
      </c>
      <c r="F4119" t="s">
        <v>31</v>
      </c>
    </row>
    <row r="4120" spans="1:6" x14ac:dyDescent="0.3">
      <c r="A4120" s="20">
        <v>45791</v>
      </c>
      <c r="B4120">
        <v>12</v>
      </c>
      <c r="C4120" t="s">
        <v>239</v>
      </c>
      <c r="D4120">
        <v>77666</v>
      </c>
      <c r="E4120">
        <v>5837</v>
      </c>
      <c r="F4120" t="s">
        <v>31</v>
      </c>
    </row>
    <row r="4121" spans="1:6" x14ac:dyDescent="0.3">
      <c r="A4121" s="20">
        <v>45791</v>
      </c>
      <c r="B4121">
        <v>12</v>
      </c>
      <c r="C4121" t="s">
        <v>244</v>
      </c>
      <c r="D4121">
        <v>34551</v>
      </c>
      <c r="E4121">
        <v>3584</v>
      </c>
      <c r="F4121" t="s">
        <v>31</v>
      </c>
    </row>
    <row r="4122" spans="1:6" x14ac:dyDescent="0.3">
      <c r="A4122" s="20">
        <v>45791</v>
      </c>
      <c r="B4122">
        <v>12</v>
      </c>
      <c r="C4122" t="s">
        <v>233</v>
      </c>
      <c r="D4122">
        <v>7742</v>
      </c>
      <c r="E4122">
        <v>1165</v>
      </c>
      <c r="F4122" t="s">
        <v>43</v>
      </c>
    </row>
    <row r="4123" spans="1:6" x14ac:dyDescent="0.3">
      <c r="A4123" s="20">
        <v>45791</v>
      </c>
      <c r="B4123">
        <v>12</v>
      </c>
      <c r="C4123" t="s">
        <v>238</v>
      </c>
      <c r="D4123">
        <v>5306</v>
      </c>
      <c r="E4123">
        <v>558</v>
      </c>
      <c r="F4123" t="s">
        <v>47</v>
      </c>
    </row>
    <row r="4124" spans="1:6" x14ac:dyDescent="0.3">
      <c r="A4124" s="20">
        <v>45791</v>
      </c>
      <c r="B4124">
        <v>12</v>
      </c>
      <c r="C4124" t="s">
        <v>265</v>
      </c>
      <c r="D4124">
        <v>16572</v>
      </c>
      <c r="E4124">
        <v>1056</v>
      </c>
      <c r="F4124" t="s">
        <v>31</v>
      </c>
    </row>
    <row r="4125" spans="1:6" x14ac:dyDescent="0.3">
      <c r="A4125" s="20">
        <v>45791</v>
      </c>
      <c r="B4125">
        <v>12</v>
      </c>
      <c r="C4125" t="s">
        <v>255</v>
      </c>
      <c r="D4125">
        <v>11542</v>
      </c>
      <c r="E4125">
        <v>1621</v>
      </c>
      <c r="F4125" t="s">
        <v>39</v>
      </c>
    </row>
    <row r="4126" spans="1:6" x14ac:dyDescent="0.3">
      <c r="A4126" s="20">
        <v>45791</v>
      </c>
      <c r="B4126">
        <v>12</v>
      </c>
      <c r="C4126" t="s">
        <v>255</v>
      </c>
      <c r="D4126">
        <v>9727</v>
      </c>
      <c r="E4126">
        <v>1675</v>
      </c>
      <c r="F4126" t="s">
        <v>74</v>
      </c>
    </row>
    <row r="4127" spans="1:6" x14ac:dyDescent="0.3">
      <c r="A4127" s="20">
        <v>45791</v>
      </c>
      <c r="B4127">
        <v>12</v>
      </c>
      <c r="C4127" t="s">
        <v>250</v>
      </c>
      <c r="D4127">
        <v>183</v>
      </c>
      <c r="E4127">
        <v>39</v>
      </c>
      <c r="F4127" t="s">
        <v>34</v>
      </c>
    </row>
    <row r="4128" spans="1:6" x14ac:dyDescent="0.3">
      <c r="A4128" s="20">
        <v>45791</v>
      </c>
      <c r="B4128">
        <v>12</v>
      </c>
      <c r="C4128" t="s">
        <v>160</v>
      </c>
      <c r="D4128">
        <v>1224</v>
      </c>
      <c r="E4128">
        <v>237</v>
      </c>
      <c r="F4128" t="s">
        <v>39</v>
      </c>
    </row>
    <row r="4129" spans="1:6" x14ac:dyDescent="0.3">
      <c r="A4129" s="20">
        <v>45791</v>
      </c>
      <c r="B4129">
        <v>12</v>
      </c>
      <c r="C4129" t="s">
        <v>160</v>
      </c>
      <c r="D4129">
        <v>5657</v>
      </c>
      <c r="E4129">
        <v>1036</v>
      </c>
      <c r="F4129" t="s">
        <v>231</v>
      </c>
    </row>
    <row r="4130" spans="1:6" x14ac:dyDescent="0.3">
      <c r="A4130" s="20">
        <v>45791</v>
      </c>
      <c r="B4130">
        <v>12</v>
      </c>
      <c r="C4130" t="s">
        <v>76</v>
      </c>
      <c r="D4130">
        <v>89147</v>
      </c>
      <c r="E4130">
        <v>4572</v>
      </c>
      <c r="F4130" t="s">
        <v>38</v>
      </c>
    </row>
    <row r="4131" spans="1:6" x14ac:dyDescent="0.3">
      <c r="A4131" s="20">
        <v>45791</v>
      </c>
      <c r="B4131">
        <v>12</v>
      </c>
      <c r="C4131" t="s">
        <v>235</v>
      </c>
      <c r="D4131">
        <v>12515</v>
      </c>
      <c r="E4131">
        <v>1224</v>
      </c>
      <c r="F4131" t="s">
        <v>234</v>
      </c>
    </row>
    <row r="4132" spans="1:6" x14ac:dyDescent="0.3">
      <c r="A4132" s="20">
        <v>45791</v>
      </c>
      <c r="B4132">
        <v>13</v>
      </c>
      <c r="C4132" t="s">
        <v>73</v>
      </c>
      <c r="D4132">
        <v>0</v>
      </c>
      <c r="E4132">
        <v>0</v>
      </c>
    </row>
    <row r="4133" spans="1:6" x14ac:dyDescent="0.3">
      <c r="A4133" s="20">
        <v>45791</v>
      </c>
      <c r="B4133">
        <v>13</v>
      </c>
      <c r="C4133" t="s">
        <v>73</v>
      </c>
      <c r="D4133">
        <v>0</v>
      </c>
      <c r="E4133">
        <v>0</v>
      </c>
      <c r="F4133" t="s">
        <v>46</v>
      </c>
    </row>
    <row r="4134" spans="1:6" x14ac:dyDescent="0.3">
      <c r="A4134" s="20">
        <v>45791</v>
      </c>
      <c r="B4134">
        <v>13</v>
      </c>
      <c r="C4134" t="s">
        <v>228</v>
      </c>
      <c r="D4134">
        <v>12468</v>
      </c>
      <c r="E4134">
        <v>2063</v>
      </c>
      <c r="F4134" t="s">
        <v>45</v>
      </c>
    </row>
    <row r="4135" spans="1:6" x14ac:dyDescent="0.3">
      <c r="A4135" s="20">
        <v>45791</v>
      </c>
      <c r="B4135">
        <v>13</v>
      </c>
      <c r="C4135" t="s">
        <v>158</v>
      </c>
      <c r="D4135">
        <v>872</v>
      </c>
      <c r="E4135">
        <v>12</v>
      </c>
      <c r="F4135" t="s">
        <v>42</v>
      </c>
    </row>
    <row r="4136" spans="1:6" x14ac:dyDescent="0.3">
      <c r="A4136" s="20">
        <v>45791</v>
      </c>
      <c r="B4136">
        <v>13</v>
      </c>
      <c r="C4136" t="s">
        <v>49</v>
      </c>
      <c r="D4136">
        <v>26047</v>
      </c>
      <c r="E4136">
        <v>1245</v>
      </c>
      <c r="F4136" t="s">
        <v>42</v>
      </c>
    </row>
    <row r="4137" spans="1:6" x14ac:dyDescent="0.3">
      <c r="A4137" s="20">
        <v>45791</v>
      </c>
      <c r="B4137">
        <v>13</v>
      </c>
      <c r="C4137" t="s">
        <v>36</v>
      </c>
      <c r="D4137">
        <v>1298</v>
      </c>
      <c r="E4137">
        <v>209</v>
      </c>
      <c r="F4137" t="s">
        <v>31</v>
      </c>
    </row>
    <row r="4138" spans="1:6" x14ac:dyDescent="0.3">
      <c r="A4138" s="20">
        <v>45791</v>
      </c>
      <c r="B4138">
        <v>13</v>
      </c>
      <c r="C4138" t="s">
        <v>245</v>
      </c>
      <c r="D4138">
        <v>60096</v>
      </c>
      <c r="E4138">
        <v>7528</v>
      </c>
      <c r="F4138" t="s">
        <v>31</v>
      </c>
    </row>
    <row r="4139" spans="1:6" x14ac:dyDescent="0.3">
      <c r="A4139" s="20">
        <v>45791</v>
      </c>
      <c r="B4139">
        <v>13</v>
      </c>
      <c r="C4139" t="s">
        <v>254</v>
      </c>
      <c r="D4139">
        <v>10521</v>
      </c>
      <c r="E4139">
        <v>487</v>
      </c>
      <c r="F4139" t="s">
        <v>31</v>
      </c>
    </row>
    <row r="4140" spans="1:6" x14ac:dyDescent="0.3">
      <c r="A4140" s="20">
        <v>45791</v>
      </c>
      <c r="B4140">
        <v>13</v>
      </c>
      <c r="C4140" t="s">
        <v>71</v>
      </c>
      <c r="D4140">
        <v>3254</v>
      </c>
      <c r="E4140">
        <v>307</v>
      </c>
      <c r="F4140" t="s">
        <v>32</v>
      </c>
    </row>
    <row r="4141" spans="1:6" x14ac:dyDescent="0.3">
      <c r="A4141" s="20">
        <v>45791</v>
      </c>
      <c r="B4141">
        <v>13</v>
      </c>
      <c r="C4141" t="s">
        <v>71</v>
      </c>
      <c r="D4141">
        <v>19485</v>
      </c>
      <c r="E4141">
        <v>2159</v>
      </c>
      <c r="F4141" t="s">
        <v>164</v>
      </c>
    </row>
    <row r="4142" spans="1:6" x14ac:dyDescent="0.3">
      <c r="A4142" s="20">
        <v>45791</v>
      </c>
      <c r="B4142">
        <v>13</v>
      </c>
      <c r="C4142" t="s">
        <v>233</v>
      </c>
      <c r="D4142">
        <v>2980</v>
      </c>
      <c r="E4142">
        <v>511</v>
      </c>
      <c r="F4142" t="s">
        <v>85</v>
      </c>
    </row>
    <row r="4143" spans="1:6" x14ac:dyDescent="0.3">
      <c r="A4143" s="20">
        <v>45791</v>
      </c>
      <c r="B4143">
        <v>13</v>
      </c>
      <c r="C4143" t="s">
        <v>256</v>
      </c>
      <c r="D4143">
        <v>14124</v>
      </c>
      <c r="E4143">
        <v>141</v>
      </c>
      <c r="F4143" t="s">
        <v>163</v>
      </c>
    </row>
    <row r="4144" spans="1:6" x14ac:dyDescent="0.3">
      <c r="A4144" s="20">
        <v>45791</v>
      </c>
      <c r="B4144">
        <v>13</v>
      </c>
      <c r="C4144" t="s">
        <v>262</v>
      </c>
      <c r="D4144">
        <v>22088</v>
      </c>
      <c r="E4144">
        <v>465</v>
      </c>
      <c r="F4144" t="s">
        <v>86</v>
      </c>
    </row>
    <row r="4145" spans="1:6" x14ac:dyDescent="0.3">
      <c r="A4145" s="20">
        <v>45791</v>
      </c>
      <c r="B4145">
        <v>13</v>
      </c>
      <c r="C4145" t="s">
        <v>160</v>
      </c>
      <c r="D4145">
        <v>739</v>
      </c>
      <c r="E4145">
        <v>137</v>
      </c>
      <c r="F4145" t="s">
        <v>74</v>
      </c>
    </row>
    <row r="4146" spans="1:6" x14ac:dyDescent="0.3">
      <c r="A4146" s="20">
        <v>45791</v>
      </c>
      <c r="B4146">
        <v>13</v>
      </c>
      <c r="C4146" t="s">
        <v>160</v>
      </c>
      <c r="D4146">
        <v>33</v>
      </c>
      <c r="E4146">
        <v>9</v>
      </c>
      <c r="F4146" t="s">
        <v>138</v>
      </c>
    </row>
    <row r="4147" spans="1:6" x14ac:dyDescent="0.3">
      <c r="A4147" s="20">
        <v>45791</v>
      </c>
      <c r="B4147">
        <v>13</v>
      </c>
      <c r="C4147" t="s">
        <v>124</v>
      </c>
      <c r="D4147">
        <v>94804</v>
      </c>
      <c r="E4147">
        <v>4941</v>
      </c>
      <c r="F4147" t="s">
        <v>38</v>
      </c>
    </row>
    <row r="4148" spans="1:6" x14ac:dyDescent="0.3">
      <c r="A4148" s="20">
        <v>45791</v>
      </c>
      <c r="B4148">
        <v>13</v>
      </c>
      <c r="C4148" t="s">
        <v>55</v>
      </c>
      <c r="D4148">
        <v>93862</v>
      </c>
      <c r="E4148">
        <v>5723</v>
      </c>
      <c r="F4148" t="s">
        <v>38</v>
      </c>
    </row>
    <row r="4149" spans="1:6" x14ac:dyDescent="0.3">
      <c r="A4149" s="20">
        <v>45791</v>
      </c>
      <c r="B4149">
        <v>13</v>
      </c>
      <c r="C4149" t="s">
        <v>253</v>
      </c>
      <c r="D4149">
        <v>1100</v>
      </c>
      <c r="E4149">
        <v>222</v>
      </c>
      <c r="F4149" t="s">
        <v>47</v>
      </c>
    </row>
    <row r="4150" spans="1:6" x14ac:dyDescent="0.3">
      <c r="A4150" s="20">
        <v>45791</v>
      </c>
      <c r="B4150">
        <v>14</v>
      </c>
      <c r="C4150" t="s">
        <v>73</v>
      </c>
      <c r="D4150">
        <v>0</v>
      </c>
      <c r="E4150">
        <v>0</v>
      </c>
      <c r="F4150" t="s">
        <v>234</v>
      </c>
    </row>
    <row r="4151" spans="1:6" x14ac:dyDescent="0.3">
      <c r="A4151" s="20">
        <v>45791</v>
      </c>
      <c r="B4151">
        <v>14</v>
      </c>
      <c r="C4151" t="s">
        <v>73</v>
      </c>
      <c r="D4151">
        <v>0</v>
      </c>
      <c r="E4151">
        <v>0</v>
      </c>
      <c r="F4151" t="s">
        <v>45</v>
      </c>
    </row>
    <row r="4152" spans="1:6" x14ac:dyDescent="0.3">
      <c r="A4152" s="20">
        <v>45791</v>
      </c>
      <c r="B4152">
        <v>14</v>
      </c>
      <c r="C4152" t="s">
        <v>73</v>
      </c>
      <c r="D4152">
        <v>0</v>
      </c>
      <c r="E4152">
        <v>0</v>
      </c>
      <c r="F4152" t="s">
        <v>75</v>
      </c>
    </row>
    <row r="4153" spans="1:6" x14ac:dyDescent="0.3">
      <c r="A4153" s="20">
        <v>45791</v>
      </c>
      <c r="B4153">
        <v>14</v>
      </c>
      <c r="C4153" t="s">
        <v>156</v>
      </c>
      <c r="D4153">
        <v>19967</v>
      </c>
      <c r="E4153">
        <v>2089</v>
      </c>
      <c r="F4153" t="s">
        <v>75</v>
      </c>
    </row>
    <row r="4154" spans="1:6" x14ac:dyDescent="0.3">
      <c r="A4154" s="20">
        <v>45791</v>
      </c>
      <c r="B4154">
        <v>14</v>
      </c>
      <c r="C4154" t="s">
        <v>246</v>
      </c>
      <c r="D4154">
        <v>35957</v>
      </c>
      <c r="E4154">
        <v>4308</v>
      </c>
      <c r="F4154" t="s">
        <v>31</v>
      </c>
    </row>
    <row r="4155" spans="1:6" x14ac:dyDescent="0.3">
      <c r="A4155" s="20">
        <v>45791</v>
      </c>
      <c r="B4155">
        <v>14</v>
      </c>
      <c r="C4155" t="s">
        <v>243</v>
      </c>
      <c r="D4155">
        <v>9956</v>
      </c>
      <c r="E4155">
        <v>1285</v>
      </c>
      <c r="F4155" t="s">
        <v>31</v>
      </c>
    </row>
    <row r="4156" spans="1:6" x14ac:dyDescent="0.3">
      <c r="A4156" s="20">
        <v>45791</v>
      </c>
      <c r="B4156">
        <v>14</v>
      </c>
      <c r="C4156" t="s">
        <v>233</v>
      </c>
      <c r="D4156">
        <v>19110</v>
      </c>
      <c r="E4156">
        <v>2855</v>
      </c>
      <c r="F4156" t="s">
        <v>34</v>
      </c>
    </row>
    <row r="4157" spans="1:6" x14ac:dyDescent="0.3">
      <c r="A4157" s="20">
        <v>45791</v>
      </c>
      <c r="B4157">
        <v>14</v>
      </c>
      <c r="C4157" t="s">
        <v>238</v>
      </c>
      <c r="D4157">
        <v>9094</v>
      </c>
      <c r="E4157">
        <v>1088</v>
      </c>
      <c r="F4157" t="s">
        <v>229</v>
      </c>
    </row>
    <row r="4158" spans="1:6" x14ac:dyDescent="0.3">
      <c r="A4158" s="20">
        <v>45791</v>
      </c>
      <c r="B4158">
        <v>14</v>
      </c>
      <c r="C4158" t="s">
        <v>250</v>
      </c>
      <c r="D4158">
        <v>1105</v>
      </c>
      <c r="E4158">
        <v>132</v>
      </c>
      <c r="F4158" t="s">
        <v>75</v>
      </c>
    </row>
    <row r="4159" spans="1:6" x14ac:dyDescent="0.3">
      <c r="A4159" s="20">
        <v>45791</v>
      </c>
      <c r="B4159">
        <v>14</v>
      </c>
      <c r="C4159" t="s">
        <v>251</v>
      </c>
      <c r="D4159">
        <v>6138</v>
      </c>
      <c r="E4159">
        <v>628</v>
      </c>
      <c r="F4159" t="s">
        <v>44</v>
      </c>
    </row>
    <row r="4160" spans="1:6" x14ac:dyDescent="0.3">
      <c r="A4160" s="20">
        <v>45791</v>
      </c>
      <c r="B4160">
        <v>15</v>
      </c>
      <c r="C4160" t="s">
        <v>73</v>
      </c>
      <c r="D4160">
        <v>0</v>
      </c>
      <c r="E4160">
        <v>0</v>
      </c>
      <c r="F4160" t="s">
        <v>163</v>
      </c>
    </row>
    <row r="4161" spans="1:6" x14ac:dyDescent="0.3">
      <c r="A4161" s="20">
        <v>45791</v>
      </c>
      <c r="B4161">
        <v>15</v>
      </c>
      <c r="C4161" t="s">
        <v>73</v>
      </c>
      <c r="D4161">
        <v>0</v>
      </c>
      <c r="E4161">
        <v>0</v>
      </c>
      <c r="F4161" t="s">
        <v>72</v>
      </c>
    </row>
    <row r="4162" spans="1:6" x14ac:dyDescent="0.3">
      <c r="A4162" s="20">
        <v>45791</v>
      </c>
      <c r="B4162">
        <v>15</v>
      </c>
      <c r="C4162" t="s">
        <v>67</v>
      </c>
      <c r="D4162">
        <v>34</v>
      </c>
      <c r="E4162">
        <v>5</v>
      </c>
      <c r="F4162" t="s">
        <v>31</v>
      </c>
    </row>
    <row r="4163" spans="1:6" x14ac:dyDescent="0.3">
      <c r="A4163" s="20">
        <v>45791</v>
      </c>
      <c r="B4163">
        <v>15</v>
      </c>
      <c r="C4163" t="s">
        <v>239</v>
      </c>
      <c r="D4163">
        <v>1790</v>
      </c>
      <c r="E4163">
        <v>127</v>
      </c>
      <c r="F4163" t="s">
        <v>31</v>
      </c>
    </row>
    <row r="4164" spans="1:6" x14ac:dyDescent="0.3">
      <c r="A4164" s="20">
        <v>45791</v>
      </c>
      <c r="B4164">
        <v>15</v>
      </c>
      <c r="C4164" t="s">
        <v>244</v>
      </c>
      <c r="D4164">
        <v>243</v>
      </c>
      <c r="E4164">
        <v>36</v>
      </c>
      <c r="F4164" t="s">
        <v>31</v>
      </c>
    </row>
    <row r="4165" spans="1:6" x14ac:dyDescent="0.3">
      <c r="A4165" s="20">
        <v>45791</v>
      </c>
      <c r="B4165">
        <v>15</v>
      </c>
      <c r="C4165" t="s">
        <v>238</v>
      </c>
      <c r="D4165">
        <v>231</v>
      </c>
      <c r="E4165">
        <v>15</v>
      </c>
      <c r="F4165" t="s">
        <v>47</v>
      </c>
    </row>
    <row r="4166" spans="1:6" x14ac:dyDescent="0.3">
      <c r="A4166" s="20">
        <v>45791</v>
      </c>
      <c r="B4166">
        <v>15</v>
      </c>
      <c r="C4166" t="s">
        <v>265</v>
      </c>
      <c r="D4166">
        <v>1073</v>
      </c>
      <c r="E4166">
        <v>34</v>
      </c>
      <c r="F4166" t="s">
        <v>31</v>
      </c>
    </row>
    <row r="4167" spans="1:6" x14ac:dyDescent="0.3">
      <c r="A4167" s="20">
        <v>45791</v>
      </c>
      <c r="B4167">
        <v>15</v>
      </c>
      <c r="C4167" t="s">
        <v>160</v>
      </c>
      <c r="D4167">
        <v>98</v>
      </c>
      <c r="E4167">
        <v>15</v>
      </c>
      <c r="F4167" t="s">
        <v>39</v>
      </c>
    </row>
    <row r="4168" spans="1:6" x14ac:dyDescent="0.3">
      <c r="A4168" s="20">
        <v>45791</v>
      </c>
      <c r="B4168">
        <v>15</v>
      </c>
      <c r="C4168" t="s">
        <v>160</v>
      </c>
      <c r="D4168">
        <v>0</v>
      </c>
      <c r="E4168">
        <v>0</v>
      </c>
      <c r="F4168" t="s">
        <v>68</v>
      </c>
    </row>
    <row r="4169" spans="1:6" x14ac:dyDescent="0.3">
      <c r="A4169" s="20">
        <v>45791</v>
      </c>
      <c r="B4169">
        <v>15</v>
      </c>
      <c r="C4169" t="s">
        <v>160</v>
      </c>
      <c r="D4169">
        <v>802</v>
      </c>
      <c r="E4169">
        <v>125</v>
      </c>
      <c r="F4169" t="s">
        <v>231</v>
      </c>
    </row>
    <row r="4170" spans="1:6" x14ac:dyDescent="0.3">
      <c r="A4170" s="20">
        <v>45791</v>
      </c>
      <c r="B4170">
        <v>15</v>
      </c>
      <c r="C4170" t="s">
        <v>160</v>
      </c>
      <c r="D4170">
        <v>14</v>
      </c>
      <c r="E4170">
        <v>3</v>
      </c>
      <c r="F4170" t="s">
        <v>161</v>
      </c>
    </row>
    <row r="4171" spans="1:6" x14ac:dyDescent="0.3">
      <c r="A4171" s="20">
        <v>45791</v>
      </c>
      <c r="B4171">
        <v>15</v>
      </c>
      <c r="C4171" t="s">
        <v>235</v>
      </c>
      <c r="D4171">
        <v>378</v>
      </c>
      <c r="E4171">
        <v>24</v>
      </c>
      <c r="F4171" t="s">
        <v>234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Header>&amp;C&amp;"Calibri"&amp;10&amp;K000000 Concentrix + Webhelp Classified - Confidential&amp;1#_x000D_</oddHeader>
  </headerFooter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F49E5-0B41-4DA0-8B74-B1E5B124CF93}">
  <sheetPr codeName="Planilha1"/>
  <dimension ref="A1:K17"/>
  <sheetViews>
    <sheetView workbookViewId="0">
      <selection activeCell="C7" sqref="C7"/>
    </sheetView>
  </sheetViews>
  <sheetFormatPr defaultRowHeight="14.4" x14ac:dyDescent="0.3"/>
  <cols>
    <col min="1" max="1" width="18.6640625" customWidth="1"/>
    <col min="3" max="3" width="17.21875" bestFit="1" customWidth="1"/>
    <col min="5" max="5" width="26.6640625" bestFit="1" customWidth="1"/>
    <col min="6" max="6" width="26.33203125" bestFit="1" customWidth="1"/>
    <col min="7" max="7" width="28.44140625" bestFit="1" customWidth="1"/>
    <col min="8" max="8" width="27.6640625" bestFit="1" customWidth="1"/>
    <col min="10" max="10" width="10.33203125" bestFit="1" customWidth="1"/>
    <col min="11" max="11" width="12.44140625" bestFit="1" customWidth="1"/>
    <col min="13" max="13" width="18" bestFit="1" customWidth="1"/>
  </cols>
  <sheetData>
    <row r="1" spans="1:11" x14ac:dyDescent="0.3">
      <c r="A1" t="s">
        <v>1</v>
      </c>
      <c r="C1" s="5" t="s">
        <v>2</v>
      </c>
      <c r="E1" s="6" t="str">
        <f t="shared" ref="E1:E4" si="0">"-"&amp;F1</f>
        <v>-ATENDIDO TOTAL</v>
      </c>
      <c r="F1" s="6" t="s">
        <v>22</v>
      </c>
      <c r="G1" s="6" t="str">
        <f t="shared" ref="G1:G4" si="1">"-%"&amp;F1</f>
        <v>-%ATENDIDO TOTAL</v>
      </c>
      <c r="H1" s="6" t="str">
        <f t="shared" ref="H1:H4" si="2">"%"&amp;F1</f>
        <v>%ATENDIDO TOTAL</v>
      </c>
      <c r="J1" s="6" t="s">
        <v>27</v>
      </c>
      <c r="K1" s="6" t="b">
        <v>0</v>
      </c>
    </row>
    <row r="2" spans="1:11" x14ac:dyDescent="0.3">
      <c r="A2" t="s">
        <v>26</v>
      </c>
      <c r="C2" s="4" t="s">
        <v>269</v>
      </c>
      <c r="E2" s="6" t="str">
        <f t="shared" si="0"/>
        <v>-ABANDONO</v>
      </c>
      <c r="F2" s="6" t="s">
        <v>16</v>
      </c>
      <c r="G2" s="6" t="str">
        <f t="shared" si="1"/>
        <v>-%ABANDONO</v>
      </c>
      <c r="H2" s="6" t="str">
        <f t="shared" si="2"/>
        <v>%ABANDONO</v>
      </c>
    </row>
    <row r="3" spans="1:11" x14ac:dyDescent="0.3">
      <c r="A3" t="s">
        <v>79</v>
      </c>
      <c r="E3" s="6" t="str">
        <f t="shared" si="0"/>
        <v>-ALÔ</v>
      </c>
      <c r="F3" s="6" t="s">
        <v>14</v>
      </c>
      <c r="G3" s="6" t="str">
        <f t="shared" si="1"/>
        <v>-%ALÔ</v>
      </c>
      <c r="H3" s="6" t="str">
        <f t="shared" si="2"/>
        <v>%ALÔ</v>
      </c>
    </row>
    <row r="4" spans="1:11" x14ac:dyDescent="0.3">
      <c r="A4" t="s">
        <v>78</v>
      </c>
      <c r="E4" s="6" t="str">
        <f t="shared" si="0"/>
        <v>-MENSAGEM</v>
      </c>
      <c r="F4" s="6" t="s">
        <v>15</v>
      </c>
      <c r="G4" s="6" t="str">
        <f t="shared" si="1"/>
        <v>-%MENSAGEM</v>
      </c>
      <c r="H4" s="6" t="str">
        <f t="shared" si="2"/>
        <v>%MENSAGEM</v>
      </c>
    </row>
    <row r="5" spans="1:11" x14ac:dyDescent="0.3">
      <c r="E5" s="6" t="str">
        <f t="shared" ref="E5" si="3">"-"&amp;F5</f>
        <v>-MENSAGEM NÃO ATENDIDA</v>
      </c>
      <c r="F5" s="6" t="s">
        <v>140</v>
      </c>
      <c r="G5" s="6" t="str">
        <f t="shared" ref="G5" si="4">"-%"&amp;F5</f>
        <v>-%MENSAGEM NÃO ATENDIDA</v>
      </c>
      <c r="H5" s="6" t="str">
        <f t="shared" ref="H5" si="5">"%"&amp;F5</f>
        <v>%MENSAGEM NÃO ATENDIDA</v>
      </c>
    </row>
    <row r="6" spans="1:11" x14ac:dyDescent="0.3">
      <c r="E6" s="6" t="str">
        <f t="shared" ref="E6:E17" si="6">"-"&amp;F6</f>
        <v>-NÃO ATENDEU</v>
      </c>
      <c r="F6" s="6" t="s">
        <v>24</v>
      </c>
      <c r="G6" s="6" t="str">
        <f t="shared" ref="G6:G17" si="7">"-%"&amp;F6</f>
        <v>-%NÃO ATENDEU</v>
      </c>
      <c r="H6" s="6" t="str">
        <f t="shared" ref="H6:H17" si="8">"%"&amp;F6</f>
        <v>%NÃO ATENDEU</v>
      </c>
    </row>
    <row r="7" spans="1:11" x14ac:dyDescent="0.3">
      <c r="E7" s="6" t="str">
        <f t="shared" si="6"/>
        <v>-NÃO ATENDEU (REAL)</v>
      </c>
      <c r="F7" s="6" t="s">
        <v>141</v>
      </c>
      <c r="G7" s="6" t="str">
        <f t="shared" si="7"/>
        <v>-%NÃO ATENDEU (REAL)</v>
      </c>
      <c r="H7" s="6" t="str">
        <f t="shared" si="8"/>
        <v>%NÃO ATENDEU (REAL)</v>
      </c>
    </row>
    <row r="8" spans="1:11" x14ac:dyDescent="0.3">
      <c r="E8" s="6" t="str">
        <f t="shared" si="6"/>
        <v>-NÃO ATENDEU (MSG)</v>
      </c>
      <c r="F8" s="6" t="s">
        <v>142</v>
      </c>
      <c r="G8" s="6" t="str">
        <f t="shared" si="7"/>
        <v>-%NÃO ATENDEU (MSG)</v>
      </c>
      <c r="H8" s="6" t="str">
        <f t="shared" si="8"/>
        <v>%NÃO ATENDEU (MSG)</v>
      </c>
    </row>
    <row r="9" spans="1:11" x14ac:dyDescent="0.3">
      <c r="E9" s="6" t="str">
        <f t="shared" si="6"/>
        <v>-REJEITADO</v>
      </c>
      <c r="F9" s="6" t="s">
        <v>23</v>
      </c>
      <c r="G9" s="6" t="str">
        <f t="shared" si="7"/>
        <v>-%REJEITADO</v>
      </c>
      <c r="H9" s="6" t="str">
        <f t="shared" si="8"/>
        <v>%REJEITADO</v>
      </c>
    </row>
    <row r="10" spans="1:11" x14ac:dyDescent="0.3">
      <c r="E10" s="6" t="str">
        <f t="shared" si="6"/>
        <v>-TEMP. INDISPONÍVEL</v>
      </c>
      <c r="F10" s="6" t="s">
        <v>25</v>
      </c>
      <c r="G10" s="6" t="str">
        <f t="shared" si="7"/>
        <v>-%TEMP. INDISPONÍVEL</v>
      </c>
      <c r="H10" s="6" t="str">
        <f t="shared" si="8"/>
        <v>%TEMP. INDISPONÍVEL</v>
      </c>
    </row>
    <row r="11" spans="1:11" x14ac:dyDescent="0.3">
      <c r="E11" s="6" t="str">
        <f t="shared" si="6"/>
        <v>-OCUPADO TOTAL</v>
      </c>
      <c r="F11" s="6" t="s">
        <v>17</v>
      </c>
      <c r="G11" s="6" t="str">
        <f t="shared" si="7"/>
        <v>-%OCUPADO TOTAL</v>
      </c>
      <c r="H11" s="6" t="str">
        <f t="shared" si="8"/>
        <v>%OCUPADO TOTAL</v>
      </c>
    </row>
    <row r="12" spans="1:11" x14ac:dyDescent="0.3">
      <c r="E12" s="6" t="str">
        <f t="shared" si="6"/>
        <v>-FALHAS GERAIS</v>
      </c>
      <c r="F12" s="6" t="s">
        <v>18</v>
      </c>
      <c r="G12" s="6" t="str">
        <f t="shared" si="7"/>
        <v>-%FALHAS GERAIS</v>
      </c>
      <c r="H12" s="6" t="str">
        <f t="shared" si="8"/>
        <v>%FALHAS GERAIS</v>
      </c>
    </row>
    <row r="13" spans="1:11" x14ac:dyDescent="0.3">
      <c r="E13" s="6" t="str">
        <f t="shared" si="6"/>
        <v>-FALTA DE CANAL</v>
      </c>
      <c r="F13" s="6" t="s">
        <v>19</v>
      </c>
      <c r="G13" s="6" t="str">
        <f t="shared" si="7"/>
        <v>-%FALTA DE CANAL</v>
      </c>
      <c r="H13" s="6" t="str">
        <f t="shared" si="8"/>
        <v>%FALTA DE CANAL</v>
      </c>
    </row>
    <row r="14" spans="1:11" x14ac:dyDescent="0.3">
      <c r="E14" s="6" t="str">
        <f t="shared" si="6"/>
        <v>-INEXISTENTE</v>
      </c>
      <c r="F14" s="6" t="s">
        <v>20</v>
      </c>
      <c r="G14" s="6" t="str">
        <f t="shared" si="7"/>
        <v>-%INEXISTENTE</v>
      </c>
      <c r="H14" s="6" t="str">
        <f t="shared" si="8"/>
        <v>%INEXISTENTE</v>
      </c>
    </row>
    <row r="15" spans="1:11" x14ac:dyDescent="0.3">
      <c r="E15" s="6" t="str">
        <f t="shared" si="6"/>
        <v>-FALHAS CALLFLEX</v>
      </c>
      <c r="F15" s="6" t="s">
        <v>21</v>
      </c>
      <c r="G15" s="6" t="str">
        <f t="shared" si="7"/>
        <v>-%FALHAS CALLFLEX</v>
      </c>
      <c r="H15" s="6" t="str">
        <f t="shared" si="8"/>
        <v>%FALHAS CALLFLEX</v>
      </c>
    </row>
    <row r="16" spans="1:11" x14ac:dyDescent="0.3">
      <c r="E16" s="6" t="str">
        <f t="shared" si="6"/>
        <v>-BLOQUEIO DDD</v>
      </c>
      <c r="F16" s="6" t="s">
        <v>127</v>
      </c>
      <c r="G16" s="6" t="str">
        <f t="shared" si="7"/>
        <v>-%BLOQUEIO DDD</v>
      </c>
      <c r="H16" s="6" t="str">
        <f t="shared" si="8"/>
        <v>%BLOQUEIO DDD</v>
      </c>
    </row>
    <row r="17" spans="5:8" x14ac:dyDescent="0.3">
      <c r="E17" s="6" t="str">
        <f t="shared" si="6"/>
        <v>-BLACKLIST</v>
      </c>
      <c r="F17" s="6" t="s">
        <v>128</v>
      </c>
      <c r="G17" s="6" t="str">
        <f t="shared" si="7"/>
        <v>-%BLACKLIST</v>
      </c>
      <c r="H17" s="6" t="str">
        <f t="shared" si="8"/>
        <v>%BLACKLIST</v>
      </c>
    </row>
  </sheetData>
  <pageMargins left="0.511811024" right="0.511811024" top="0.78740157499999996" bottom="0.78740157499999996" header="0.31496062000000002" footer="0.31496062000000002"/>
  <headerFooter>
    <oddHeader>&amp;C&amp;"Calibri"&amp;10&amp;K000000 Concentrix + Webhelp Classified - Confidential&amp;1#_x000D_</oddHead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689273A7E465A4FA2EDFD2A35485704" ma:contentTypeVersion="23" ma:contentTypeDescription="Crée un document." ma:contentTypeScope="" ma:versionID="87af7ff584901e88eac7c74113396262">
  <xsd:schema xmlns:xsd="http://www.w3.org/2001/XMLSchema" xmlns:xs="http://www.w3.org/2001/XMLSchema" xmlns:p="http://schemas.microsoft.com/office/2006/metadata/properties" xmlns:ns2="2fdc7fdb-cc32-48b2-994d-f4b541bae258" xmlns:ns3="eca28409-eeca-4882-8238-59eeb2b79278" targetNamespace="http://schemas.microsoft.com/office/2006/metadata/properties" ma:root="true" ma:fieldsID="a6ff51ab1c200ac213f6e6147e663f04" ns2:_="" ns3:_="">
    <xsd:import namespace="2fdc7fdb-cc32-48b2-994d-f4b541bae258"/>
    <xsd:import namespace="eca28409-eeca-4882-8238-59eeb2b792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Dada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dc7fdb-cc32-48b2-994d-f4b541bae2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93c75221-6d37-4f95-92e8-0b0ea719688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description="" ma:indexed="true" ma:internalName="MediaServiceLocation" ma:readOnly="true">
      <xsd:simpleType>
        <xsd:restriction base="dms:Text"/>
      </xsd:simpleType>
    </xsd:element>
    <xsd:element name="Dada" ma:index="23" nillable="true" ma:displayName="Dada" ma:format="Dropdown" ma:internalName="Dada">
      <xsd:simpleType>
        <xsd:restriction base="dms:Text">
          <xsd:maxLength value="255"/>
        </xsd:restriction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a28409-eeca-4882-8238-59eeb2b79278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6d30fe8-6c37-4017-8a05-a9034660cf0e}" ma:internalName="TaxCatchAll" ma:showField="CatchAllData" ma:web="eca28409-eeca-4882-8238-59eeb2b7927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9" ma:displayName="Tipo de Conteúdo"/>
        <xsd:element ref="dc:title" minOccurs="0" maxOccurs="1" ma:index="3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ca28409-eeca-4882-8238-59eeb2b79278" xsi:nil="true"/>
    <lcf76f155ced4ddcb4097134ff3c332f xmlns="2fdc7fdb-cc32-48b2-994d-f4b541bae258">
      <Terms xmlns="http://schemas.microsoft.com/office/infopath/2007/PartnerControls"/>
    </lcf76f155ced4ddcb4097134ff3c332f>
    <Dada xmlns="2fdc7fdb-cc32-48b2-994d-f4b541bae258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4D7D6F76-57BB-46D2-A6E2-8A1ABED8B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96621E0-ED0F-48EC-9B2E-DE2478FDB0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dc7fdb-cc32-48b2-994d-f4b541bae258"/>
    <ds:schemaRef ds:uri="eca28409-eeca-4882-8238-59eeb2b792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070539-D887-4F03-B297-1B76D5398ECD}">
  <ds:schemaRefs>
    <ds:schemaRef ds:uri="http://www.w3.org/XML/1998/namespace"/>
    <ds:schemaRef ds:uri="2fdc7fdb-cc32-48b2-994d-f4b541bae258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eca28409-eeca-4882-8238-59eeb2b79278"/>
    <ds:schemaRef ds:uri="http://schemas.microsoft.com/office/infopath/2007/PartnerControls"/>
    <ds:schemaRef ds:uri="http://purl.org/dc/terms/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0E9A38F0-92F0-4D46-B51B-CC1EA0D989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Planilha2</vt:lpstr>
      <vt:lpstr>Dash</vt:lpstr>
      <vt:lpstr>Dash (2)</vt:lpstr>
      <vt:lpstr>Legenda</vt:lpstr>
      <vt:lpstr>Base_graf</vt:lpstr>
      <vt:lpstr>Suporte</vt:lpstr>
      <vt:lpstr>'Dash (2)'!anchor</vt:lpstr>
      <vt:lpstr>anchor</vt:lpstr>
      <vt:lpstr>graf_selec</vt:lpstr>
      <vt:lpstr>refresh_val</vt:lpstr>
      <vt:lpstr>rngColumns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Giordano Luiz Forischi</dc:creator>
  <cp:lastModifiedBy>Allan Guilherme Nascimento Rodrigues</cp:lastModifiedBy>
  <dcterms:created xsi:type="dcterms:W3CDTF">2021-05-10T14:47:08Z</dcterms:created>
  <dcterms:modified xsi:type="dcterms:W3CDTF">2025-10-19T21:01:24Z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0x0101008689273A7E465A4FA2EDFD2A35485704</vt:lpwstr>
  </property>
  <property fmtid="{D5CDD505-2E9C-101B-9397-08002B2CF9AE}" pid="3" name="MediaServiceImageTags">
    <vt:lpwstr/>
  </property>
  <property fmtid="{D5CDD505-2E9C-101B-9397-08002B2CF9AE}" pid="4" name="MSIP_Label_9865099d-927c-4feb-921a-8692d085005d_Enabled">
    <vt:lpwstr>true</vt:lpwstr>
  </property>
  <property fmtid="{D5CDD505-2E9C-101B-9397-08002B2CF9AE}" pid="5" name="MSIP_Label_9865099d-927c-4feb-921a-8692d085005d_SetDate">
    <vt:lpwstr>2024-02-29T14:39:01Z</vt:lpwstr>
  </property>
  <property fmtid="{D5CDD505-2E9C-101B-9397-08002B2CF9AE}" pid="6" name="MSIP_Label_9865099d-927c-4feb-921a-8692d085005d_Method">
    <vt:lpwstr>Standard</vt:lpwstr>
  </property>
  <property fmtid="{D5CDD505-2E9C-101B-9397-08002B2CF9AE}" pid="7" name="MSIP_Label_9865099d-927c-4feb-921a-8692d085005d_Name">
    <vt:lpwstr>9865099d-927c-4feb-921a-8692d085005d</vt:lpwstr>
  </property>
  <property fmtid="{D5CDD505-2E9C-101B-9397-08002B2CF9AE}" pid="8" name="MSIP_Label_9865099d-927c-4feb-921a-8692d085005d_SiteId">
    <vt:lpwstr>289dae10-af47-4873-b9a0-2fc36e69cf2f</vt:lpwstr>
  </property>
  <property fmtid="{D5CDD505-2E9C-101B-9397-08002B2CF9AE}" pid="9" name="MSIP_Label_9865099d-927c-4feb-921a-8692d085005d_ActionId">
    <vt:lpwstr>5969185d-aba1-4566-a921-301160c64763</vt:lpwstr>
  </property>
  <property fmtid="{D5CDD505-2E9C-101B-9397-08002B2CF9AE}" pid="10" name="MSIP_Label_9865099d-927c-4feb-921a-8692d085005d_ContentBits">
    <vt:lpwstr>1</vt:lpwstr>
  </property>
  <property fmtid="{D5CDD505-2E9C-101B-9397-08002B2CF9AE}" pid="11" name="Order">
    <vt:r8>4234600</vt:r8>
  </property>
  <property fmtid="{D5CDD505-2E9C-101B-9397-08002B2CF9AE}" pid="12" name="_ExtendedDescription">
    <vt:lpwstr/>
  </property>
  <property fmtid="{D5CDD505-2E9C-101B-9397-08002B2CF9AE}" pid="13" name="MSIP_Label_6b227fc4-0160-4f97-9aff-69e015a65ad2_Enabled">
    <vt:lpwstr>true</vt:lpwstr>
  </property>
  <property fmtid="{D5CDD505-2E9C-101B-9397-08002B2CF9AE}" pid="14" name="MSIP_Label_6b227fc4-0160-4f97-9aff-69e015a65ad2_SetDate">
    <vt:lpwstr>2024-08-01T15:54:23Z</vt:lpwstr>
  </property>
  <property fmtid="{D5CDD505-2E9C-101B-9397-08002B2CF9AE}" pid="15" name="MSIP_Label_6b227fc4-0160-4f97-9aff-69e015a65ad2_Method">
    <vt:lpwstr>Standard</vt:lpwstr>
  </property>
  <property fmtid="{D5CDD505-2E9C-101B-9397-08002B2CF9AE}" pid="16" name="MSIP_Label_6b227fc4-0160-4f97-9aff-69e015a65ad2_Name">
    <vt:lpwstr>Confidential-No Encryption</vt:lpwstr>
  </property>
  <property fmtid="{D5CDD505-2E9C-101B-9397-08002B2CF9AE}" pid="17" name="MSIP_Label_6b227fc4-0160-4f97-9aff-69e015a65ad2_SiteId">
    <vt:lpwstr>599e51d6-2f8c-4347-8e59-1f795a51a98c</vt:lpwstr>
  </property>
  <property fmtid="{D5CDD505-2E9C-101B-9397-08002B2CF9AE}" pid="18" name="MSIP_Label_6b227fc4-0160-4f97-9aff-69e015a65ad2_ActionId">
    <vt:lpwstr>2854f5a4-358c-4a81-831b-a6b38fe193b5</vt:lpwstr>
  </property>
  <property fmtid="{D5CDD505-2E9C-101B-9397-08002B2CF9AE}" pid="19" name="MSIP_Label_6b227fc4-0160-4f97-9aff-69e015a65ad2_ContentBits">
    <vt:lpwstr>0</vt:lpwstr>
  </property>
</Properties>
</file>